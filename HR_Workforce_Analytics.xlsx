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OQ\Downloads\"/>
    </mc:Choice>
  </mc:AlternateContent>
  <xr:revisionPtr revIDLastSave="0" documentId="13_ncr:1_{F1A6D80C-96CF-4D34-83A2-5FB44AA70660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Dashboard" sheetId="1" r:id="rId1"/>
    <sheet name="Raw_Data" sheetId="2" r:id="rId2"/>
    <sheet name="Clean_Data" sheetId="3" r:id="rId3"/>
    <sheet name="KPI" sheetId="4" r:id="rId4"/>
    <sheet name="Pivot" sheetId="5" r:id="rId5"/>
    <sheet name="Calculation" sheetId="6" r:id="rId6"/>
    <sheet name="Charts" sheetId="7" r:id="rId7"/>
    <sheet name="Insights" sheetId="8" r:id="rId8"/>
    <sheet name="Dashboard_design" sheetId="9" r:id="rId9"/>
    <sheet name="README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2" i="6" l="1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50" i="6" s="1"/>
  <c r="C54" i="5"/>
  <c r="B54" i="5"/>
  <c r="C53" i="5"/>
  <c r="B53" i="5"/>
  <c r="C52" i="5"/>
  <c r="B52" i="5"/>
  <c r="C51" i="5"/>
  <c r="B51" i="5"/>
  <c r="C47" i="5"/>
  <c r="B47" i="5"/>
  <c r="D47" i="5" s="1"/>
  <c r="C46" i="5"/>
  <c r="D46" i="5" s="1"/>
  <c r="B46" i="5"/>
  <c r="C45" i="5"/>
  <c r="B45" i="5"/>
  <c r="D45" i="5" s="1"/>
  <c r="C44" i="5"/>
  <c r="B44" i="5"/>
  <c r="D44" i="5" s="1"/>
  <c r="C43" i="5"/>
  <c r="B43" i="5"/>
  <c r="D43" i="5" s="1"/>
  <c r="D39" i="5"/>
  <c r="C39" i="5"/>
  <c r="B39" i="5"/>
  <c r="D38" i="5"/>
  <c r="C38" i="5"/>
  <c r="B38" i="5"/>
  <c r="C34" i="5"/>
  <c r="B34" i="5"/>
  <c r="B33" i="5"/>
  <c r="C33" i="5" s="1"/>
  <c r="B32" i="5"/>
  <c r="C32" i="5" s="1"/>
  <c r="H31" i="5"/>
  <c r="G31" i="5"/>
  <c r="H30" i="5"/>
  <c r="G30" i="5"/>
  <c r="I30" i="5" s="1"/>
  <c r="H29" i="5"/>
  <c r="G29" i="5"/>
  <c r="I29" i="5" s="1"/>
  <c r="H28" i="5"/>
  <c r="G28" i="5"/>
  <c r="I28" i="5" s="1"/>
  <c r="C28" i="5"/>
  <c r="B28" i="5"/>
  <c r="H27" i="5"/>
  <c r="G27" i="5"/>
  <c r="I27" i="5" s="1"/>
  <c r="C27" i="5"/>
  <c r="B27" i="5"/>
  <c r="H26" i="5"/>
  <c r="G26" i="5"/>
  <c r="I26" i="5" s="1"/>
  <c r="C26" i="5"/>
  <c r="B26" i="5"/>
  <c r="H25" i="5"/>
  <c r="G25" i="5"/>
  <c r="C25" i="5"/>
  <c r="B25" i="5"/>
  <c r="H24" i="5"/>
  <c r="G24" i="5"/>
  <c r="C24" i="5"/>
  <c r="B24" i="5"/>
  <c r="H23" i="5"/>
  <c r="G23" i="5"/>
  <c r="I25" i="5" s="1"/>
  <c r="I22" i="5"/>
  <c r="H22" i="5"/>
  <c r="G22" i="5"/>
  <c r="B20" i="5"/>
  <c r="B19" i="5"/>
  <c r="J18" i="5"/>
  <c r="I18" i="5"/>
  <c r="H18" i="5"/>
  <c r="G18" i="5"/>
  <c r="B18" i="5"/>
  <c r="J17" i="5"/>
  <c r="I17" i="5"/>
  <c r="H17" i="5"/>
  <c r="G17" i="5"/>
  <c r="B17" i="5"/>
  <c r="B16" i="5"/>
  <c r="B15" i="5"/>
  <c r="B14" i="5"/>
  <c r="B13" i="5"/>
  <c r="B12" i="5"/>
  <c r="B11" i="5"/>
  <c r="D7" i="5"/>
  <c r="C7" i="5"/>
  <c r="B7" i="5"/>
  <c r="D6" i="5"/>
  <c r="C6" i="5"/>
  <c r="B6" i="5"/>
  <c r="D5" i="5"/>
  <c r="C5" i="5"/>
  <c r="B5" i="5"/>
  <c r="D4" i="5"/>
  <c r="C4" i="5"/>
  <c r="B4" i="5"/>
  <c r="D3" i="5"/>
  <c r="C3" i="5"/>
  <c r="B3" i="5"/>
  <c r="B12" i="4"/>
  <c r="B11" i="4"/>
  <c r="B10" i="4"/>
  <c r="B9" i="4"/>
  <c r="J5" i="1" s="1"/>
  <c r="B8" i="4"/>
  <c r="B7" i="4"/>
  <c r="G5" i="1" s="1"/>
  <c r="B6" i="4"/>
  <c r="B4" i="4"/>
  <c r="B5" i="4" s="1"/>
  <c r="B3" i="4"/>
  <c r="AA1001" i="3"/>
  <c r="Z1001" i="3"/>
  <c r="Y1001" i="3"/>
  <c r="X1001" i="3"/>
  <c r="W1001" i="3"/>
  <c r="AA1000" i="3"/>
  <c r="Z1000" i="3"/>
  <c r="Y1000" i="3"/>
  <c r="X1000" i="3"/>
  <c r="W1000" i="3"/>
  <c r="AA999" i="3"/>
  <c r="Z999" i="3"/>
  <c r="Y999" i="3"/>
  <c r="X999" i="3"/>
  <c r="W999" i="3"/>
  <c r="AA998" i="3"/>
  <c r="Z998" i="3"/>
  <c r="Y998" i="3"/>
  <c r="X998" i="3"/>
  <c r="W998" i="3"/>
  <c r="AA997" i="3"/>
  <c r="Z997" i="3"/>
  <c r="Y997" i="3"/>
  <c r="X997" i="3"/>
  <c r="W997" i="3"/>
  <c r="AA996" i="3"/>
  <c r="Z996" i="3"/>
  <c r="Y996" i="3"/>
  <c r="X996" i="3"/>
  <c r="W996" i="3"/>
  <c r="AA995" i="3"/>
  <c r="Z995" i="3"/>
  <c r="Y995" i="3"/>
  <c r="X995" i="3"/>
  <c r="W995" i="3"/>
  <c r="AA994" i="3"/>
  <c r="Z994" i="3"/>
  <c r="Y994" i="3"/>
  <c r="X994" i="3"/>
  <c r="W994" i="3"/>
  <c r="AA993" i="3"/>
  <c r="Z993" i="3"/>
  <c r="Y993" i="3"/>
  <c r="X993" i="3"/>
  <c r="W993" i="3"/>
  <c r="AA992" i="3"/>
  <c r="Z992" i="3"/>
  <c r="Y992" i="3"/>
  <c r="X992" i="3"/>
  <c r="W992" i="3"/>
  <c r="AA991" i="3"/>
  <c r="Z991" i="3"/>
  <c r="Y991" i="3"/>
  <c r="X991" i="3"/>
  <c r="W991" i="3"/>
  <c r="AA990" i="3"/>
  <c r="Z990" i="3"/>
  <c r="Y990" i="3"/>
  <c r="X990" i="3"/>
  <c r="W990" i="3"/>
  <c r="AA989" i="3"/>
  <c r="Z989" i="3"/>
  <c r="Y989" i="3"/>
  <c r="X989" i="3"/>
  <c r="W989" i="3"/>
  <c r="AA988" i="3"/>
  <c r="Z988" i="3"/>
  <c r="Y988" i="3"/>
  <c r="X988" i="3"/>
  <c r="W988" i="3"/>
  <c r="AA987" i="3"/>
  <c r="Z987" i="3"/>
  <c r="Y987" i="3"/>
  <c r="X987" i="3"/>
  <c r="W987" i="3"/>
  <c r="AA986" i="3"/>
  <c r="Z986" i="3"/>
  <c r="Y986" i="3"/>
  <c r="X986" i="3"/>
  <c r="W986" i="3"/>
  <c r="AA985" i="3"/>
  <c r="Z985" i="3"/>
  <c r="Y985" i="3"/>
  <c r="X985" i="3"/>
  <c r="W985" i="3"/>
  <c r="AA984" i="3"/>
  <c r="Z984" i="3"/>
  <c r="Y984" i="3"/>
  <c r="X984" i="3"/>
  <c r="W984" i="3"/>
  <c r="AA983" i="3"/>
  <c r="Z983" i="3"/>
  <c r="Y983" i="3"/>
  <c r="X983" i="3"/>
  <c r="W983" i="3"/>
  <c r="AA982" i="3"/>
  <c r="Z982" i="3"/>
  <c r="Y982" i="3"/>
  <c r="X982" i="3"/>
  <c r="W982" i="3"/>
  <c r="AA981" i="3"/>
  <c r="Z981" i="3"/>
  <c r="Y981" i="3"/>
  <c r="X981" i="3"/>
  <c r="W981" i="3"/>
  <c r="AA980" i="3"/>
  <c r="Z980" i="3"/>
  <c r="Y980" i="3"/>
  <c r="X980" i="3"/>
  <c r="W980" i="3"/>
  <c r="AA979" i="3"/>
  <c r="Z979" i="3"/>
  <c r="Y979" i="3"/>
  <c r="X979" i="3"/>
  <c r="W979" i="3"/>
  <c r="AA978" i="3"/>
  <c r="Z978" i="3"/>
  <c r="Y978" i="3"/>
  <c r="X978" i="3"/>
  <c r="W978" i="3"/>
  <c r="AA977" i="3"/>
  <c r="Z977" i="3"/>
  <c r="Y977" i="3"/>
  <c r="X977" i="3"/>
  <c r="W977" i="3"/>
  <c r="AA976" i="3"/>
  <c r="Z976" i="3"/>
  <c r="Y976" i="3"/>
  <c r="X976" i="3"/>
  <c r="W976" i="3"/>
  <c r="AA975" i="3"/>
  <c r="Z975" i="3"/>
  <c r="Y975" i="3"/>
  <c r="X975" i="3"/>
  <c r="W975" i="3"/>
  <c r="AA974" i="3"/>
  <c r="Z974" i="3"/>
  <c r="Y974" i="3"/>
  <c r="X974" i="3"/>
  <c r="W974" i="3"/>
  <c r="AA973" i="3"/>
  <c r="Z973" i="3"/>
  <c r="Y973" i="3"/>
  <c r="X973" i="3"/>
  <c r="W973" i="3"/>
  <c r="AA972" i="3"/>
  <c r="Z972" i="3"/>
  <c r="Y972" i="3"/>
  <c r="X972" i="3"/>
  <c r="W972" i="3"/>
  <c r="AA971" i="3"/>
  <c r="Z971" i="3"/>
  <c r="Y971" i="3"/>
  <c r="X971" i="3"/>
  <c r="W971" i="3"/>
  <c r="AA970" i="3"/>
  <c r="Z970" i="3"/>
  <c r="Y970" i="3"/>
  <c r="X970" i="3"/>
  <c r="W970" i="3"/>
  <c r="AA969" i="3"/>
  <c r="Z969" i="3"/>
  <c r="Y969" i="3"/>
  <c r="X969" i="3"/>
  <c r="W969" i="3"/>
  <c r="AA968" i="3"/>
  <c r="Z968" i="3"/>
  <c r="Y968" i="3"/>
  <c r="X968" i="3"/>
  <c r="W968" i="3"/>
  <c r="AA967" i="3"/>
  <c r="Z967" i="3"/>
  <c r="Y967" i="3"/>
  <c r="X967" i="3"/>
  <c r="W967" i="3"/>
  <c r="AA966" i="3"/>
  <c r="Z966" i="3"/>
  <c r="Y966" i="3"/>
  <c r="X966" i="3"/>
  <c r="W966" i="3"/>
  <c r="AA965" i="3"/>
  <c r="Z965" i="3"/>
  <c r="Y965" i="3"/>
  <c r="X965" i="3"/>
  <c r="W965" i="3"/>
  <c r="AA964" i="3"/>
  <c r="Z964" i="3"/>
  <c r="Y964" i="3"/>
  <c r="X964" i="3"/>
  <c r="W964" i="3"/>
  <c r="AA963" i="3"/>
  <c r="Z963" i="3"/>
  <c r="Y963" i="3"/>
  <c r="X963" i="3"/>
  <c r="W963" i="3"/>
  <c r="AA962" i="3"/>
  <c r="Z962" i="3"/>
  <c r="Y962" i="3"/>
  <c r="X962" i="3"/>
  <c r="W962" i="3"/>
  <c r="AA961" i="3"/>
  <c r="Z961" i="3"/>
  <c r="Y961" i="3"/>
  <c r="X961" i="3"/>
  <c r="W961" i="3"/>
  <c r="AA960" i="3"/>
  <c r="Z960" i="3"/>
  <c r="Y960" i="3"/>
  <c r="X960" i="3"/>
  <c r="W960" i="3"/>
  <c r="AA959" i="3"/>
  <c r="Z959" i="3"/>
  <c r="Y959" i="3"/>
  <c r="X959" i="3"/>
  <c r="W959" i="3"/>
  <c r="AA958" i="3"/>
  <c r="Z958" i="3"/>
  <c r="Y958" i="3"/>
  <c r="X958" i="3"/>
  <c r="W958" i="3"/>
  <c r="AA957" i="3"/>
  <c r="Z957" i="3"/>
  <c r="Y957" i="3"/>
  <c r="X957" i="3"/>
  <c r="W957" i="3"/>
  <c r="AA956" i="3"/>
  <c r="Z956" i="3"/>
  <c r="Y956" i="3"/>
  <c r="X956" i="3"/>
  <c r="W956" i="3"/>
  <c r="AA955" i="3"/>
  <c r="Z955" i="3"/>
  <c r="Y955" i="3"/>
  <c r="X955" i="3"/>
  <c r="W955" i="3"/>
  <c r="AA954" i="3"/>
  <c r="Z954" i="3"/>
  <c r="Y954" i="3"/>
  <c r="X954" i="3"/>
  <c r="W954" i="3"/>
  <c r="AA953" i="3"/>
  <c r="Z953" i="3"/>
  <c r="Y953" i="3"/>
  <c r="X953" i="3"/>
  <c r="W953" i="3"/>
  <c r="AA952" i="3"/>
  <c r="Z952" i="3"/>
  <c r="Y952" i="3"/>
  <c r="X952" i="3"/>
  <c r="W952" i="3"/>
  <c r="AA951" i="3"/>
  <c r="Z951" i="3"/>
  <c r="Y951" i="3"/>
  <c r="X951" i="3"/>
  <c r="W951" i="3"/>
  <c r="AA950" i="3"/>
  <c r="Z950" i="3"/>
  <c r="Y950" i="3"/>
  <c r="X950" i="3"/>
  <c r="W950" i="3"/>
  <c r="AA949" i="3"/>
  <c r="Z949" i="3"/>
  <c r="Y949" i="3"/>
  <c r="X949" i="3"/>
  <c r="W949" i="3"/>
  <c r="AA948" i="3"/>
  <c r="Z948" i="3"/>
  <c r="Y948" i="3"/>
  <c r="X948" i="3"/>
  <c r="W948" i="3"/>
  <c r="AA947" i="3"/>
  <c r="Z947" i="3"/>
  <c r="Y947" i="3"/>
  <c r="X947" i="3"/>
  <c r="W947" i="3"/>
  <c r="AA946" i="3"/>
  <c r="Z946" i="3"/>
  <c r="Y946" i="3"/>
  <c r="X946" i="3"/>
  <c r="W946" i="3"/>
  <c r="AA945" i="3"/>
  <c r="Z945" i="3"/>
  <c r="Y945" i="3"/>
  <c r="X945" i="3"/>
  <c r="W945" i="3"/>
  <c r="AA944" i="3"/>
  <c r="Z944" i="3"/>
  <c r="Y944" i="3"/>
  <c r="X944" i="3"/>
  <c r="W944" i="3"/>
  <c r="AA943" i="3"/>
  <c r="Z943" i="3"/>
  <c r="Y943" i="3"/>
  <c r="X943" i="3"/>
  <c r="W943" i="3"/>
  <c r="AA942" i="3"/>
  <c r="Z942" i="3"/>
  <c r="Y942" i="3"/>
  <c r="X942" i="3"/>
  <c r="W942" i="3"/>
  <c r="AA941" i="3"/>
  <c r="Z941" i="3"/>
  <c r="Y941" i="3"/>
  <c r="X941" i="3"/>
  <c r="W941" i="3"/>
  <c r="AA940" i="3"/>
  <c r="Z940" i="3"/>
  <c r="Y940" i="3"/>
  <c r="X940" i="3"/>
  <c r="W940" i="3"/>
  <c r="AA939" i="3"/>
  <c r="Z939" i="3"/>
  <c r="Y939" i="3"/>
  <c r="X939" i="3"/>
  <c r="W939" i="3"/>
  <c r="AA938" i="3"/>
  <c r="Z938" i="3"/>
  <c r="Y938" i="3"/>
  <c r="X938" i="3"/>
  <c r="W938" i="3"/>
  <c r="AA937" i="3"/>
  <c r="Z937" i="3"/>
  <c r="Y937" i="3"/>
  <c r="X937" i="3"/>
  <c r="W937" i="3"/>
  <c r="AA936" i="3"/>
  <c r="Z936" i="3"/>
  <c r="Y936" i="3"/>
  <c r="X936" i="3"/>
  <c r="W936" i="3"/>
  <c r="AA935" i="3"/>
  <c r="Z935" i="3"/>
  <c r="Y935" i="3"/>
  <c r="X935" i="3"/>
  <c r="W935" i="3"/>
  <c r="AA934" i="3"/>
  <c r="Z934" i="3"/>
  <c r="Y934" i="3"/>
  <c r="X934" i="3"/>
  <c r="W934" i="3"/>
  <c r="AA933" i="3"/>
  <c r="Z933" i="3"/>
  <c r="Y933" i="3"/>
  <c r="X933" i="3"/>
  <c r="W933" i="3"/>
  <c r="AA932" i="3"/>
  <c r="Z932" i="3"/>
  <c r="Y932" i="3"/>
  <c r="X932" i="3"/>
  <c r="W932" i="3"/>
  <c r="AA931" i="3"/>
  <c r="Z931" i="3"/>
  <c r="Y931" i="3"/>
  <c r="X931" i="3"/>
  <c r="W931" i="3"/>
  <c r="AA930" i="3"/>
  <c r="Z930" i="3"/>
  <c r="Y930" i="3"/>
  <c r="X930" i="3"/>
  <c r="W930" i="3"/>
  <c r="AA929" i="3"/>
  <c r="Z929" i="3"/>
  <c r="Y929" i="3"/>
  <c r="X929" i="3"/>
  <c r="W929" i="3"/>
  <c r="AA928" i="3"/>
  <c r="Z928" i="3"/>
  <c r="Y928" i="3"/>
  <c r="X928" i="3"/>
  <c r="W928" i="3"/>
  <c r="AA927" i="3"/>
  <c r="Z927" i="3"/>
  <c r="Y927" i="3"/>
  <c r="X927" i="3"/>
  <c r="W927" i="3"/>
  <c r="AA926" i="3"/>
  <c r="Z926" i="3"/>
  <c r="Y926" i="3"/>
  <c r="X926" i="3"/>
  <c r="W926" i="3"/>
  <c r="AA925" i="3"/>
  <c r="Z925" i="3"/>
  <c r="Y925" i="3"/>
  <c r="X925" i="3"/>
  <c r="W925" i="3"/>
  <c r="AA924" i="3"/>
  <c r="Z924" i="3"/>
  <c r="Y924" i="3"/>
  <c r="X924" i="3"/>
  <c r="W924" i="3"/>
  <c r="AA923" i="3"/>
  <c r="Z923" i="3"/>
  <c r="Y923" i="3"/>
  <c r="X923" i="3"/>
  <c r="W923" i="3"/>
  <c r="AA922" i="3"/>
  <c r="Z922" i="3"/>
  <c r="Y922" i="3"/>
  <c r="X922" i="3"/>
  <c r="W922" i="3"/>
  <c r="AA921" i="3"/>
  <c r="Z921" i="3"/>
  <c r="Y921" i="3"/>
  <c r="X921" i="3"/>
  <c r="W921" i="3"/>
  <c r="AA920" i="3"/>
  <c r="Z920" i="3"/>
  <c r="Y920" i="3"/>
  <c r="X920" i="3"/>
  <c r="W920" i="3"/>
  <c r="AA919" i="3"/>
  <c r="Z919" i="3"/>
  <c r="Y919" i="3"/>
  <c r="X919" i="3"/>
  <c r="W919" i="3"/>
  <c r="AA918" i="3"/>
  <c r="Z918" i="3"/>
  <c r="Y918" i="3"/>
  <c r="X918" i="3"/>
  <c r="W918" i="3"/>
  <c r="AA917" i="3"/>
  <c r="Z917" i="3"/>
  <c r="Y917" i="3"/>
  <c r="X917" i="3"/>
  <c r="W917" i="3"/>
  <c r="AA916" i="3"/>
  <c r="Z916" i="3"/>
  <c r="Y916" i="3"/>
  <c r="X916" i="3"/>
  <c r="W916" i="3"/>
  <c r="AA915" i="3"/>
  <c r="Z915" i="3"/>
  <c r="Y915" i="3"/>
  <c r="X915" i="3"/>
  <c r="W915" i="3"/>
  <c r="AA914" i="3"/>
  <c r="Z914" i="3"/>
  <c r="Y914" i="3"/>
  <c r="X914" i="3"/>
  <c r="W914" i="3"/>
  <c r="AA913" i="3"/>
  <c r="Z913" i="3"/>
  <c r="Y913" i="3"/>
  <c r="X913" i="3"/>
  <c r="W913" i="3"/>
  <c r="AA912" i="3"/>
  <c r="Z912" i="3"/>
  <c r="Y912" i="3"/>
  <c r="X912" i="3"/>
  <c r="W912" i="3"/>
  <c r="AA911" i="3"/>
  <c r="Z911" i="3"/>
  <c r="Y911" i="3"/>
  <c r="X911" i="3"/>
  <c r="W911" i="3"/>
  <c r="AA910" i="3"/>
  <c r="Z910" i="3"/>
  <c r="Y910" i="3"/>
  <c r="X910" i="3"/>
  <c r="W910" i="3"/>
  <c r="AA909" i="3"/>
  <c r="Z909" i="3"/>
  <c r="Y909" i="3"/>
  <c r="X909" i="3"/>
  <c r="W909" i="3"/>
  <c r="AA908" i="3"/>
  <c r="Z908" i="3"/>
  <c r="Y908" i="3"/>
  <c r="X908" i="3"/>
  <c r="W908" i="3"/>
  <c r="AA907" i="3"/>
  <c r="Z907" i="3"/>
  <c r="Y907" i="3"/>
  <c r="X907" i="3"/>
  <c r="W907" i="3"/>
  <c r="AA906" i="3"/>
  <c r="Z906" i="3"/>
  <c r="Y906" i="3"/>
  <c r="X906" i="3"/>
  <c r="W906" i="3"/>
  <c r="AA905" i="3"/>
  <c r="Z905" i="3"/>
  <c r="Y905" i="3"/>
  <c r="X905" i="3"/>
  <c r="W905" i="3"/>
  <c r="AA904" i="3"/>
  <c r="Z904" i="3"/>
  <c r="Y904" i="3"/>
  <c r="X904" i="3"/>
  <c r="W904" i="3"/>
  <c r="AA903" i="3"/>
  <c r="Z903" i="3"/>
  <c r="Y903" i="3"/>
  <c r="X903" i="3"/>
  <c r="W903" i="3"/>
  <c r="AA902" i="3"/>
  <c r="Z902" i="3"/>
  <c r="Y902" i="3"/>
  <c r="X902" i="3"/>
  <c r="W902" i="3"/>
  <c r="AA901" i="3"/>
  <c r="Z901" i="3"/>
  <c r="Y901" i="3"/>
  <c r="X901" i="3"/>
  <c r="W901" i="3"/>
  <c r="AA900" i="3"/>
  <c r="Z900" i="3"/>
  <c r="Y900" i="3"/>
  <c r="X900" i="3"/>
  <c r="W900" i="3"/>
  <c r="AA899" i="3"/>
  <c r="Z899" i="3"/>
  <c r="Y899" i="3"/>
  <c r="X899" i="3"/>
  <c r="W899" i="3"/>
  <c r="AA898" i="3"/>
  <c r="Z898" i="3"/>
  <c r="Y898" i="3"/>
  <c r="X898" i="3"/>
  <c r="W898" i="3"/>
  <c r="AA897" i="3"/>
  <c r="Z897" i="3"/>
  <c r="Y897" i="3"/>
  <c r="X897" i="3"/>
  <c r="W897" i="3"/>
  <c r="AA896" i="3"/>
  <c r="Z896" i="3"/>
  <c r="Y896" i="3"/>
  <c r="X896" i="3"/>
  <c r="W896" i="3"/>
  <c r="AA895" i="3"/>
  <c r="Z895" i="3"/>
  <c r="Y895" i="3"/>
  <c r="X895" i="3"/>
  <c r="W895" i="3"/>
  <c r="AA894" i="3"/>
  <c r="Z894" i="3"/>
  <c r="Y894" i="3"/>
  <c r="X894" i="3"/>
  <c r="W894" i="3"/>
  <c r="AA893" i="3"/>
  <c r="Z893" i="3"/>
  <c r="Y893" i="3"/>
  <c r="X893" i="3"/>
  <c r="W893" i="3"/>
  <c r="AA892" i="3"/>
  <c r="Z892" i="3"/>
  <c r="Y892" i="3"/>
  <c r="X892" i="3"/>
  <c r="W892" i="3"/>
  <c r="AA891" i="3"/>
  <c r="Z891" i="3"/>
  <c r="Y891" i="3"/>
  <c r="X891" i="3"/>
  <c r="W891" i="3"/>
  <c r="AA890" i="3"/>
  <c r="Z890" i="3"/>
  <c r="Y890" i="3"/>
  <c r="X890" i="3"/>
  <c r="W890" i="3"/>
  <c r="AA889" i="3"/>
  <c r="Z889" i="3"/>
  <c r="Y889" i="3"/>
  <c r="X889" i="3"/>
  <c r="W889" i="3"/>
  <c r="AA888" i="3"/>
  <c r="Z888" i="3"/>
  <c r="Y888" i="3"/>
  <c r="X888" i="3"/>
  <c r="W888" i="3"/>
  <c r="AA887" i="3"/>
  <c r="Z887" i="3"/>
  <c r="Y887" i="3"/>
  <c r="X887" i="3"/>
  <c r="W887" i="3"/>
  <c r="AA886" i="3"/>
  <c r="Z886" i="3"/>
  <c r="Y886" i="3"/>
  <c r="X886" i="3"/>
  <c r="W886" i="3"/>
  <c r="AA885" i="3"/>
  <c r="Z885" i="3"/>
  <c r="Y885" i="3"/>
  <c r="X885" i="3"/>
  <c r="W885" i="3"/>
  <c r="AA884" i="3"/>
  <c r="Z884" i="3"/>
  <c r="Y884" i="3"/>
  <c r="X884" i="3"/>
  <c r="W884" i="3"/>
  <c r="AA883" i="3"/>
  <c r="Z883" i="3"/>
  <c r="Y883" i="3"/>
  <c r="X883" i="3"/>
  <c r="W883" i="3"/>
  <c r="AA882" i="3"/>
  <c r="Z882" i="3"/>
  <c r="Y882" i="3"/>
  <c r="X882" i="3"/>
  <c r="W882" i="3"/>
  <c r="AA881" i="3"/>
  <c r="Z881" i="3"/>
  <c r="Y881" i="3"/>
  <c r="X881" i="3"/>
  <c r="W881" i="3"/>
  <c r="AA880" i="3"/>
  <c r="Z880" i="3"/>
  <c r="Y880" i="3"/>
  <c r="X880" i="3"/>
  <c r="W880" i="3"/>
  <c r="AA879" i="3"/>
  <c r="Z879" i="3"/>
  <c r="Y879" i="3"/>
  <c r="X879" i="3"/>
  <c r="W879" i="3"/>
  <c r="AA878" i="3"/>
  <c r="Z878" i="3"/>
  <c r="Y878" i="3"/>
  <c r="X878" i="3"/>
  <c r="W878" i="3"/>
  <c r="AA877" i="3"/>
  <c r="Z877" i="3"/>
  <c r="Y877" i="3"/>
  <c r="X877" i="3"/>
  <c r="W877" i="3"/>
  <c r="AA876" i="3"/>
  <c r="Z876" i="3"/>
  <c r="Y876" i="3"/>
  <c r="X876" i="3"/>
  <c r="W876" i="3"/>
  <c r="AA875" i="3"/>
  <c r="Z875" i="3"/>
  <c r="Y875" i="3"/>
  <c r="X875" i="3"/>
  <c r="W875" i="3"/>
  <c r="AA874" i="3"/>
  <c r="Z874" i="3"/>
  <c r="Y874" i="3"/>
  <c r="X874" i="3"/>
  <c r="W874" i="3"/>
  <c r="AA873" i="3"/>
  <c r="Z873" i="3"/>
  <c r="Y873" i="3"/>
  <c r="X873" i="3"/>
  <c r="W873" i="3"/>
  <c r="AA872" i="3"/>
  <c r="Z872" i="3"/>
  <c r="Y872" i="3"/>
  <c r="X872" i="3"/>
  <c r="W872" i="3"/>
  <c r="AA871" i="3"/>
  <c r="Z871" i="3"/>
  <c r="Y871" i="3"/>
  <c r="X871" i="3"/>
  <c r="W871" i="3"/>
  <c r="AA870" i="3"/>
  <c r="Z870" i="3"/>
  <c r="Y870" i="3"/>
  <c r="X870" i="3"/>
  <c r="W870" i="3"/>
  <c r="AA869" i="3"/>
  <c r="Z869" i="3"/>
  <c r="Y869" i="3"/>
  <c r="X869" i="3"/>
  <c r="W869" i="3"/>
  <c r="AA868" i="3"/>
  <c r="Z868" i="3"/>
  <c r="Y868" i="3"/>
  <c r="X868" i="3"/>
  <c r="W868" i="3"/>
  <c r="AA867" i="3"/>
  <c r="Z867" i="3"/>
  <c r="Y867" i="3"/>
  <c r="X867" i="3"/>
  <c r="W867" i="3"/>
  <c r="AA866" i="3"/>
  <c r="Z866" i="3"/>
  <c r="Y866" i="3"/>
  <c r="X866" i="3"/>
  <c r="W866" i="3"/>
  <c r="AA865" i="3"/>
  <c r="Z865" i="3"/>
  <c r="Y865" i="3"/>
  <c r="X865" i="3"/>
  <c r="W865" i="3"/>
  <c r="AA864" i="3"/>
  <c r="Z864" i="3"/>
  <c r="Y864" i="3"/>
  <c r="X864" i="3"/>
  <c r="W864" i="3"/>
  <c r="AA863" i="3"/>
  <c r="Z863" i="3"/>
  <c r="Y863" i="3"/>
  <c r="X863" i="3"/>
  <c r="W863" i="3"/>
  <c r="AA862" i="3"/>
  <c r="Z862" i="3"/>
  <c r="Y862" i="3"/>
  <c r="X862" i="3"/>
  <c r="W862" i="3"/>
  <c r="AA861" i="3"/>
  <c r="Z861" i="3"/>
  <c r="Y861" i="3"/>
  <c r="X861" i="3"/>
  <c r="W861" i="3"/>
  <c r="AA860" i="3"/>
  <c r="Z860" i="3"/>
  <c r="Y860" i="3"/>
  <c r="X860" i="3"/>
  <c r="W860" i="3"/>
  <c r="AA859" i="3"/>
  <c r="Z859" i="3"/>
  <c r="Y859" i="3"/>
  <c r="X859" i="3"/>
  <c r="W859" i="3"/>
  <c r="AA858" i="3"/>
  <c r="Z858" i="3"/>
  <c r="Y858" i="3"/>
  <c r="X858" i="3"/>
  <c r="W858" i="3"/>
  <c r="AA857" i="3"/>
  <c r="Z857" i="3"/>
  <c r="Y857" i="3"/>
  <c r="X857" i="3"/>
  <c r="W857" i="3"/>
  <c r="AA856" i="3"/>
  <c r="Z856" i="3"/>
  <c r="Y856" i="3"/>
  <c r="X856" i="3"/>
  <c r="W856" i="3"/>
  <c r="AA855" i="3"/>
  <c r="Z855" i="3"/>
  <c r="Y855" i="3"/>
  <c r="X855" i="3"/>
  <c r="W855" i="3"/>
  <c r="AA854" i="3"/>
  <c r="Z854" i="3"/>
  <c r="Y854" i="3"/>
  <c r="X854" i="3"/>
  <c r="W854" i="3"/>
  <c r="AA853" i="3"/>
  <c r="Z853" i="3"/>
  <c r="Y853" i="3"/>
  <c r="X853" i="3"/>
  <c r="W853" i="3"/>
  <c r="AA852" i="3"/>
  <c r="Z852" i="3"/>
  <c r="Y852" i="3"/>
  <c r="X852" i="3"/>
  <c r="W852" i="3"/>
  <c r="AA851" i="3"/>
  <c r="Z851" i="3"/>
  <c r="Y851" i="3"/>
  <c r="X851" i="3"/>
  <c r="W851" i="3"/>
  <c r="AA850" i="3"/>
  <c r="Z850" i="3"/>
  <c r="Y850" i="3"/>
  <c r="X850" i="3"/>
  <c r="W850" i="3"/>
  <c r="AA849" i="3"/>
  <c r="Z849" i="3"/>
  <c r="Y849" i="3"/>
  <c r="X849" i="3"/>
  <c r="W849" i="3"/>
  <c r="AA848" i="3"/>
  <c r="Z848" i="3"/>
  <c r="Y848" i="3"/>
  <c r="X848" i="3"/>
  <c r="W848" i="3"/>
  <c r="AA847" i="3"/>
  <c r="Z847" i="3"/>
  <c r="Y847" i="3"/>
  <c r="X847" i="3"/>
  <c r="W847" i="3"/>
  <c r="AA846" i="3"/>
  <c r="Z846" i="3"/>
  <c r="Y846" i="3"/>
  <c r="X846" i="3"/>
  <c r="W846" i="3"/>
  <c r="AA845" i="3"/>
  <c r="Z845" i="3"/>
  <c r="Y845" i="3"/>
  <c r="X845" i="3"/>
  <c r="W845" i="3"/>
  <c r="AA844" i="3"/>
  <c r="Z844" i="3"/>
  <c r="Y844" i="3"/>
  <c r="X844" i="3"/>
  <c r="W844" i="3"/>
  <c r="AA843" i="3"/>
  <c r="Z843" i="3"/>
  <c r="Y843" i="3"/>
  <c r="X843" i="3"/>
  <c r="W843" i="3"/>
  <c r="AA842" i="3"/>
  <c r="Z842" i="3"/>
  <c r="Y842" i="3"/>
  <c r="X842" i="3"/>
  <c r="W842" i="3"/>
  <c r="AA841" i="3"/>
  <c r="Z841" i="3"/>
  <c r="Y841" i="3"/>
  <c r="X841" i="3"/>
  <c r="W841" i="3"/>
  <c r="AA840" i="3"/>
  <c r="Z840" i="3"/>
  <c r="Y840" i="3"/>
  <c r="X840" i="3"/>
  <c r="W840" i="3"/>
  <c r="AA839" i="3"/>
  <c r="Z839" i="3"/>
  <c r="Y839" i="3"/>
  <c r="X839" i="3"/>
  <c r="W839" i="3"/>
  <c r="AA838" i="3"/>
  <c r="Z838" i="3"/>
  <c r="Y838" i="3"/>
  <c r="X838" i="3"/>
  <c r="W838" i="3"/>
  <c r="AA837" i="3"/>
  <c r="Z837" i="3"/>
  <c r="Y837" i="3"/>
  <c r="X837" i="3"/>
  <c r="W837" i="3"/>
  <c r="AA836" i="3"/>
  <c r="Z836" i="3"/>
  <c r="Y836" i="3"/>
  <c r="X836" i="3"/>
  <c r="W836" i="3"/>
  <c r="AA835" i="3"/>
  <c r="Z835" i="3"/>
  <c r="Y835" i="3"/>
  <c r="X835" i="3"/>
  <c r="W835" i="3"/>
  <c r="AA834" i="3"/>
  <c r="Z834" i="3"/>
  <c r="Y834" i="3"/>
  <c r="X834" i="3"/>
  <c r="W834" i="3"/>
  <c r="AA833" i="3"/>
  <c r="Z833" i="3"/>
  <c r="Y833" i="3"/>
  <c r="X833" i="3"/>
  <c r="W833" i="3"/>
  <c r="AA832" i="3"/>
  <c r="Z832" i="3"/>
  <c r="Y832" i="3"/>
  <c r="X832" i="3"/>
  <c r="W832" i="3"/>
  <c r="AA831" i="3"/>
  <c r="Z831" i="3"/>
  <c r="Y831" i="3"/>
  <c r="X831" i="3"/>
  <c r="W831" i="3"/>
  <c r="AA830" i="3"/>
  <c r="Z830" i="3"/>
  <c r="Y830" i="3"/>
  <c r="X830" i="3"/>
  <c r="W830" i="3"/>
  <c r="AA829" i="3"/>
  <c r="Z829" i="3"/>
  <c r="Y829" i="3"/>
  <c r="X829" i="3"/>
  <c r="W829" i="3"/>
  <c r="AA828" i="3"/>
  <c r="Z828" i="3"/>
  <c r="Y828" i="3"/>
  <c r="X828" i="3"/>
  <c r="W828" i="3"/>
  <c r="AA827" i="3"/>
  <c r="Z827" i="3"/>
  <c r="Y827" i="3"/>
  <c r="X827" i="3"/>
  <c r="W827" i="3"/>
  <c r="AA826" i="3"/>
  <c r="Z826" i="3"/>
  <c r="Y826" i="3"/>
  <c r="X826" i="3"/>
  <c r="W826" i="3"/>
  <c r="AA825" i="3"/>
  <c r="Z825" i="3"/>
  <c r="Y825" i="3"/>
  <c r="X825" i="3"/>
  <c r="W825" i="3"/>
  <c r="AA824" i="3"/>
  <c r="Z824" i="3"/>
  <c r="Y824" i="3"/>
  <c r="X824" i="3"/>
  <c r="W824" i="3"/>
  <c r="AA823" i="3"/>
  <c r="Z823" i="3"/>
  <c r="Y823" i="3"/>
  <c r="X823" i="3"/>
  <c r="W823" i="3"/>
  <c r="AA822" i="3"/>
  <c r="Z822" i="3"/>
  <c r="Y822" i="3"/>
  <c r="X822" i="3"/>
  <c r="W822" i="3"/>
  <c r="AA821" i="3"/>
  <c r="Z821" i="3"/>
  <c r="Y821" i="3"/>
  <c r="X821" i="3"/>
  <c r="W821" i="3"/>
  <c r="AA820" i="3"/>
  <c r="Z820" i="3"/>
  <c r="Y820" i="3"/>
  <c r="X820" i="3"/>
  <c r="W820" i="3"/>
  <c r="AA819" i="3"/>
  <c r="Z819" i="3"/>
  <c r="Y819" i="3"/>
  <c r="X819" i="3"/>
  <c r="W819" i="3"/>
  <c r="AA818" i="3"/>
  <c r="Z818" i="3"/>
  <c r="Y818" i="3"/>
  <c r="X818" i="3"/>
  <c r="W818" i="3"/>
  <c r="AA817" i="3"/>
  <c r="Z817" i="3"/>
  <c r="Y817" i="3"/>
  <c r="X817" i="3"/>
  <c r="W817" i="3"/>
  <c r="AA816" i="3"/>
  <c r="Z816" i="3"/>
  <c r="Y816" i="3"/>
  <c r="X816" i="3"/>
  <c r="W816" i="3"/>
  <c r="AA815" i="3"/>
  <c r="Z815" i="3"/>
  <c r="Y815" i="3"/>
  <c r="X815" i="3"/>
  <c r="W815" i="3"/>
  <c r="AA814" i="3"/>
  <c r="Z814" i="3"/>
  <c r="Y814" i="3"/>
  <c r="X814" i="3"/>
  <c r="W814" i="3"/>
  <c r="AA813" i="3"/>
  <c r="Z813" i="3"/>
  <c r="Y813" i="3"/>
  <c r="X813" i="3"/>
  <c r="W813" i="3"/>
  <c r="AA812" i="3"/>
  <c r="Z812" i="3"/>
  <c r="Y812" i="3"/>
  <c r="X812" i="3"/>
  <c r="W812" i="3"/>
  <c r="AA811" i="3"/>
  <c r="Z811" i="3"/>
  <c r="Y811" i="3"/>
  <c r="X811" i="3"/>
  <c r="W811" i="3"/>
  <c r="AA810" i="3"/>
  <c r="Z810" i="3"/>
  <c r="Y810" i="3"/>
  <c r="X810" i="3"/>
  <c r="W810" i="3"/>
  <c r="AA809" i="3"/>
  <c r="Z809" i="3"/>
  <c r="Y809" i="3"/>
  <c r="X809" i="3"/>
  <c r="W809" i="3"/>
  <c r="AA808" i="3"/>
  <c r="Z808" i="3"/>
  <c r="Y808" i="3"/>
  <c r="X808" i="3"/>
  <c r="W808" i="3"/>
  <c r="AA807" i="3"/>
  <c r="Z807" i="3"/>
  <c r="Y807" i="3"/>
  <c r="X807" i="3"/>
  <c r="W807" i="3"/>
  <c r="AA806" i="3"/>
  <c r="Z806" i="3"/>
  <c r="Y806" i="3"/>
  <c r="X806" i="3"/>
  <c r="W806" i="3"/>
  <c r="AA805" i="3"/>
  <c r="Z805" i="3"/>
  <c r="Y805" i="3"/>
  <c r="X805" i="3"/>
  <c r="W805" i="3"/>
  <c r="AA804" i="3"/>
  <c r="Z804" i="3"/>
  <c r="Y804" i="3"/>
  <c r="X804" i="3"/>
  <c r="W804" i="3"/>
  <c r="AA803" i="3"/>
  <c r="Z803" i="3"/>
  <c r="Y803" i="3"/>
  <c r="X803" i="3"/>
  <c r="W803" i="3"/>
  <c r="AA802" i="3"/>
  <c r="Z802" i="3"/>
  <c r="Y802" i="3"/>
  <c r="X802" i="3"/>
  <c r="W802" i="3"/>
  <c r="AA801" i="3"/>
  <c r="Z801" i="3"/>
  <c r="Y801" i="3"/>
  <c r="X801" i="3"/>
  <c r="W801" i="3"/>
  <c r="AA800" i="3"/>
  <c r="Z800" i="3"/>
  <c r="Y800" i="3"/>
  <c r="X800" i="3"/>
  <c r="W800" i="3"/>
  <c r="AA799" i="3"/>
  <c r="Z799" i="3"/>
  <c r="Y799" i="3"/>
  <c r="X799" i="3"/>
  <c r="W799" i="3"/>
  <c r="AA798" i="3"/>
  <c r="Z798" i="3"/>
  <c r="Y798" i="3"/>
  <c r="X798" i="3"/>
  <c r="W798" i="3"/>
  <c r="AA797" i="3"/>
  <c r="Z797" i="3"/>
  <c r="Y797" i="3"/>
  <c r="X797" i="3"/>
  <c r="W797" i="3"/>
  <c r="AA796" i="3"/>
  <c r="Z796" i="3"/>
  <c r="Y796" i="3"/>
  <c r="X796" i="3"/>
  <c r="W796" i="3"/>
  <c r="AA795" i="3"/>
  <c r="Z795" i="3"/>
  <c r="Y795" i="3"/>
  <c r="X795" i="3"/>
  <c r="W795" i="3"/>
  <c r="AA794" i="3"/>
  <c r="Z794" i="3"/>
  <c r="Y794" i="3"/>
  <c r="X794" i="3"/>
  <c r="W794" i="3"/>
  <c r="AA793" i="3"/>
  <c r="Z793" i="3"/>
  <c r="Y793" i="3"/>
  <c r="X793" i="3"/>
  <c r="W793" i="3"/>
  <c r="AA792" i="3"/>
  <c r="Z792" i="3"/>
  <c r="Y792" i="3"/>
  <c r="X792" i="3"/>
  <c r="W792" i="3"/>
  <c r="AA791" i="3"/>
  <c r="Z791" i="3"/>
  <c r="Y791" i="3"/>
  <c r="X791" i="3"/>
  <c r="W791" i="3"/>
  <c r="AA790" i="3"/>
  <c r="Z790" i="3"/>
  <c r="Y790" i="3"/>
  <c r="X790" i="3"/>
  <c r="W790" i="3"/>
  <c r="AA789" i="3"/>
  <c r="Z789" i="3"/>
  <c r="Y789" i="3"/>
  <c r="X789" i="3"/>
  <c r="W789" i="3"/>
  <c r="AA788" i="3"/>
  <c r="Z788" i="3"/>
  <c r="Y788" i="3"/>
  <c r="X788" i="3"/>
  <c r="W788" i="3"/>
  <c r="AA787" i="3"/>
  <c r="Z787" i="3"/>
  <c r="Y787" i="3"/>
  <c r="X787" i="3"/>
  <c r="W787" i="3"/>
  <c r="AA786" i="3"/>
  <c r="Z786" i="3"/>
  <c r="Y786" i="3"/>
  <c r="X786" i="3"/>
  <c r="W786" i="3"/>
  <c r="AA785" i="3"/>
  <c r="Z785" i="3"/>
  <c r="Y785" i="3"/>
  <c r="X785" i="3"/>
  <c r="W785" i="3"/>
  <c r="AA784" i="3"/>
  <c r="Z784" i="3"/>
  <c r="Y784" i="3"/>
  <c r="X784" i="3"/>
  <c r="W784" i="3"/>
  <c r="AA783" i="3"/>
  <c r="Z783" i="3"/>
  <c r="Y783" i="3"/>
  <c r="X783" i="3"/>
  <c r="W783" i="3"/>
  <c r="AA782" i="3"/>
  <c r="Z782" i="3"/>
  <c r="Y782" i="3"/>
  <c r="X782" i="3"/>
  <c r="W782" i="3"/>
  <c r="AA781" i="3"/>
  <c r="Z781" i="3"/>
  <c r="Y781" i="3"/>
  <c r="X781" i="3"/>
  <c r="W781" i="3"/>
  <c r="AA780" i="3"/>
  <c r="Z780" i="3"/>
  <c r="Y780" i="3"/>
  <c r="X780" i="3"/>
  <c r="W780" i="3"/>
  <c r="AA779" i="3"/>
  <c r="Z779" i="3"/>
  <c r="Y779" i="3"/>
  <c r="X779" i="3"/>
  <c r="W779" i="3"/>
  <c r="AA778" i="3"/>
  <c r="Z778" i="3"/>
  <c r="Y778" i="3"/>
  <c r="X778" i="3"/>
  <c r="W778" i="3"/>
  <c r="AA777" i="3"/>
  <c r="Z777" i="3"/>
  <c r="Y777" i="3"/>
  <c r="X777" i="3"/>
  <c r="W777" i="3"/>
  <c r="AA776" i="3"/>
  <c r="Z776" i="3"/>
  <c r="Y776" i="3"/>
  <c r="X776" i="3"/>
  <c r="W776" i="3"/>
  <c r="AA775" i="3"/>
  <c r="Z775" i="3"/>
  <c r="Y775" i="3"/>
  <c r="X775" i="3"/>
  <c r="W775" i="3"/>
  <c r="AA774" i="3"/>
  <c r="Z774" i="3"/>
  <c r="Y774" i="3"/>
  <c r="X774" i="3"/>
  <c r="W774" i="3"/>
  <c r="AA773" i="3"/>
  <c r="Z773" i="3"/>
  <c r="Y773" i="3"/>
  <c r="X773" i="3"/>
  <c r="W773" i="3"/>
  <c r="AA772" i="3"/>
  <c r="Z772" i="3"/>
  <c r="Y772" i="3"/>
  <c r="X772" i="3"/>
  <c r="W772" i="3"/>
  <c r="AA771" i="3"/>
  <c r="Z771" i="3"/>
  <c r="Y771" i="3"/>
  <c r="X771" i="3"/>
  <c r="W771" i="3"/>
  <c r="AA770" i="3"/>
  <c r="Z770" i="3"/>
  <c r="Y770" i="3"/>
  <c r="X770" i="3"/>
  <c r="W770" i="3"/>
  <c r="AA769" i="3"/>
  <c r="Z769" i="3"/>
  <c r="Y769" i="3"/>
  <c r="X769" i="3"/>
  <c r="W769" i="3"/>
  <c r="AA768" i="3"/>
  <c r="Z768" i="3"/>
  <c r="Y768" i="3"/>
  <c r="X768" i="3"/>
  <c r="W768" i="3"/>
  <c r="AA767" i="3"/>
  <c r="Z767" i="3"/>
  <c r="Y767" i="3"/>
  <c r="X767" i="3"/>
  <c r="W767" i="3"/>
  <c r="AA766" i="3"/>
  <c r="Z766" i="3"/>
  <c r="Y766" i="3"/>
  <c r="X766" i="3"/>
  <c r="W766" i="3"/>
  <c r="AA765" i="3"/>
  <c r="Z765" i="3"/>
  <c r="Y765" i="3"/>
  <c r="X765" i="3"/>
  <c r="W765" i="3"/>
  <c r="AA764" i="3"/>
  <c r="Z764" i="3"/>
  <c r="Y764" i="3"/>
  <c r="X764" i="3"/>
  <c r="W764" i="3"/>
  <c r="AA763" i="3"/>
  <c r="Z763" i="3"/>
  <c r="Y763" i="3"/>
  <c r="X763" i="3"/>
  <c r="W763" i="3"/>
  <c r="AA762" i="3"/>
  <c r="Z762" i="3"/>
  <c r="Y762" i="3"/>
  <c r="X762" i="3"/>
  <c r="W762" i="3"/>
  <c r="AA761" i="3"/>
  <c r="Z761" i="3"/>
  <c r="Y761" i="3"/>
  <c r="X761" i="3"/>
  <c r="W761" i="3"/>
  <c r="AA760" i="3"/>
  <c r="Z760" i="3"/>
  <c r="Y760" i="3"/>
  <c r="X760" i="3"/>
  <c r="W760" i="3"/>
  <c r="AA759" i="3"/>
  <c r="Z759" i="3"/>
  <c r="Y759" i="3"/>
  <c r="X759" i="3"/>
  <c r="W759" i="3"/>
  <c r="AA758" i="3"/>
  <c r="Z758" i="3"/>
  <c r="Y758" i="3"/>
  <c r="X758" i="3"/>
  <c r="W758" i="3"/>
  <c r="AA757" i="3"/>
  <c r="Z757" i="3"/>
  <c r="Y757" i="3"/>
  <c r="X757" i="3"/>
  <c r="W757" i="3"/>
  <c r="AA756" i="3"/>
  <c r="Z756" i="3"/>
  <c r="Y756" i="3"/>
  <c r="X756" i="3"/>
  <c r="W756" i="3"/>
  <c r="AA755" i="3"/>
  <c r="Z755" i="3"/>
  <c r="Y755" i="3"/>
  <c r="X755" i="3"/>
  <c r="W755" i="3"/>
  <c r="AA754" i="3"/>
  <c r="Z754" i="3"/>
  <c r="Y754" i="3"/>
  <c r="X754" i="3"/>
  <c r="W754" i="3"/>
  <c r="AA753" i="3"/>
  <c r="Z753" i="3"/>
  <c r="Y753" i="3"/>
  <c r="X753" i="3"/>
  <c r="W753" i="3"/>
  <c r="AA752" i="3"/>
  <c r="Z752" i="3"/>
  <c r="Y752" i="3"/>
  <c r="X752" i="3"/>
  <c r="W752" i="3"/>
  <c r="AA751" i="3"/>
  <c r="Z751" i="3"/>
  <c r="Y751" i="3"/>
  <c r="X751" i="3"/>
  <c r="W751" i="3"/>
  <c r="AA750" i="3"/>
  <c r="Z750" i="3"/>
  <c r="Y750" i="3"/>
  <c r="X750" i="3"/>
  <c r="W750" i="3"/>
  <c r="AA749" i="3"/>
  <c r="Z749" i="3"/>
  <c r="Y749" i="3"/>
  <c r="X749" i="3"/>
  <c r="W749" i="3"/>
  <c r="AA748" i="3"/>
  <c r="Z748" i="3"/>
  <c r="Y748" i="3"/>
  <c r="X748" i="3"/>
  <c r="W748" i="3"/>
  <c r="AA747" i="3"/>
  <c r="Z747" i="3"/>
  <c r="Y747" i="3"/>
  <c r="X747" i="3"/>
  <c r="W747" i="3"/>
  <c r="AA746" i="3"/>
  <c r="Z746" i="3"/>
  <c r="Y746" i="3"/>
  <c r="X746" i="3"/>
  <c r="W746" i="3"/>
  <c r="AA745" i="3"/>
  <c r="Z745" i="3"/>
  <c r="Y745" i="3"/>
  <c r="X745" i="3"/>
  <c r="W745" i="3"/>
  <c r="AA744" i="3"/>
  <c r="Z744" i="3"/>
  <c r="Y744" i="3"/>
  <c r="X744" i="3"/>
  <c r="W744" i="3"/>
  <c r="AA743" i="3"/>
  <c r="Z743" i="3"/>
  <c r="Y743" i="3"/>
  <c r="X743" i="3"/>
  <c r="W743" i="3"/>
  <c r="AA742" i="3"/>
  <c r="Z742" i="3"/>
  <c r="Y742" i="3"/>
  <c r="X742" i="3"/>
  <c r="W742" i="3"/>
  <c r="AA741" i="3"/>
  <c r="Z741" i="3"/>
  <c r="Y741" i="3"/>
  <c r="X741" i="3"/>
  <c r="W741" i="3"/>
  <c r="AA740" i="3"/>
  <c r="Z740" i="3"/>
  <c r="Y740" i="3"/>
  <c r="X740" i="3"/>
  <c r="W740" i="3"/>
  <c r="AA739" i="3"/>
  <c r="Z739" i="3"/>
  <c r="Y739" i="3"/>
  <c r="X739" i="3"/>
  <c r="W739" i="3"/>
  <c r="AA738" i="3"/>
  <c r="Z738" i="3"/>
  <c r="Y738" i="3"/>
  <c r="X738" i="3"/>
  <c r="W738" i="3"/>
  <c r="AA737" i="3"/>
  <c r="Z737" i="3"/>
  <c r="Y737" i="3"/>
  <c r="X737" i="3"/>
  <c r="W737" i="3"/>
  <c r="AA736" i="3"/>
  <c r="Z736" i="3"/>
  <c r="Y736" i="3"/>
  <c r="X736" i="3"/>
  <c r="W736" i="3"/>
  <c r="AA735" i="3"/>
  <c r="Z735" i="3"/>
  <c r="Y735" i="3"/>
  <c r="X735" i="3"/>
  <c r="W735" i="3"/>
  <c r="AA734" i="3"/>
  <c r="Z734" i="3"/>
  <c r="Y734" i="3"/>
  <c r="X734" i="3"/>
  <c r="W734" i="3"/>
  <c r="AA733" i="3"/>
  <c r="Z733" i="3"/>
  <c r="Y733" i="3"/>
  <c r="X733" i="3"/>
  <c r="W733" i="3"/>
  <c r="AA732" i="3"/>
  <c r="Z732" i="3"/>
  <c r="Y732" i="3"/>
  <c r="X732" i="3"/>
  <c r="W732" i="3"/>
  <c r="AA731" i="3"/>
  <c r="Z731" i="3"/>
  <c r="Y731" i="3"/>
  <c r="X731" i="3"/>
  <c r="W731" i="3"/>
  <c r="AA730" i="3"/>
  <c r="Z730" i="3"/>
  <c r="Y730" i="3"/>
  <c r="X730" i="3"/>
  <c r="W730" i="3"/>
  <c r="AA729" i="3"/>
  <c r="Z729" i="3"/>
  <c r="Y729" i="3"/>
  <c r="X729" i="3"/>
  <c r="W729" i="3"/>
  <c r="AA728" i="3"/>
  <c r="Z728" i="3"/>
  <c r="Y728" i="3"/>
  <c r="X728" i="3"/>
  <c r="W728" i="3"/>
  <c r="AA727" i="3"/>
  <c r="Z727" i="3"/>
  <c r="Y727" i="3"/>
  <c r="X727" i="3"/>
  <c r="W727" i="3"/>
  <c r="AA726" i="3"/>
  <c r="Z726" i="3"/>
  <c r="Y726" i="3"/>
  <c r="X726" i="3"/>
  <c r="W726" i="3"/>
  <c r="AA725" i="3"/>
  <c r="Z725" i="3"/>
  <c r="Y725" i="3"/>
  <c r="X725" i="3"/>
  <c r="W725" i="3"/>
  <c r="AA724" i="3"/>
  <c r="Z724" i="3"/>
  <c r="Y724" i="3"/>
  <c r="X724" i="3"/>
  <c r="W724" i="3"/>
  <c r="AA723" i="3"/>
  <c r="Z723" i="3"/>
  <c r="Y723" i="3"/>
  <c r="X723" i="3"/>
  <c r="W723" i="3"/>
  <c r="AA722" i="3"/>
  <c r="Z722" i="3"/>
  <c r="Y722" i="3"/>
  <c r="X722" i="3"/>
  <c r="W722" i="3"/>
  <c r="AA721" i="3"/>
  <c r="Z721" i="3"/>
  <c r="Y721" i="3"/>
  <c r="X721" i="3"/>
  <c r="W721" i="3"/>
  <c r="AA720" i="3"/>
  <c r="Z720" i="3"/>
  <c r="Y720" i="3"/>
  <c r="X720" i="3"/>
  <c r="W720" i="3"/>
  <c r="AA719" i="3"/>
  <c r="Z719" i="3"/>
  <c r="Y719" i="3"/>
  <c r="X719" i="3"/>
  <c r="W719" i="3"/>
  <c r="AA718" i="3"/>
  <c r="Z718" i="3"/>
  <c r="Y718" i="3"/>
  <c r="X718" i="3"/>
  <c r="W718" i="3"/>
  <c r="AA717" i="3"/>
  <c r="Z717" i="3"/>
  <c r="Y717" i="3"/>
  <c r="X717" i="3"/>
  <c r="W717" i="3"/>
  <c r="AA716" i="3"/>
  <c r="Z716" i="3"/>
  <c r="Y716" i="3"/>
  <c r="X716" i="3"/>
  <c r="W716" i="3"/>
  <c r="AA715" i="3"/>
  <c r="Z715" i="3"/>
  <c r="Y715" i="3"/>
  <c r="X715" i="3"/>
  <c r="W715" i="3"/>
  <c r="AA714" i="3"/>
  <c r="Z714" i="3"/>
  <c r="Y714" i="3"/>
  <c r="X714" i="3"/>
  <c r="W714" i="3"/>
  <c r="AA713" i="3"/>
  <c r="Z713" i="3"/>
  <c r="Y713" i="3"/>
  <c r="X713" i="3"/>
  <c r="W713" i="3"/>
  <c r="AA712" i="3"/>
  <c r="Z712" i="3"/>
  <c r="Y712" i="3"/>
  <c r="X712" i="3"/>
  <c r="W712" i="3"/>
  <c r="AA711" i="3"/>
  <c r="Z711" i="3"/>
  <c r="Y711" i="3"/>
  <c r="X711" i="3"/>
  <c r="W711" i="3"/>
  <c r="AA710" i="3"/>
  <c r="Z710" i="3"/>
  <c r="Y710" i="3"/>
  <c r="X710" i="3"/>
  <c r="W710" i="3"/>
  <c r="AA709" i="3"/>
  <c r="Z709" i="3"/>
  <c r="Y709" i="3"/>
  <c r="X709" i="3"/>
  <c r="W709" i="3"/>
  <c r="AA708" i="3"/>
  <c r="Z708" i="3"/>
  <c r="Y708" i="3"/>
  <c r="X708" i="3"/>
  <c r="W708" i="3"/>
  <c r="AA707" i="3"/>
  <c r="Z707" i="3"/>
  <c r="Y707" i="3"/>
  <c r="X707" i="3"/>
  <c r="W707" i="3"/>
  <c r="AA706" i="3"/>
  <c r="Z706" i="3"/>
  <c r="Y706" i="3"/>
  <c r="X706" i="3"/>
  <c r="W706" i="3"/>
  <c r="AA705" i="3"/>
  <c r="Z705" i="3"/>
  <c r="Y705" i="3"/>
  <c r="X705" i="3"/>
  <c r="W705" i="3"/>
  <c r="AA704" i="3"/>
  <c r="Z704" i="3"/>
  <c r="Y704" i="3"/>
  <c r="X704" i="3"/>
  <c r="W704" i="3"/>
  <c r="AA703" i="3"/>
  <c r="Z703" i="3"/>
  <c r="Y703" i="3"/>
  <c r="X703" i="3"/>
  <c r="W703" i="3"/>
  <c r="AA702" i="3"/>
  <c r="Z702" i="3"/>
  <c r="Y702" i="3"/>
  <c r="X702" i="3"/>
  <c r="W702" i="3"/>
  <c r="AA701" i="3"/>
  <c r="Z701" i="3"/>
  <c r="Y701" i="3"/>
  <c r="X701" i="3"/>
  <c r="W701" i="3"/>
  <c r="AA700" i="3"/>
  <c r="Z700" i="3"/>
  <c r="Y700" i="3"/>
  <c r="X700" i="3"/>
  <c r="W700" i="3"/>
  <c r="AA699" i="3"/>
  <c r="Z699" i="3"/>
  <c r="Y699" i="3"/>
  <c r="X699" i="3"/>
  <c r="W699" i="3"/>
  <c r="AA698" i="3"/>
  <c r="Z698" i="3"/>
  <c r="Y698" i="3"/>
  <c r="X698" i="3"/>
  <c r="W698" i="3"/>
  <c r="AA697" i="3"/>
  <c r="Z697" i="3"/>
  <c r="Y697" i="3"/>
  <c r="X697" i="3"/>
  <c r="W697" i="3"/>
  <c r="AA696" i="3"/>
  <c r="Z696" i="3"/>
  <c r="Y696" i="3"/>
  <c r="X696" i="3"/>
  <c r="W696" i="3"/>
  <c r="AA695" i="3"/>
  <c r="Z695" i="3"/>
  <c r="Y695" i="3"/>
  <c r="X695" i="3"/>
  <c r="W695" i="3"/>
  <c r="AA694" i="3"/>
  <c r="Z694" i="3"/>
  <c r="Y694" i="3"/>
  <c r="X694" i="3"/>
  <c r="W694" i="3"/>
  <c r="AA693" i="3"/>
  <c r="Z693" i="3"/>
  <c r="Y693" i="3"/>
  <c r="X693" i="3"/>
  <c r="W693" i="3"/>
  <c r="AA692" i="3"/>
  <c r="Z692" i="3"/>
  <c r="Y692" i="3"/>
  <c r="X692" i="3"/>
  <c r="W692" i="3"/>
  <c r="AA691" i="3"/>
  <c r="Z691" i="3"/>
  <c r="Y691" i="3"/>
  <c r="X691" i="3"/>
  <c r="W691" i="3"/>
  <c r="AA690" i="3"/>
  <c r="Z690" i="3"/>
  <c r="Y690" i="3"/>
  <c r="X690" i="3"/>
  <c r="W690" i="3"/>
  <c r="AA689" i="3"/>
  <c r="Z689" i="3"/>
  <c r="Y689" i="3"/>
  <c r="X689" i="3"/>
  <c r="W689" i="3"/>
  <c r="AA688" i="3"/>
  <c r="Z688" i="3"/>
  <c r="Y688" i="3"/>
  <c r="X688" i="3"/>
  <c r="W688" i="3"/>
  <c r="AA687" i="3"/>
  <c r="Z687" i="3"/>
  <c r="Y687" i="3"/>
  <c r="X687" i="3"/>
  <c r="W687" i="3"/>
  <c r="AA686" i="3"/>
  <c r="Z686" i="3"/>
  <c r="Y686" i="3"/>
  <c r="X686" i="3"/>
  <c r="W686" i="3"/>
  <c r="AA685" i="3"/>
  <c r="Z685" i="3"/>
  <c r="Y685" i="3"/>
  <c r="X685" i="3"/>
  <c r="W685" i="3"/>
  <c r="AA684" i="3"/>
  <c r="Z684" i="3"/>
  <c r="Y684" i="3"/>
  <c r="X684" i="3"/>
  <c r="W684" i="3"/>
  <c r="AA683" i="3"/>
  <c r="Z683" i="3"/>
  <c r="Y683" i="3"/>
  <c r="X683" i="3"/>
  <c r="W683" i="3"/>
  <c r="AA682" i="3"/>
  <c r="Z682" i="3"/>
  <c r="Y682" i="3"/>
  <c r="X682" i="3"/>
  <c r="W682" i="3"/>
  <c r="AA681" i="3"/>
  <c r="Z681" i="3"/>
  <c r="Y681" i="3"/>
  <c r="X681" i="3"/>
  <c r="W681" i="3"/>
  <c r="AA680" i="3"/>
  <c r="Z680" i="3"/>
  <c r="Y680" i="3"/>
  <c r="X680" i="3"/>
  <c r="W680" i="3"/>
  <c r="AA679" i="3"/>
  <c r="Z679" i="3"/>
  <c r="Y679" i="3"/>
  <c r="X679" i="3"/>
  <c r="W679" i="3"/>
  <c r="AA678" i="3"/>
  <c r="Z678" i="3"/>
  <c r="Y678" i="3"/>
  <c r="X678" i="3"/>
  <c r="W678" i="3"/>
  <c r="AA677" i="3"/>
  <c r="Z677" i="3"/>
  <c r="Y677" i="3"/>
  <c r="X677" i="3"/>
  <c r="W677" i="3"/>
  <c r="AA676" i="3"/>
  <c r="Z676" i="3"/>
  <c r="Y676" i="3"/>
  <c r="X676" i="3"/>
  <c r="W676" i="3"/>
  <c r="AA675" i="3"/>
  <c r="Z675" i="3"/>
  <c r="Y675" i="3"/>
  <c r="X675" i="3"/>
  <c r="W675" i="3"/>
  <c r="AA674" i="3"/>
  <c r="Z674" i="3"/>
  <c r="Y674" i="3"/>
  <c r="X674" i="3"/>
  <c r="W674" i="3"/>
  <c r="AA673" i="3"/>
  <c r="Z673" i="3"/>
  <c r="Y673" i="3"/>
  <c r="X673" i="3"/>
  <c r="W673" i="3"/>
  <c r="AA672" i="3"/>
  <c r="Z672" i="3"/>
  <c r="Y672" i="3"/>
  <c r="X672" i="3"/>
  <c r="W672" i="3"/>
  <c r="AA671" i="3"/>
  <c r="Z671" i="3"/>
  <c r="Y671" i="3"/>
  <c r="X671" i="3"/>
  <c r="W671" i="3"/>
  <c r="AA670" i="3"/>
  <c r="Z670" i="3"/>
  <c r="Y670" i="3"/>
  <c r="X670" i="3"/>
  <c r="W670" i="3"/>
  <c r="AA669" i="3"/>
  <c r="Z669" i="3"/>
  <c r="Y669" i="3"/>
  <c r="X669" i="3"/>
  <c r="W669" i="3"/>
  <c r="AA668" i="3"/>
  <c r="Z668" i="3"/>
  <c r="Y668" i="3"/>
  <c r="X668" i="3"/>
  <c r="W668" i="3"/>
  <c r="AA667" i="3"/>
  <c r="Z667" i="3"/>
  <c r="Y667" i="3"/>
  <c r="X667" i="3"/>
  <c r="W667" i="3"/>
  <c r="AA666" i="3"/>
  <c r="Z666" i="3"/>
  <c r="Y666" i="3"/>
  <c r="X666" i="3"/>
  <c r="W666" i="3"/>
  <c r="AA665" i="3"/>
  <c r="Z665" i="3"/>
  <c r="Y665" i="3"/>
  <c r="X665" i="3"/>
  <c r="W665" i="3"/>
  <c r="AA664" i="3"/>
  <c r="Z664" i="3"/>
  <c r="Y664" i="3"/>
  <c r="X664" i="3"/>
  <c r="W664" i="3"/>
  <c r="AA663" i="3"/>
  <c r="Z663" i="3"/>
  <c r="Y663" i="3"/>
  <c r="X663" i="3"/>
  <c r="W663" i="3"/>
  <c r="AA662" i="3"/>
  <c r="Z662" i="3"/>
  <c r="Y662" i="3"/>
  <c r="X662" i="3"/>
  <c r="W662" i="3"/>
  <c r="AA661" i="3"/>
  <c r="Z661" i="3"/>
  <c r="Y661" i="3"/>
  <c r="X661" i="3"/>
  <c r="W661" i="3"/>
  <c r="AA660" i="3"/>
  <c r="Z660" i="3"/>
  <c r="Y660" i="3"/>
  <c r="X660" i="3"/>
  <c r="W660" i="3"/>
  <c r="AA659" i="3"/>
  <c r="Z659" i="3"/>
  <c r="Y659" i="3"/>
  <c r="X659" i="3"/>
  <c r="W659" i="3"/>
  <c r="AA658" i="3"/>
  <c r="Z658" i="3"/>
  <c r="Y658" i="3"/>
  <c r="X658" i="3"/>
  <c r="W658" i="3"/>
  <c r="AA657" i="3"/>
  <c r="Z657" i="3"/>
  <c r="Y657" i="3"/>
  <c r="X657" i="3"/>
  <c r="W657" i="3"/>
  <c r="AA656" i="3"/>
  <c r="Z656" i="3"/>
  <c r="Y656" i="3"/>
  <c r="X656" i="3"/>
  <c r="W656" i="3"/>
  <c r="AA655" i="3"/>
  <c r="Z655" i="3"/>
  <c r="Y655" i="3"/>
  <c r="X655" i="3"/>
  <c r="W655" i="3"/>
  <c r="AA654" i="3"/>
  <c r="Z654" i="3"/>
  <c r="Y654" i="3"/>
  <c r="X654" i="3"/>
  <c r="W654" i="3"/>
  <c r="AA653" i="3"/>
  <c r="Z653" i="3"/>
  <c r="Y653" i="3"/>
  <c r="X653" i="3"/>
  <c r="W653" i="3"/>
  <c r="AA652" i="3"/>
  <c r="Z652" i="3"/>
  <c r="Y652" i="3"/>
  <c r="X652" i="3"/>
  <c r="W652" i="3"/>
  <c r="AA651" i="3"/>
  <c r="Z651" i="3"/>
  <c r="Y651" i="3"/>
  <c r="X651" i="3"/>
  <c r="W651" i="3"/>
  <c r="AA650" i="3"/>
  <c r="Z650" i="3"/>
  <c r="Y650" i="3"/>
  <c r="X650" i="3"/>
  <c r="W650" i="3"/>
  <c r="AA649" i="3"/>
  <c r="Z649" i="3"/>
  <c r="Y649" i="3"/>
  <c r="X649" i="3"/>
  <c r="W649" i="3"/>
  <c r="AA648" i="3"/>
  <c r="Z648" i="3"/>
  <c r="Y648" i="3"/>
  <c r="X648" i="3"/>
  <c r="W648" i="3"/>
  <c r="AA647" i="3"/>
  <c r="Z647" i="3"/>
  <c r="Y647" i="3"/>
  <c r="X647" i="3"/>
  <c r="W647" i="3"/>
  <c r="AA646" i="3"/>
  <c r="Z646" i="3"/>
  <c r="Y646" i="3"/>
  <c r="X646" i="3"/>
  <c r="W646" i="3"/>
  <c r="AA645" i="3"/>
  <c r="Z645" i="3"/>
  <c r="Y645" i="3"/>
  <c r="X645" i="3"/>
  <c r="W645" i="3"/>
  <c r="AA644" i="3"/>
  <c r="Z644" i="3"/>
  <c r="Y644" i="3"/>
  <c r="X644" i="3"/>
  <c r="W644" i="3"/>
  <c r="AA643" i="3"/>
  <c r="Z643" i="3"/>
  <c r="Y643" i="3"/>
  <c r="X643" i="3"/>
  <c r="W643" i="3"/>
  <c r="AA642" i="3"/>
  <c r="Z642" i="3"/>
  <c r="Y642" i="3"/>
  <c r="X642" i="3"/>
  <c r="W642" i="3"/>
  <c r="AA641" i="3"/>
  <c r="Z641" i="3"/>
  <c r="Y641" i="3"/>
  <c r="X641" i="3"/>
  <c r="W641" i="3"/>
  <c r="AA640" i="3"/>
  <c r="Z640" i="3"/>
  <c r="Y640" i="3"/>
  <c r="X640" i="3"/>
  <c r="W640" i="3"/>
  <c r="AA639" i="3"/>
  <c r="Z639" i="3"/>
  <c r="Y639" i="3"/>
  <c r="X639" i="3"/>
  <c r="W639" i="3"/>
  <c r="AA638" i="3"/>
  <c r="Z638" i="3"/>
  <c r="Y638" i="3"/>
  <c r="X638" i="3"/>
  <c r="W638" i="3"/>
  <c r="AA637" i="3"/>
  <c r="Z637" i="3"/>
  <c r="Y637" i="3"/>
  <c r="X637" i="3"/>
  <c r="W637" i="3"/>
  <c r="AA636" i="3"/>
  <c r="Z636" i="3"/>
  <c r="Y636" i="3"/>
  <c r="X636" i="3"/>
  <c r="W636" i="3"/>
  <c r="AA635" i="3"/>
  <c r="Z635" i="3"/>
  <c r="Y635" i="3"/>
  <c r="X635" i="3"/>
  <c r="W635" i="3"/>
  <c r="AA634" i="3"/>
  <c r="Z634" i="3"/>
  <c r="Y634" i="3"/>
  <c r="X634" i="3"/>
  <c r="W634" i="3"/>
  <c r="AA633" i="3"/>
  <c r="Z633" i="3"/>
  <c r="Y633" i="3"/>
  <c r="X633" i="3"/>
  <c r="W633" i="3"/>
  <c r="AA632" i="3"/>
  <c r="Z632" i="3"/>
  <c r="Y632" i="3"/>
  <c r="X632" i="3"/>
  <c r="W632" i="3"/>
  <c r="AA631" i="3"/>
  <c r="Z631" i="3"/>
  <c r="Y631" i="3"/>
  <c r="X631" i="3"/>
  <c r="W631" i="3"/>
  <c r="AA630" i="3"/>
  <c r="Z630" i="3"/>
  <c r="Y630" i="3"/>
  <c r="X630" i="3"/>
  <c r="W630" i="3"/>
  <c r="AA629" i="3"/>
  <c r="Z629" i="3"/>
  <c r="Y629" i="3"/>
  <c r="X629" i="3"/>
  <c r="W629" i="3"/>
  <c r="AA628" i="3"/>
  <c r="Z628" i="3"/>
  <c r="Y628" i="3"/>
  <c r="X628" i="3"/>
  <c r="W628" i="3"/>
  <c r="AA627" i="3"/>
  <c r="Z627" i="3"/>
  <c r="Y627" i="3"/>
  <c r="X627" i="3"/>
  <c r="W627" i="3"/>
  <c r="AA626" i="3"/>
  <c r="Z626" i="3"/>
  <c r="Y626" i="3"/>
  <c r="X626" i="3"/>
  <c r="W626" i="3"/>
  <c r="AA625" i="3"/>
  <c r="Z625" i="3"/>
  <c r="Y625" i="3"/>
  <c r="X625" i="3"/>
  <c r="W625" i="3"/>
  <c r="AA624" i="3"/>
  <c r="Z624" i="3"/>
  <c r="Y624" i="3"/>
  <c r="X624" i="3"/>
  <c r="W624" i="3"/>
  <c r="AA623" i="3"/>
  <c r="Z623" i="3"/>
  <c r="Y623" i="3"/>
  <c r="X623" i="3"/>
  <c r="W623" i="3"/>
  <c r="AA622" i="3"/>
  <c r="Z622" i="3"/>
  <c r="Y622" i="3"/>
  <c r="X622" i="3"/>
  <c r="W622" i="3"/>
  <c r="AA621" i="3"/>
  <c r="Z621" i="3"/>
  <c r="Y621" i="3"/>
  <c r="X621" i="3"/>
  <c r="W621" i="3"/>
  <c r="AA620" i="3"/>
  <c r="Z620" i="3"/>
  <c r="Y620" i="3"/>
  <c r="X620" i="3"/>
  <c r="W620" i="3"/>
  <c r="AA619" i="3"/>
  <c r="Z619" i="3"/>
  <c r="Y619" i="3"/>
  <c r="X619" i="3"/>
  <c r="W619" i="3"/>
  <c r="AA618" i="3"/>
  <c r="Z618" i="3"/>
  <c r="Y618" i="3"/>
  <c r="X618" i="3"/>
  <c r="W618" i="3"/>
  <c r="AA617" i="3"/>
  <c r="Z617" i="3"/>
  <c r="Y617" i="3"/>
  <c r="X617" i="3"/>
  <c r="W617" i="3"/>
  <c r="AA616" i="3"/>
  <c r="Z616" i="3"/>
  <c r="Y616" i="3"/>
  <c r="X616" i="3"/>
  <c r="W616" i="3"/>
  <c r="AA615" i="3"/>
  <c r="Z615" i="3"/>
  <c r="Y615" i="3"/>
  <c r="X615" i="3"/>
  <c r="W615" i="3"/>
  <c r="AA614" i="3"/>
  <c r="Z614" i="3"/>
  <c r="Y614" i="3"/>
  <c r="X614" i="3"/>
  <c r="W614" i="3"/>
  <c r="AA613" i="3"/>
  <c r="Z613" i="3"/>
  <c r="Y613" i="3"/>
  <c r="X613" i="3"/>
  <c r="W613" i="3"/>
  <c r="AA612" i="3"/>
  <c r="Z612" i="3"/>
  <c r="Y612" i="3"/>
  <c r="X612" i="3"/>
  <c r="W612" i="3"/>
  <c r="AA611" i="3"/>
  <c r="Z611" i="3"/>
  <c r="Y611" i="3"/>
  <c r="X611" i="3"/>
  <c r="W611" i="3"/>
  <c r="AA610" i="3"/>
  <c r="Z610" i="3"/>
  <c r="Y610" i="3"/>
  <c r="X610" i="3"/>
  <c r="W610" i="3"/>
  <c r="AA609" i="3"/>
  <c r="Z609" i="3"/>
  <c r="Y609" i="3"/>
  <c r="X609" i="3"/>
  <c r="W609" i="3"/>
  <c r="AA608" i="3"/>
  <c r="Z608" i="3"/>
  <c r="Y608" i="3"/>
  <c r="X608" i="3"/>
  <c r="W608" i="3"/>
  <c r="AA607" i="3"/>
  <c r="Z607" i="3"/>
  <c r="Y607" i="3"/>
  <c r="X607" i="3"/>
  <c r="W607" i="3"/>
  <c r="AA606" i="3"/>
  <c r="Z606" i="3"/>
  <c r="Y606" i="3"/>
  <c r="X606" i="3"/>
  <c r="W606" i="3"/>
  <c r="AA605" i="3"/>
  <c r="Z605" i="3"/>
  <c r="Y605" i="3"/>
  <c r="X605" i="3"/>
  <c r="W605" i="3"/>
  <c r="AA604" i="3"/>
  <c r="Z604" i="3"/>
  <c r="Y604" i="3"/>
  <c r="X604" i="3"/>
  <c r="W604" i="3"/>
  <c r="AA603" i="3"/>
  <c r="Z603" i="3"/>
  <c r="Y603" i="3"/>
  <c r="X603" i="3"/>
  <c r="W603" i="3"/>
  <c r="AA602" i="3"/>
  <c r="Z602" i="3"/>
  <c r="Y602" i="3"/>
  <c r="X602" i="3"/>
  <c r="W602" i="3"/>
  <c r="AA601" i="3"/>
  <c r="Z601" i="3"/>
  <c r="Y601" i="3"/>
  <c r="X601" i="3"/>
  <c r="W601" i="3"/>
  <c r="AA600" i="3"/>
  <c r="Z600" i="3"/>
  <c r="Y600" i="3"/>
  <c r="X600" i="3"/>
  <c r="W600" i="3"/>
  <c r="AA599" i="3"/>
  <c r="Z599" i="3"/>
  <c r="Y599" i="3"/>
  <c r="X599" i="3"/>
  <c r="W599" i="3"/>
  <c r="AA598" i="3"/>
  <c r="Z598" i="3"/>
  <c r="Y598" i="3"/>
  <c r="X598" i="3"/>
  <c r="W598" i="3"/>
  <c r="AA597" i="3"/>
  <c r="Z597" i="3"/>
  <c r="Y597" i="3"/>
  <c r="X597" i="3"/>
  <c r="W597" i="3"/>
  <c r="AA596" i="3"/>
  <c r="Z596" i="3"/>
  <c r="Y596" i="3"/>
  <c r="X596" i="3"/>
  <c r="W596" i="3"/>
  <c r="AA595" i="3"/>
  <c r="Z595" i="3"/>
  <c r="Y595" i="3"/>
  <c r="X595" i="3"/>
  <c r="W595" i="3"/>
  <c r="AA594" i="3"/>
  <c r="Z594" i="3"/>
  <c r="Y594" i="3"/>
  <c r="X594" i="3"/>
  <c r="W594" i="3"/>
  <c r="AA593" i="3"/>
  <c r="Z593" i="3"/>
  <c r="Y593" i="3"/>
  <c r="X593" i="3"/>
  <c r="W593" i="3"/>
  <c r="AA592" i="3"/>
  <c r="Z592" i="3"/>
  <c r="Y592" i="3"/>
  <c r="X592" i="3"/>
  <c r="W592" i="3"/>
  <c r="AA591" i="3"/>
  <c r="Z591" i="3"/>
  <c r="Y591" i="3"/>
  <c r="X591" i="3"/>
  <c r="W591" i="3"/>
  <c r="AA590" i="3"/>
  <c r="Z590" i="3"/>
  <c r="Y590" i="3"/>
  <c r="X590" i="3"/>
  <c r="W590" i="3"/>
  <c r="AA589" i="3"/>
  <c r="Z589" i="3"/>
  <c r="Y589" i="3"/>
  <c r="X589" i="3"/>
  <c r="W589" i="3"/>
  <c r="AA588" i="3"/>
  <c r="Z588" i="3"/>
  <c r="Y588" i="3"/>
  <c r="X588" i="3"/>
  <c r="W588" i="3"/>
  <c r="AA587" i="3"/>
  <c r="Z587" i="3"/>
  <c r="Y587" i="3"/>
  <c r="X587" i="3"/>
  <c r="W587" i="3"/>
  <c r="AA586" i="3"/>
  <c r="Z586" i="3"/>
  <c r="Y586" i="3"/>
  <c r="X586" i="3"/>
  <c r="W586" i="3"/>
  <c r="AA585" i="3"/>
  <c r="Z585" i="3"/>
  <c r="Y585" i="3"/>
  <c r="X585" i="3"/>
  <c r="W585" i="3"/>
  <c r="AA584" i="3"/>
  <c r="Z584" i="3"/>
  <c r="Y584" i="3"/>
  <c r="X584" i="3"/>
  <c r="W584" i="3"/>
  <c r="AA583" i="3"/>
  <c r="Z583" i="3"/>
  <c r="Y583" i="3"/>
  <c r="X583" i="3"/>
  <c r="W583" i="3"/>
  <c r="AA582" i="3"/>
  <c r="Z582" i="3"/>
  <c r="Y582" i="3"/>
  <c r="X582" i="3"/>
  <c r="W582" i="3"/>
  <c r="AA581" i="3"/>
  <c r="Z581" i="3"/>
  <c r="Y581" i="3"/>
  <c r="X581" i="3"/>
  <c r="W581" i="3"/>
  <c r="AA580" i="3"/>
  <c r="Z580" i="3"/>
  <c r="Y580" i="3"/>
  <c r="X580" i="3"/>
  <c r="W580" i="3"/>
  <c r="AA579" i="3"/>
  <c r="Z579" i="3"/>
  <c r="Y579" i="3"/>
  <c r="X579" i="3"/>
  <c r="W579" i="3"/>
  <c r="AA578" i="3"/>
  <c r="Z578" i="3"/>
  <c r="Y578" i="3"/>
  <c r="X578" i="3"/>
  <c r="W578" i="3"/>
  <c r="AA577" i="3"/>
  <c r="Z577" i="3"/>
  <c r="Y577" i="3"/>
  <c r="X577" i="3"/>
  <c r="W577" i="3"/>
  <c r="AA576" i="3"/>
  <c r="Z576" i="3"/>
  <c r="Y576" i="3"/>
  <c r="X576" i="3"/>
  <c r="W576" i="3"/>
  <c r="AA575" i="3"/>
  <c r="Z575" i="3"/>
  <c r="Y575" i="3"/>
  <c r="X575" i="3"/>
  <c r="W575" i="3"/>
  <c r="AA574" i="3"/>
  <c r="Z574" i="3"/>
  <c r="Y574" i="3"/>
  <c r="X574" i="3"/>
  <c r="W574" i="3"/>
  <c r="AA573" i="3"/>
  <c r="Z573" i="3"/>
  <c r="Y573" i="3"/>
  <c r="X573" i="3"/>
  <c r="W573" i="3"/>
  <c r="AA572" i="3"/>
  <c r="Z572" i="3"/>
  <c r="Y572" i="3"/>
  <c r="X572" i="3"/>
  <c r="W572" i="3"/>
  <c r="AA571" i="3"/>
  <c r="Z571" i="3"/>
  <c r="Y571" i="3"/>
  <c r="X571" i="3"/>
  <c r="W571" i="3"/>
  <c r="AA570" i="3"/>
  <c r="Z570" i="3"/>
  <c r="Y570" i="3"/>
  <c r="X570" i="3"/>
  <c r="W570" i="3"/>
  <c r="AA569" i="3"/>
  <c r="Z569" i="3"/>
  <c r="Y569" i="3"/>
  <c r="X569" i="3"/>
  <c r="W569" i="3"/>
  <c r="AA568" i="3"/>
  <c r="Z568" i="3"/>
  <c r="Y568" i="3"/>
  <c r="X568" i="3"/>
  <c r="W568" i="3"/>
  <c r="AA567" i="3"/>
  <c r="Z567" i="3"/>
  <c r="Y567" i="3"/>
  <c r="X567" i="3"/>
  <c r="W567" i="3"/>
  <c r="AA566" i="3"/>
  <c r="Z566" i="3"/>
  <c r="Y566" i="3"/>
  <c r="X566" i="3"/>
  <c r="W566" i="3"/>
  <c r="AA565" i="3"/>
  <c r="Z565" i="3"/>
  <c r="Y565" i="3"/>
  <c r="X565" i="3"/>
  <c r="W565" i="3"/>
  <c r="AA564" i="3"/>
  <c r="Z564" i="3"/>
  <c r="Y564" i="3"/>
  <c r="X564" i="3"/>
  <c r="W564" i="3"/>
  <c r="AA563" i="3"/>
  <c r="Z563" i="3"/>
  <c r="Y563" i="3"/>
  <c r="X563" i="3"/>
  <c r="W563" i="3"/>
  <c r="AA562" i="3"/>
  <c r="Z562" i="3"/>
  <c r="Y562" i="3"/>
  <c r="X562" i="3"/>
  <c r="W562" i="3"/>
  <c r="AA561" i="3"/>
  <c r="Z561" i="3"/>
  <c r="Y561" i="3"/>
  <c r="X561" i="3"/>
  <c r="W561" i="3"/>
  <c r="AA560" i="3"/>
  <c r="Z560" i="3"/>
  <c r="Y560" i="3"/>
  <c r="X560" i="3"/>
  <c r="W560" i="3"/>
  <c r="AA559" i="3"/>
  <c r="Z559" i="3"/>
  <c r="Y559" i="3"/>
  <c r="X559" i="3"/>
  <c r="W559" i="3"/>
  <c r="AA558" i="3"/>
  <c r="Z558" i="3"/>
  <c r="Y558" i="3"/>
  <c r="X558" i="3"/>
  <c r="W558" i="3"/>
  <c r="AA557" i="3"/>
  <c r="Z557" i="3"/>
  <c r="Y557" i="3"/>
  <c r="X557" i="3"/>
  <c r="W557" i="3"/>
  <c r="AA556" i="3"/>
  <c r="Z556" i="3"/>
  <c r="Y556" i="3"/>
  <c r="X556" i="3"/>
  <c r="W556" i="3"/>
  <c r="AA555" i="3"/>
  <c r="Z555" i="3"/>
  <c r="Y555" i="3"/>
  <c r="X555" i="3"/>
  <c r="W555" i="3"/>
  <c r="AA554" i="3"/>
  <c r="Z554" i="3"/>
  <c r="Y554" i="3"/>
  <c r="X554" i="3"/>
  <c r="W554" i="3"/>
  <c r="AA553" i="3"/>
  <c r="Z553" i="3"/>
  <c r="Y553" i="3"/>
  <c r="X553" i="3"/>
  <c r="W553" i="3"/>
  <c r="AA552" i="3"/>
  <c r="Z552" i="3"/>
  <c r="Y552" i="3"/>
  <c r="X552" i="3"/>
  <c r="W552" i="3"/>
  <c r="AA551" i="3"/>
  <c r="Z551" i="3"/>
  <c r="Y551" i="3"/>
  <c r="X551" i="3"/>
  <c r="W551" i="3"/>
  <c r="AA550" i="3"/>
  <c r="Z550" i="3"/>
  <c r="Y550" i="3"/>
  <c r="X550" i="3"/>
  <c r="W550" i="3"/>
  <c r="AA549" i="3"/>
  <c r="Z549" i="3"/>
  <c r="Y549" i="3"/>
  <c r="X549" i="3"/>
  <c r="W549" i="3"/>
  <c r="AA548" i="3"/>
  <c r="Z548" i="3"/>
  <c r="Y548" i="3"/>
  <c r="X548" i="3"/>
  <c r="W548" i="3"/>
  <c r="AA547" i="3"/>
  <c r="Z547" i="3"/>
  <c r="Y547" i="3"/>
  <c r="X547" i="3"/>
  <c r="W547" i="3"/>
  <c r="AA546" i="3"/>
  <c r="Z546" i="3"/>
  <c r="Y546" i="3"/>
  <c r="X546" i="3"/>
  <c r="W546" i="3"/>
  <c r="AA545" i="3"/>
  <c r="Z545" i="3"/>
  <c r="Y545" i="3"/>
  <c r="X545" i="3"/>
  <c r="W545" i="3"/>
  <c r="AA544" i="3"/>
  <c r="Z544" i="3"/>
  <c r="Y544" i="3"/>
  <c r="X544" i="3"/>
  <c r="W544" i="3"/>
  <c r="AA543" i="3"/>
  <c r="Z543" i="3"/>
  <c r="Y543" i="3"/>
  <c r="X543" i="3"/>
  <c r="W543" i="3"/>
  <c r="AA542" i="3"/>
  <c r="Z542" i="3"/>
  <c r="Y542" i="3"/>
  <c r="X542" i="3"/>
  <c r="W542" i="3"/>
  <c r="AA541" i="3"/>
  <c r="Z541" i="3"/>
  <c r="Y541" i="3"/>
  <c r="X541" i="3"/>
  <c r="W541" i="3"/>
  <c r="AA540" i="3"/>
  <c r="Z540" i="3"/>
  <c r="Y540" i="3"/>
  <c r="X540" i="3"/>
  <c r="W540" i="3"/>
  <c r="AA539" i="3"/>
  <c r="Z539" i="3"/>
  <c r="Y539" i="3"/>
  <c r="X539" i="3"/>
  <c r="W539" i="3"/>
  <c r="AA538" i="3"/>
  <c r="Z538" i="3"/>
  <c r="Y538" i="3"/>
  <c r="X538" i="3"/>
  <c r="W538" i="3"/>
  <c r="AA537" i="3"/>
  <c r="Z537" i="3"/>
  <c r="Y537" i="3"/>
  <c r="X537" i="3"/>
  <c r="W537" i="3"/>
  <c r="AA536" i="3"/>
  <c r="Z536" i="3"/>
  <c r="Y536" i="3"/>
  <c r="X536" i="3"/>
  <c r="W536" i="3"/>
  <c r="AA535" i="3"/>
  <c r="Z535" i="3"/>
  <c r="Y535" i="3"/>
  <c r="X535" i="3"/>
  <c r="W535" i="3"/>
  <c r="AA534" i="3"/>
  <c r="Z534" i="3"/>
  <c r="Y534" i="3"/>
  <c r="X534" i="3"/>
  <c r="W534" i="3"/>
  <c r="AA533" i="3"/>
  <c r="Z533" i="3"/>
  <c r="Y533" i="3"/>
  <c r="X533" i="3"/>
  <c r="W533" i="3"/>
  <c r="AA532" i="3"/>
  <c r="Z532" i="3"/>
  <c r="Y532" i="3"/>
  <c r="X532" i="3"/>
  <c r="W532" i="3"/>
  <c r="AA531" i="3"/>
  <c r="Z531" i="3"/>
  <c r="Y531" i="3"/>
  <c r="X531" i="3"/>
  <c r="W531" i="3"/>
  <c r="AA530" i="3"/>
  <c r="Z530" i="3"/>
  <c r="Y530" i="3"/>
  <c r="X530" i="3"/>
  <c r="W530" i="3"/>
  <c r="AA529" i="3"/>
  <c r="Z529" i="3"/>
  <c r="Y529" i="3"/>
  <c r="X529" i="3"/>
  <c r="W529" i="3"/>
  <c r="AA528" i="3"/>
  <c r="Z528" i="3"/>
  <c r="Y528" i="3"/>
  <c r="X528" i="3"/>
  <c r="W528" i="3"/>
  <c r="AA527" i="3"/>
  <c r="Z527" i="3"/>
  <c r="Y527" i="3"/>
  <c r="X527" i="3"/>
  <c r="W527" i="3"/>
  <c r="AA526" i="3"/>
  <c r="Z526" i="3"/>
  <c r="Y526" i="3"/>
  <c r="X526" i="3"/>
  <c r="W526" i="3"/>
  <c r="AA525" i="3"/>
  <c r="Z525" i="3"/>
  <c r="Y525" i="3"/>
  <c r="X525" i="3"/>
  <c r="W525" i="3"/>
  <c r="AA524" i="3"/>
  <c r="Z524" i="3"/>
  <c r="Y524" i="3"/>
  <c r="X524" i="3"/>
  <c r="W524" i="3"/>
  <c r="AA523" i="3"/>
  <c r="Z523" i="3"/>
  <c r="Y523" i="3"/>
  <c r="X523" i="3"/>
  <c r="W523" i="3"/>
  <c r="AA522" i="3"/>
  <c r="Z522" i="3"/>
  <c r="Y522" i="3"/>
  <c r="X522" i="3"/>
  <c r="W522" i="3"/>
  <c r="AA521" i="3"/>
  <c r="Z521" i="3"/>
  <c r="Y521" i="3"/>
  <c r="X521" i="3"/>
  <c r="W521" i="3"/>
  <c r="AA520" i="3"/>
  <c r="Z520" i="3"/>
  <c r="Y520" i="3"/>
  <c r="X520" i="3"/>
  <c r="W520" i="3"/>
  <c r="AA519" i="3"/>
  <c r="Z519" i="3"/>
  <c r="Y519" i="3"/>
  <c r="X519" i="3"/>
  <c r="W519" i="3"/>
  <c r="AA518" i="3"/>
  <c r="Z518" i="3"/>
  <c r="Y518" i="3"/>
  <c r="X518" i="3"/>
  <c r="W518" i="3"/>
  <c r="AA517" i="3"/>
  <c r="Z517" i="3"/>
  <c r="Y517" i="3"/>
  <c r="X517" i="3"/>
  <c r="W517" i="3"/>
  <c r="AA516" i="3"/>
  <c r="Z516" i="3"/>
  <c r="Y516" i="3"/>
  <c r="X516" i="3"/>
  <c r="W516" i="3"/>
  <c r="AA515" i="3"/>
  <c r="Z515" i="3"/>
  <c r="Y515" i="3"/>
  <c r="X515" i="3"/>
  <c r="W515" i="3"/>
  <c r="AA514" i="3"/>
  <c r="Z514" i="3"/>
  <c r="Y514" i="3"/>
  <c r="X514" i="3"/>
  <c r="W514" i="3"/>
  <c r="AA513" i="3"/>
  <c r="Z513" i="3"/>
  <c r="Y513" i="3"/>
  <c r="X513" i="3"/>
  <c r="W513" i="3"/>
  <c r="AA512" i="3"/>
  <c r="Z512" i="3"/>
  <c r="Y512" i="3"/>
  <c r="X512" i="3"/>
  <c r="W512" i="3"/>
  <c r="AA511" i="3"/>
  <c r="Z511" i="3"/>
  <c r="Y511" i="3"/>
  <c r="X511" i="3"/>
  <c r="W511" i="3"/>
  <c r="AA510" i="3"/>
  <c r="Z510" i="3"/>
  <c r="Y510" i="3"/>
  <c r="X510" i="3"/>
  <c r="W510" i="3"/>
  <c r="AA509" i="3"/>
  <c r="Z509" i="3"/>
  <c r="Y509" i="3"/>
  <c r="X509" i="3"/>
  <c r="W509" i="3"/>
  <c r="AA508" i="3"/>
  <c r="Z508" i="3"/>
  <c r="Y508" i="3"/>
  <c r="X508" i="3"/>
  <c r="W508" i="3"/>
  <c r="AA507" i="3"/>
  <c r="Z507" i="3"/>
  <c r="Y507" i="3"/>
  <c r="X507" i="3"/>
  <c r="W507" i="3"/>
  <c r="AA506" i="3"/>
  <c r="Z506" i="3"/>
  <c r="Y506" i="3"/>
  <c r="X506" i="3"/>
  <c r="W506" i="3"/>
  <c r="AA505" i="3"/>
  <c r="Z505" i="3"/>
  <c r="Y505" i="3"/>
  <c r="X505" i="3"/>
  <c r="W505" i="3"/>
  <c r="AA504" i="3"/>
  <c r="Z504" i="3"/>
  <c r="Y504" i="3"/>
  <c r="X504" i="3"/>
  <c r="W504" i="3"/>
  <c r="AA503" i="3"/>
  <c r="Z503" i="3"/>
  <c r="Y503" i="3"/>
  <c r="X503" i="3"/>
  <c r="W503" i="3"/>
  <c r="AA502" i="3"/>
  <c r="Z502" i="3"/>
  <c r="Y502" i="3"/>
  <c r="X502" i="3"/>
  <c r="W502" i="3"/>
  <c r="AA501" i="3"/>
  <c r="Z501" i="3"/>
  <c r="Y501" i="3"/>
  <c r="X501" i="3"/>
  <c r="W501" i="3"/>
  <c r="AA500" i="3"/>
  <c r="Z500" i="3"/>
  <c r="Y500" i="3"/>
  <c r="X500" i="3"/>
  <c r="W500" i="3"/>
  <c r="AA499" i="3"/>
  <c r="Z499" i="3"/>
  <c r="Y499" i="3"/>
  <c r="X499" i="3"/>
  <c r="W499" i="3"/>
  <c r="AA498" i="3"/>
  <c r="Z498" i="3"/>
  <c r="Y498" i="3"/>
  <c r="X498" i="3"/>
  <c r="W498" i="3"/>
  <c r="AA497" i="3"/>
  <c r="Z497" i="3"/>
  <c r="Y497" i="3"/>
  <c r="X497" i="3"/>
  <c r="W497" i="3"/>
  <c r="AA496" i="3"/>
  <c r="Z496" i="3"/>
  <c r="Y496" i="3"/>
  <c r="X496" i="3"/>
  <c r="W496" i="3"/>
  <c r="AA495" i="3"/>
  <c r="Z495" i="3"/>
  <c r="Y495" i="3"/>
  <c r="X495" i="3"/>
  <c r="W495" i="3"/>
  <c r="AA494" i="3"/>
  <c r="Z494" i="3"/>
  <c r="Y494" i="3"/>
  <c r="X494" i="3"/>
  <c r="W494" i="3"/>
  <c r="AA493" i="3"/>
  <c r="Z493" i="3"/>
  <c r="Y493" i="3"/>
  <c r="X493" i="3"/>
  <c r="W493" i="3"/>
  <c r="AA492" i="3"/>
  <c r="Z492" i="3"/>
  <c r="Y492" i="3"/>
  <c r="X492" i="3"/>
  <c r="W492" i="3"/>
  <c r="AA491" i="3"/>
  <c r="Z491" i="3"/>
  <c r="Y491" i="3"/>
  <c r="X491" i="3"/>
  <c r="W491" i="3"/>
  <c r="AA490" i="3"/>
  <c r="Z490" i="3"/>
  <c r="Y490" i="3"/>
  <c r="X490" i="3"/>
  <c r="W490" i="3"/>
  <c r="AA489" i="3"/>
  <c r="Z489" i="3"/>
  <c r="Y489" i="3"/>
  <c r="X489" i="3"/>
  <c r="W489" i="3"/>
  <c r="AA488" i="3"/>
  <c r="Z488" i="3"/>
  <c r="Y488" i="3"/>
  <c r="X488" i="3"/>
  <c r="W488" i="3"/>
  <c r="AA487" i="3"/>
  <c r="Z487" i="3"/>
  <c r="Y487" i="3"/>
  <c r="X487" i="3"/>
  <c r="W487" i="3"/>
  <c r="AA486" i="3"/>
  <c r="Z486" i="3"/>
  <c r="Y486" i="3"/>
  <c r="X486" i="3"/>
  <c r="W486" i="3"/>
  <c r="AA485" i="3"/>
  <c r="Z485" i="3"/>
  <c r="Y485" i="3"/>
  <c r="X485" i="3"/>
  <c r="W485" i="3"/>
  <c r="AA484" i="3"/>
  <c r="Z484" i="3"/>
  <c r="Y484" i="3"/>
  <c r="X484" i="3"/>
  <c r="W484" i="3"/>
  <c r="AA483" i="3"/>
  <c r="Z483" i="3"/>
  <c r="Y483" i="3"/>
  <c r="X483" i="3"/>
  <c r="W483" i="3"/>
  <c r="AA482" i="3"/>
  <c r="Z482" i="3"/>
  <c r="Y482" i="3"/>
  <c r="X482" i="3"/>
  <c r="W482" i="3"/>
  <c r="AA481" i="3"/>
  <c r="Z481" i="3"/>
  <c r="Y481" i="3"/>
  <c r="X481" i="3"/>
  <c r="W481" i="3"/>
  <c r="AA480" i="3"/>
  <c r="Z480" i="3"/>
  <c r="Y480" i="3"/>
  <c r="X480" i="3"/>
  <c r="W480" i="3"/>
  <c r="AA479" i="3"/>
  <c r="Z479" i="3"/>
  <c r="Y479" i="3"/>
  <c r="X479" i="3"/>
  <c r="W479" i="3"/>
  <c r="AA478" i="3"/>
  <c r="Z478" i="3"/>
  <c r="Y478" i="3"/>
  <c r="X478" i="3"/>
  <c r="W478" i="3"/>
  <c r="AA477" i="3"/>
  <c r="Z477" i="3"/>
  <c r="Y477" i="3"/>
  <c r="X477" i="3"/>
  <c r="W477" i="3"/>
  <c r="AA476" i="3"/>
  <c r="Z476" i="3"/>
  <c r="Y476" i="3"/>
  <c r="X476" i="3"/>
  <c r="W476" i="3"/>
  <c r="AA475" i="3"/>
  <c r="Z475" i="3"/>
  <c r="Y475" i="3"/>
  <c r="X475" i="3"/>
  <c r="W475" i="3"/>
  <c r="AA474" i="3"/>
  <c r="Z474" i="3"/>
  <c r="Y474" i="3"/>
  <c r="X474" i="3"/>
  <c r="W474" i="3"/>
  <c r="AA473" i="3"/>
  <c r="Z473" i="3"/>
  <c r="Y473" i="3"/>
  <c r="X473" i="3"/>
  <c r="W473" i="3"/>
  <c r="AA472" i="3"/>
  <c r="Z472" i="3"/>
  <c r="Y472" i="3"/>
  <c r="X472" i="3"/>
  <c r="W472" i="3"/>
  <c r="AA471" i="3"/>
  <c r="Z471" i="3"/>
  <c r="Y471" i="3"/>
  <c r="X471" i="3"/>
  <c r="W471" i="3"/>
  <c r="AA470" i="3"/>
  <c r="Z470" i="3"/>
  <c r="Y470" i="3"/>
  <c r="X470" i="3"/>
  <c r="W470" i="3"/>
  <c r="AA469" i="3"/>
  <c r="Z469" i="3"/>
  <c r="Y469" i="3"/>
  <c r="X469" i="3"/>
  <c r="W469" i="3"/>
  <c r="AA468" i="3"/>
  <c r="Z468" i="3"/>
  <c r="Y468" i="3"/>
  <c r="X468" i="3"/>
  <c r="W468" i="3"/>
  <c r="AA467" i="3"/>
  <c r="Z467" i="3"/>
  <c r="Y467" i="3"/>
  <c r="X467" i="3"/>
  <c r="W467" i="3"/>
  <c r="AA466" i="3"/>
  <c r="Z466" i="3"/>
  <c r="Y466" i="3"/>
  <c r="X466" i="3"/>
  <c r="W466" i="3"/>
  <c r="AA465" i="3"/>
  <c r="Z465" i="3"/>
  <c r="Y465" i="3"/>
  <c r="X465" i="3"/>
  <c r="W465" i="3"/>
  <c r="AA464" i="3"/>
  <c r="Z464" i="3"/>
  <c r="Y464" i="3"/>
  <c r="X464" i="3"/>
  <c r="W464" i="3"/>
  <c r="AA463" i="3"/>
  <c r="Z463" i="3"/>
  <c r="Y463" i="3"/>
  <c r="X463" i="3"/>
  <c r="W463" i="3"/>
  <c r="AA462" i="3"/>
  <c r="Z462" i="3"/>
  <c r="Y462" i="3"/>
  <c r="X462" i="3"/>
  <c r="W462" i="3"/>
  <c r="AA461" i="3"/>
  <c r="Z461" i="3"/>
  <c r="Y461" i="3"/>
  <c r="X461" i="3"/>
  <c r="W461" i="3"/>
  <c r="AA460" i="3"/>
  <c r="Z460" i="3"/>
  <c r="Y460" i="3"/>
  <c r="X460" i="3"/>
  <c r="W460" i="3"/>
  <c r="AA459" i="3"/>
  <c r="Z459" i="3"/>
  <c r="Y459" i="3"/>
  <c r="X459" i="3"/>
  <c r="W459" i="3"/>
  <c r="AA458" i="3"/>
  <c r="Z458" i="3"/>
  <c r="Y458" i="3"/>
  <c r="X458" i="3"/>
  <c r="W458" i="3"/>
  <c r="AA457" i="3"/>
  <c r="Z457" i="3"/>
  <c r="Y457" i="3"/>
  <c r="X457" i="3"/>
  <c r="W457" i="3"/>
  <c r="AA456" i="3"/>
  <c r="Z456" i="3"/>
  <c r="Y456" i="3"/>
  <c r="X456" i="3"/>
  <c r="W456" i="3"/>
  <c r="AA455" i="3"/>
  <c r="Z455" i="3"/>
  <c r="Y455" i="3"/>
  <c r="X455" i="3"/>
  <c r="W455" i="3"/>
  <c r="AA454" i="3"/>
  <c r="Z454" i="3"/>
  <c r="Y454" i="3"/>
  <c r="X454" i="3"/>
  <c r="W454" i="3"/>
  <c r="AA453" i="3"/>
  <c r="Z453" i="3"/>
  <c r="Y453" i="3"/>
  <c r="X453" i="3"/>
  <c r="W453" i="3"/>
  <c r="AA452" i="3"/>
  <c r="Z452" i="3"/>
  <c r="Y452" i="3"/>
  <c r="X452" i="3"/>
  <c r="W452" i="3"/>
  <c r="AA451" i="3"/>
  <c r="Z451" i="3"/>
  <c r="Y451" i="3"/>
  <c r="X451" i="3"/>
  <c r="W451" i="3"/>
  <c r="AA450" i="3"/>
  <c r="Z450" i="3"/>
  <c r="Y450" i="3"/>
  <c r="X450" i="3"/>
  <c r="W450" i="3"/>
  <c r="AA449" i="3"/>
  <c r="Z449" i="3"/>
  <c r="Y449" i="3"/>
  <c r="X449" i="3"/>
  <c r="W449" i="3"/>
  <c r="AA448" i="3"/>
  <c r="Z448" i="3"/>
  <c r="Y448" i="3"/>
  <c r="X448" i="3"/>
  <c r="W448" i="3"/>
  <c r="AA447" i="3"/>
  <c r="Z447" i="3"/>
  <c r="Y447" i="3"/>
  <c r="X447" i="3"/>
  <c r="W447" i="3"/>
  <c r="AA446" i="3"/>
  <c r="Z446" i="3"/>
  <c r="Y446" i="3"/>
  <c r="X446" i="3"/>
  <c r="W446" i="3"/>
  <c r="AA445" i="3"/>
  <c r="Z445" i="3"/>
  <c r="Y445" i="3"/>
  <c r="X445" i="3"/>
  <c r="W445" i="3"/>
  <c r="AA444" i="3"/>
  <c r="Z444" i="3"/>
  <c r="Y444" i="3"/>
  <c r="X444" i="3"/>
  <c r="W444" i="3"/>
  <c r="AA443" i="3"/>
  <c r="Z443" i="3"/>
  <c r="Y443" i="3"/>
  <c r="X443" i="3"/>
  <c r="W443" i="3"/>
  <c r="AA442" i="3"/>
  <c r="Z442" i="3"/>
  <c r="Y442" i="3"/>
  <c r="X442" i="3"/>
  <c r="W442" i="3"/>
  <c r="AA441" i="3"/>
  <c r="Z441" i="3"/>
  <c r="Y441" i="3"/>
  <c r="X441" i="3"/>
  <c r="W441" i="3"/>
  <c r="AA440" i="3"/>
  <c r="Z440" i="3"/>
  <c r="Y440" i="3"/>
  <c r="X440" i="3"/>
  <c r="W440" i="3"/>
  <c r="AA439" i="3"/>
  <c r="Z439" i="3"/>
  <c r="Y439" i="3"/>
  <c r="X439" i="3"/>
  <c r="W439" i="3"/>
  <c r="AA438" i="3"/>
  <c r="Z438" i="3"/>
  <c r="Y438" i="3"/>
  <c r="X438" i="3"/>
  <c r="W438" i="3"/>
  <c r="AA437" i="3"/>
  <c r="Z437" i="3"/>
  <c r="Y437" i="3"/>
  <c r="X437" i="3"/>
  <c r="W437" i="3"/>
  <c r="AA436" i="3"/>
  <c r="Z436" i="3"/>
  <c r="Y436" i="3"/>
  <c r="X436" i="3"/>
  <c r="W436" i="3"/>
  <c r="AA435" i="3"/>
  <c r="Z435" i="3"/>
  <c r="Y435" i="3"/>
  <c r="X435" i="3"/>
  <c r="W435" i="3"/>
  <c r="AA434" i="3"/>
  <c r="Z434" i="3"/>
  <c r="Y434" i="3"/>
  <c r="X434" i="3"/>
  <c r="W434" i="3"/>
  <c r="AA433" i="3"/>
  <c r="Z433" i="3"/>
  <c r="Y433" i="3"/>
  <c r="X433" i="3"/>
  <c r="W433" i="3"/>
  <c r="AA432" i="3"/>
  <c r="Z432" i="3"/>
  <c r="Y432" i="3"/>
  <c r="X432" i="3"/>
  <c r="W432" i="3"/>
  <c r="AA431" i="3"/>
  <c r="Z431" i="3"/>
  <c r="Y431" i="3"/>
  <c r="X431" i="3"/>
  <c r="W431" i="3"/>
  <c r="AA430" i="3"/>
  <c r="Z430" i="3"/>
  <c r="Y430" i="3"/>
  <c r="X430" i="3"/>
  <c r="W430" i="3"/>
  <c r="AA429" i="3"/>
  <c r="Z429" i="3"/>
  <c r="Y429" i="3"/>
  <c r="X429" i="3"/>
  <c r="W429" i="3"/>
  <c r="AA428" i="3"/>
  <c r="Z428" i="3"/>
  <c r="Y428" i="3"/>
  <c r="X428" i="3"/>
  <c r="W428" i="3"/>
  <c r="AA427" i="3"/>
  <c r="Z427" i="3"/>
  <c r="Y427" i="3"/>
  <c r="X427" i="3"/>
  <c r="W427" i="3"/>
  <c r="AA426" i="3"/>
  <c r="Z426" i="3"/>
  <c r="Y426" i="3"/>
  <c r="X426" i="3"/>
  <c r="W426" i="3"/>
  <c r="AA425" i="3"/>
  <c r="Z425" i="3"/>
  <c r="Y425" i="3"/>
  <c r="X425" i="3"/>
  <c r="W425" i="3"/>
  <c r="AA424" i="3"/>
  <c r="Z424" i="3"/>
  <c r="Y424" i="3"/>
  <c r="X424" i="3"/>
  <c r="W424" i="3"/>
  <c r="AA423" i="3"/>
  <c r="Z423" i="3"/>
  <c r="Y423" i="3"/>
  <c r="X423" i="3"/>
  <c r="W423" i="3"/>
  <c r="AA422" i="3"/>
  <c r="Z422" i="3"/>
  <c r="Y422" i="3"/>
  <c r="X422" i="3"/>
  <c r="W422" i="3"/>
  <c r="AA421" i="3"/>
  <c r="Z421" i="3"/>
  <c r="Y421" i="3"/>
  <c r="X421" i="3"/>
  <c r="W421" i="3"/>
  <c r="AA420" i="3"/>
  <c r="Z420" i="3"/>
  <c r="Y420" i="3"/>
  <c r="X420" i="3"/>
  <c r="W420" i="3"/>
  <c r="AA419" i="3"/>
  <c r="Z419" i="3"/>
  <c r="Y419" i="3"/>
  <c r="X419" i="3"/>
  <c r="W419" i="3"/>
  <c r="AA418" i="3"/>
  <c r="Z418" i="3"/>
  <c r="Y418" i="3"/>
  <c r="X418" i="3"/>
  <c r="W418" i="3"/>
  <c r="AA417" i="3"/>
  <c r="Z417" i="3"/>
  <c r="Y417" i="3"/>
  <c r="X417" i="3"/>
  <c r="W417" i="3"/>
  <c r="AA416" i="3"/>
  <c r="Z416" i="3"/>
  <c r="Y416" i="3"/>
  <c r="X416" i="3"/>
  <c r="W416" i="3"/>
  <c r="AA415" i="3"/>
  <c r="Z415" i="3"/>
  <c r="Y415" i="3"/>
  <c r="X415" i="3"/>
  <c r="W415" i="3"/>
  <c r="AA414" i="3"/>
  <c r="Z414" i="3"/>
  <c r="Y414" i="3"/>
  <c r="X414" i="3"/>
  <c r="W414" i="3"/>
  <c r="AA413" i="3"/>
  <c r="Z413" i="3"/>
  <c r="Y413" i="3"/>
  <c r="X413" i="3"/>
  <c r="W413" i="3"/>
  <c r="AA412" i="3"/>
  <c r="Z412" i="3"/>
  <c r="Y412" i="3"/>
  <c r="X412" i="3"/>
  <c r="W412" i="3"/>
  <c r="AA411" i="3"/>
  <c r="Z411" i="3"/>
  <c r="Y411" i="3"/>
  <c r="X411" i="3"/>
  <c r="W411" i="3"/>
  <c r="AA410" i="3"/>
  <c r="Z410" i="3"/>
  <c r="Y410" i="3"/>
  <c r="X410" i="3"/>
  <c r="W410" i="3"/>
  <c r="AA409" i="3"/>
  <c r="Z409" i="3"/>
  <c r="Y409" i="3"/>
  <c r="X409" i="3"/>
  <c r="W409" i="3"/>
  <c r="AA408" i="3"/>
  <c r="Z408" i="3"/>
  <c r="Y408" i="3"/>
  <c r="X408" i="3"/>
  <c r="W408" i="3"/>
  <c r="AA407" i="3"/>
  <c r="Z407" i="3"/>
  <c r="Y407" i="3"/>
  <c r="X407" i="3"/>
  <c r="W407" i="3"/>
  <c r="AA406" i="3"/>
  <c r="Z406" i="3"/>
  <c r="Y406" i="3"/>
  <c r="X406" i="3"/>
  <c r="W406" i="3"/>
  <c r="AA405" i="3"/>
  <c r="Z405" i="3"/>
  <c r="Y405" i="3"/>
  <c r="X405" i="3"/>
  <c r="W405" i="3"/>
  <c r="AA404" i="3"/>
  <c r="Z404" i="3"/>
  <c r="Y404" i="3"/>
  <c r="X404" i="3"/>
  <c r="W404" i="3"/>
  <c r="AA403" i="3"/>
  <c r="Z403" i="3"/>
  <c r="Y403" i="3"/>
  <c r="X403" i="3"/>
  <c r="W403" i="3"/>
  <c r="AA402" i="3"/>
  <c r="Z402" i="3"/>
  <c r="Y402" i="3"/>
  <c r="X402" i="3"/>
  <c r="W402" i="3"/>
  <c r="AA401" i="3"/>
  <c r="Z401" i="3"/>
  <c r="Y401" i="3"/>
  <c r="X401" i="3"/>
  <c r="W401" i="3"/>
  <c r="AA400" i="3"/>
  <c r="Z400" i="3"/>
  <c r="Y400" i="3"/>
  <c r="X400" i="3"/>
  <c r="W400" i="3"/>
  <c r="AA399" i="3"/>
  <c r="Z399" i="3"/>
  <c r="Y399" i="3"/>
  <c r="X399" i="3"/>
  <c r="W399" i="3"/>
  <c r="AA398" i="3"/>
  <c r="Z398" i="3"/>
  <c r="Y398" i="3"/>
  <c r="X398" i="3"/>
  <c r="W398" i="3"/>
  <c r="AA397" i="3"/>
  <c r="Z397" i="3"/>
  <c r="Y397" i="3"/>
  <c r="X397" i="3"/>
  <c r="W397" i="3"/>
  <c r="AA396" i="3"/>
  <c r="Z396" i="3"/>
  <c r="Y396" i="3"/>
  <c r="X396" i="3"/>
  <c r="W396" i="3"/>
  <c r="AA395" i="3"/>
  <c r="Z395" i="3"/>
  <c r="Y395" i="3"/>
  <c r="X395" i="3"/>
  <c r="W395" i="3"/>
  <c r="AA394" i="3"/>
  <c r="Z394" i="3"/>
  <c r="Y394" i="3"/>
  <c r="X394" i="3"/>
  <c r="W394" i="3"/>
  <c r="AA393" i="3"/>
  <c r="Z393" i="3"/>
  <c r="Y393" i="3"/>
  <c r="X393" i="3"/>
  <c r="W393" i="3"/>
  <c r="AA392" i="3"/>
  <c r="Z392" i="3"/>
  <c r="Y392" i="3"/>
  <c r="X392" i="3"/>
  <c r="W392" i="3"/>
  <c r="AA391" i="3"/>
  <c r="Z391" i="3"/>
  <c r="Y391" i="3"/>
  <c r="X391" i="3"/>
  <c r="W391" i="3"/>
  <c r="AA390" i="3"/>
  <c r="Z390" i="3"/>
  <c r="Y390" i="3"/>
  <c r="X390" i="3"/>
  <c r="W390" i="3"/>
  <c r="AA389" i="3"/>
  <c r="Z389" i="3"/>
  <c r="Y389" i="3"/>
  <c r="X389" i="3"/>
  <c r="W389" i="3"/>
  <c r="AA388" i="3"/>
  <c r="Z388" i="3"/>
  <c r="Y388" i="3"/>
  <c r="X388" i="3"/>
  <c r="W388" i="3"/>
  <c r="AA387" i="3"/>
  <c r="Z387" i="3"/>
  <c r="Y387" i="3"/>
  <c r="X387" i="3"/>
  <c r="W387" i="3"/>
  <c r="AA386" i="3"/>
  <c r="Z386" i="3"/>
  <c r="Y386" i="3"/>
  <c r="X386" i="3"/>
  <c r="W386" i="3"/>
  <c r="AA385" i="3"/>
  <c r="Z385" i="3"/>
  <c r="Y385" i="3"/>
  <c r="X385" i="3"/>
  <c r="W385" i="3"/>
  <c r="AA384" i="3"/>
  <c r="Z384" i="3"/>
  <c r="Y384" i="3"/>
  <c r="X384" i="3"/>
  <c r="W384" i="3"/>
  <c r="AA383" i="3"/>
  <c r="Z383" i="3"/>
  <c r="Y383" i="3"/>
  <c r="X383" i="3"/>
  <c r="W383" i="3"/>
  <c r="AA382" i="3"/>
  <c r="Z382" i="3"/>
  <c r="Y382" i="3"/>
  <c r="X382" i="3"/>
  <c r="W382" i="3"/>
  <c r="AA381" i="3"/>
  <c r="Z381" i="3"/>
  <c r="Y381" i="3"/>
  <c r="X381" i="3"/>
  <c r="W381" i="3"/>
  <c r="AA380" i="3"/>
  <c r="Z380" i="3"/>
  <c r="Y380" i="3"/>
  <c r="X380" i="3"/>
  <c r="W380" i="3"/>
  <c r="AA379" i="3"/>
  <c r="Z379" i="3"/>
  <c r="Y379" i="3"/>
  <c r="X379" i="3"/>
  <c r="W379" i="3"/>
  <c r="AA378" i="3"/>
  <c r="Z378" i="3"/>
  <c r="Y378" i="3"/>
  <c r="X378" i="3"/>
  <c r="W378" i="3"/>
  <c r="AA377" i="3"/>
  <c r="Z377" i="3"/>
  <c r="Y377" i="3"/>
  <c r="X377" i="3"/>
  <c r="W377" i="3"/>
  <c r="AA376" i="3"/>
  <c r="Z376" i="3"/>
  <c r="Y376" i="3"/>
  <c r="X376" i="3"/>
  <c r="W376" i="3"/>
  <c r="AA375" i="3"/>
  <c r="Z375" i="3"/>
  <c r="Y375" i="3"/>
  <c r="X375" i="3"/>
  <c r="W375" i="3"/>
  <c r="AA374" i="3"/>
  <c r="Z374" i="3"/>
  <c r="Y374" i="3"/>
  <c r="X374" i="3"/>
  <c r="W374" i="3"/>
  <c r="AA373" i="3"/>
  <c r="Z373" i="3"/>
  <c r="Y373" i="3"/>
  <c r="X373" i="3"/>
  <c r="W373" i="3"/>
  <c r="AA372" i="3"/>
  <c r="Z372" i="3"/>
  <c r="Y372" i="3"/>
  <c r="X372" i="3"/>
  <c r="W372" i="3"/>
  <c r="AA371" i="3"/>
  <c r="Z371" i="3"/>
  <c r="Y371" i="3"/>
  <c r="X371" i="3"/>
  <c r="W371" i="3"/>
  <c r="AA370" i="3"/>
  <c r="Z370" i="3"/>
  <c r="Y370" i="3"/>
  <c r="X370" i="3"/>
  <c r="W370" i="3"/>
  <c r="AA369" i="3"/>
  <c r="Z369" i="3"/>
  <c r="Y369" i="3"/>
  <c r="X369" i="3"/>
  <c r="W369" i="3"/>
  <c r="AA368" i="3"/>
  <c r="Z368" i="3"/>
  <c r="Y368" i="3"/>
  <c r="X368" i="3"/>
  <c r="W368" i="3"/>
  <c r="AA367" i="3"/>
  <c r="Z367" i="3"/>
  <c r="Y367" i="3"/>
  <c r="X367" i="3"/>
  <c r="W367" i="3"/>
  <c r="AA366" i="3"/>
  <c r="Z366" i="3"/>
  <c r="Y366" i="3"/>
  <c r="X366" i="3"/>
  <c r="W366" i="3"/>
  <c r="AA365" i="3"/>
  <c r="Z365" i="3"/>
  <c r="Y365" i="3"/>
  <c r="X365" i="3"/>
  <c r="W365" i="3"/>
  <c r="AA364" i="3"/>
  <c r="Z364" i="3"/>
  <c r="Y364" i="3"/>
  <c r="X364" i="3"/>
  <c r="W364" i="3"/>
  <c r="AA363" i="3"/>
  <c r="Z363" i="3"/>
  <c r="Y363" i="3"/>
  <c r="X363" i="3"/>
  <c r="W363" i="3"/>
  <c r="AA362" i="3"/>
  <c r="Z362" i="3"/>
  <c r="Y362" i="3"/>
  <c r="X362" i="3"/>
  <c r="W362" i="3"/>
  <c r="AA361" i="3"/>
  <c r="Z361" i="3"/>
  <c r="Y361" i="3"/>
  <c r="X361" i="3"/>
  <c r="W361" i="3"/>
  <c r="AA360" i="3"/>
  <c r="Z360" i="3"/>
  <c r="Y360" i="3"/>
  <c r="X360" i="3"/>
  <c r="W360" i="3"/>
  <c r="AA359" i="3"/>
  <c r="Z359" i="3"/>
  <c r="Y359" i="3"/>
  <c r="X359" i="3"/>
  <c r="W359" i="3"/>
  <c r="AA358" i="3"/>
  <c r="Z358" i="3"/>
  <c r="Y358" i="3"/>
  <c r="X358" i="3"/>
  <c r="W358" i="3"/>
  <c r="AA357" i="3"/>
  <c r="Z357" i="3"/>
  <c r="Y357" i="3"/>
  <c r="X357" i="3"/>
  <c r="W357" i="3"/>
  <c r="AA356" i="3"/>
  <c r="Z356" i="3"/>
  <c r="Y356" i="3"/>
  <c r="X356" i="3"/>
  <c r="W356" i="3"/>
  <c r="AA355" i="3"/>
  <c r="Z355" i="3"/>
  <c r="Y355" i="3"/>
  <c r="X355" i="3"/>
  <c r="W355" i="3"/>
  <c r="AA354" i="3"/>
  <c r="Z354" i="3"/>
  <c r="Y354" i="3"/>
  <c r="X354" i="3"/>
  <c r="W354" i="3"/>
  <c r="AA353" i="3"/>
  <c r="Z353" i="3"/>
  <c r="Y353" i="3"/>
  <c r="X353" i="3"/>
  <c r="W353" i="3"/>
  <c r="AA352" i="3"/>
  <c r="Z352" i="3"/>
  <c r="Y352" i="3"/>
  <c r="X352" i="3"/>
  <c r="W352" i="3"/>
  <c r="AA351" i="3"/>
  <c r="Z351" i="3"/>
  <c r="Y351" i="3"/>
  <c r="X351" i="3"/>
  <c r="W351" i="3"/>
  <c r="AA350" i="3"/>
  <c r="Z350" i="3"/>
  <c r="Y350" i="3"/>
  <c r="X350" i="3"/>
  <c r="W350" i="3"/>
  <c r="AA349" i="3"/>
  <c r="Z349" i="3"/>
  <c r="Y349" i="3"/>
  <c r="X349" i="3"/>
  <c r="W349" i="3"/>
  <c r="AA348" i="3"/>
  <c r="Z348" i="3"/>
  <c r="Y348" i="3"/>
  <c r="X348" i="3"/>
  <c r="W348" i="3"/>
  <c r="AA347" i="3"/>
  <c r="Z347" i="3"/>
  <c r="Y347" i="3"/>
  <c r="X347" i="3"/>
  <c r="W347" i="3"/>
  <c r="AA346" i="3"/>
  <c r="Z346" i="3"/>
  <c r="Y346" i="3"/>
  <c r="X346" i="3"/>
  <c r="W346" i="3"/>
  <c r="AA345" i="3"/>
  <c r="Z345" i="3"/>
  <c r="Y345" i="3"/>
  <c r="X345" i="3"/>
  <c r="W345" i="3"/>
  <c r="AA344" i="3"/>
  <c r="Z344" i="3"/>
  <c r="Y344" i="3"/>
  <c r="X344" i="3"/>
  <c r="W344" i="3"/>
  <c r="AA343" i="3"/>
  <c r="Z343" i="3"/>
  <c r="Y343" i="3"/>
  <c r="X343" i="3"/>
  <c r="W343" i="3"/>
  <c r="AA342" i="3"/>
  <c r="Z342" i="3"/>
  <c r="Y342" i="3"/>
  <c r="X342" i="3"/>
  <c r="W342" i="3"/>
  <c r="AA341" i="3"/>
  <c r="Z341" i="3"/>
  <c r="Y341" i="3"/>
  <c r="X341" i="3"/>
  <c r="W341" i="3"/>
  <c r="AA340" i="3"/>
  <c r="Z340" i="3"/>
  <c r="Y340" i="3"/>
  <c r="X340" i="3"/>
  <c r="W340" i="3"/>
  <c r="AA339" i="3"/>
  <c r="Z339" i="3"/>
  <c r="Y339" i="3"/>
  <c r="X339" i="3"/>
  <c r="W339" i="3"/>
  <c r="AA338" i="3"/>
  <c r="Z338" i="3"/>
  <c r="Y338" i="3"/>
  <c r="X338" i="3"/>
  <c r="W338" i="3"/>
  <c r="AA337" i="3"/>
  <c r="Z337" i="3"/>
  <c r="Y337" i="3"/>
  <c r="X337" i="3"/>
  <c r="W337" i="3"/>
  <c r="AA336" i="3"/>
  <c r="Z336" i="3"/>
  <c r="Y336" i="3"/>
  <c r="X336" i="3"/>
  <c r="W336" i="3"/>
  <c r="AA335" i="3"/>
  <c r="Z335" i="3"/>
  <c r="Y335" i="3"/>
  <c r="X335" i="3"/>
  <c r="W335" i="3"/>
  <c r="AA334" i="3"/>
  <c r="Z334" i="3"/>
  <c r="Y334" i="3"/>
  <c r="X334" i="3"/>
  <c r="W334" i="3"/>
  <c r="AA333" i="3"/>
  <c r="Z333" i="3"/>
  <c r="Y333" i="3"/>
  <c r="X333" i="3"/>
  <c r="W333" i="3"/>
  <c r="AA332" i="3"/>
  <c r="Z332" i="3"/>
  <c r="Y332" i="3"/>
  <c r="X332" i="3"/>
  <c r="W332" i="3"/>
  <c r="AA331" i="3"/>
  <c r="Z331" i="3"/>
  <c r="Y331" i="3"/>
  <c r="X331" i="3"/>
  <c r="W331" i="3"/>
  <c r="AA330" i="3"/>
  <c r="Z330" i="3"/>
  <c r="Y330" i="3"/>
  <c r="X330" i="3"/>
  <c r="W330" i="3"/>
  <c r="AA329" i="3"/>
  <c r="Z329" i="3"/>
  <c r="Y329" i="3"/>
  <c r="X329" i="3"/>
  <c r="W329" i="3"/>
  <c r="AA328" i="3"/>
  <c r="Z328" i="3"/>
  <c r="Y328" i="3"/>
  <c r="X328" i="3"/>
  <c r="W328" i="3"/>
  <c r="AA327" i="3"/>
  <c r="Z327" i="3"/>
  <c r="Y327" i="3"/>
  <c r="X327" i="3"/>
  <c r="W327" i="3"/>
  <c r="AA326" i="3"/>
  <c r="Z326" i="3"/>
  <c r="Y326" i="3"/>
  <c r="X326" i="3"/>
  <c r="W326" i="3"/>
  <c r="AA325" i="3"/>
  <c r="Z325" i="3"/>
  <c r="Y325" i="3"/>
  <c r="X325" i="3"/>
  <c r="W325" i="3"/>
  <c r="AA324" i="3"/>
  <c r="Z324" i="3"/>
  <c r="Y324" i="3"/>
  <c r="X324" i="3"/>
  <c r="W324" i="3"/>
  <c r="AA323" i="3"/>
  <c r="Z323" i="3"/>
  <c r="Y323" i="3"/>
  <c r="X323" i="3"/>
  <c r="W323" i="3"/>
  <c r="AA322" i="3"/>
  <c r="Z322" i="3"/>
  <c r="Y322" i="3"/>
  <c r="X322" i="3"/>
  <c r="W322" i="3"/>
  <c r="AA321" i="3"/>
  <c r="Z321" i="3"/>
  <c r="Y321" i="3"/>
  <c r="X321" i="3"/>
  <c r="W321" i="3"/>
  <c r="AA320" i="3"/>
  <c r="Z320" i="3"/>
  <c r="Y320" i="3"/>
  <c r="X320" i="3"/>
  <c r="W320" i="3"/>
  <c r="AA319" i="3"/>
  <c r="Z319" i="3"/>
  <c r="Y319" i="3"/>
  <c r="X319" i="3"/>
  <c r="W319" i="3"/>
  <c r="AA318" i="3"/>
  <c r="Z318" i="3"/>
  <c r="Y318" i="3"/>
  <c r="X318" i="3"/>
  <c r="W318" i="3"/>
  <c r="AA317" i="3"/>
  <c r="Z317" i="3"/>
  <c r="Y317" i="3"/>
  <c r="X317" i="3"/>
  <c r="W317" i="3"/>
  <c r="AA316" i="3"/>
  <c r="Z316" i="3"/>
  <c r="Y316" i="3"/>
  <c r="X316" i="3"/>
  <c r="W316" i="3"/>
  <c r="AA315" i="3"/>
  <c r="Z315" i="3"/>
  <c r="Y315" i="3"/>
  <c r="X315" i="3"/>
  <c r="W315" i="3"/>
  <c r="AA314" i="3"/>
  <c r="Z314" i="3"/>
  <c r="Y314" i="3"/>
  <c r="X314" i="3"/>
  <c r="W314" i="3"/>
  <c r="AA313" i="3"/>
  <c r="Z313" i="3"/>
  <c r="Y313" i="3"/>
  <c r="X313" i="3"/>
  <c r="W313" i="3"/>
  <c r="AA312" i="3"/>
  <c r="Z312" i="3"/>
  <c r="Y312" i="3"/>
  <c r="X312" i="3"/>
  <c r="W312" i="3"/>
  <c r="AA311" i="3"/>
  <c r="Z311" i="3"/>
  <c r="Y311" i="3"/>
  <c r="X311" i="3"/>
  <c r="W311" i="3"/>
  <c r="AA310" i="3"/>
  <c r="Z310" i="3"/>
  <c r="Y310" i="3"/>
  <c r="X310" i="3"/>
  <c r="W310" i="3"/>
  <c r="AA309" i="3"/>
  <c r="Z309" i="3"/>
  <c r="Y309" i="3"/>
  <c r="X309" i="3"/>
  <c r="W309" i="3"/>
  <c r="AA308" i="3"/>
  <c r="Z308" i="3"/>
  <c r="Y308" i="3"/>
  <c r="X308" i="3"/>
  <c r="W308" i="3"/>
  <c r="AA307" i="3"/>
  <c r="Z307" i="3"/>
  <c r="Y307" i="3"/>
  <c r="X307" i="3"/>
  <c r="W307" i="3"/>
  <c r="AA306" i="3"/>
  <c r="Z306" i="3"/>
  <c r="Y306" i="3"/>
  <c r="X306" i="3"/>
  <c r="W306" i="3"/>
  <c r="AA305" i="3"/>
  <c r="Z305" i="3"/>
  <c r="Y305" i="3"/>
  <c r="X305" i="3"/>
  <c r="W305" i="3"/>
  <c r="AA304" i="3"/>
  <c r="Z304" i="3"/>
  <c r="Y304" i="3"/>
  <c r="X304" i="3"/>
  <c r="W304" i="3"/>
  <c r="AA303" i="3"/>
  <c r="Z303" i="3"/>
  <c r="Y303" i="3"/>
  <c r="X303" i="3"/>
  <c r="W303" i="3"/>
  <c r="AA302" i="3"/>
  <c r="Z302" i="3"/>
  <c r="Y302" i="3"/>
  <c r="X302" i="3"/>
  <c r="W302" i="3"/>
  <c r="AA301" i="3"/>
  <c r="Z301" i="3"/>
  <c r="Y301" i="3"/>
  <c r="X301" i="3"/>
  <c r="W301" i="3"/>
  <c r="AA300" i="3"/>
  <c r="Z300" i="3"/>
  <c r="Y300" i="3"/>
  <c r="X300" i="3"/>
  <c r="W300" i="3"/>
  <c r="AA299" i="3"/>
  <c r="Z299" i="3"/>
  <c r="Y299" i="3"/>
  <c r="X299" i="3"/>
  <c r="W299" i="3"/>
  <c r="AA298" i="3"/>
  <c r="Z298" i="3"/>
  <c r="Y298" i="3"/>
  <c r="X298" i="3"/>
  <c r="W298" i="3"/>
  <c r="AA297" i="3"/>
  <c r="Z297" i="3"/>
  <c r="Y297" i="3"/>
  <c r="X297" i="3"/>
  <c r="W297" i="3"/>
  <c r="AA296" i="3"/>
  <c r="Z296" i="3"/>
  <c r="Y296" i="3"/>
  <c r="X296" i="3"/>
  <c r="W296" i="3"/>
  <c r="AA295" i="3"/>
  <c r="Z295" i="3"/>
  <c r="Y295" i="3"/>
  <c r="X295" i="3"/>
  <c r="W295" i="3"/>
  <c r="AA294" i="3"/>
  <c r="Z294" i="3"/>
  <c r="Y294" i="3"/>
  <c r="X294" i="3"/>
  <c r="W294" i="3"/>
  <c r="AA293" i="3"/>
  <c r="Z293" i="3"/>
  <c r="Y293" i="3"/>
  <c r="X293" i="3"/>
  <c r="W293" i="3"/>
  <c r="AA292" i="3"/>
  <c r="Z292" i="3"/>
  <c r="Y292" i="3"/>
  <c r="X292" i="3"/>
  <c r="W292" i="3"/>
  <c r="AA291" i="3"/>
  <c r="Z291" i="3"/>
  <c r="Y291" i="3"/>
  <c r="X291" i="3"/>
  <c r="W291" i="3"/>
  <c r="AA290" i="3"/>
  <c r="Z290" i="3"/>
  <c r="Y290" i="3"/>
  <c r="X290" i="3"/>
  <c r="W290" i="3"/>
  <c r="AA289" i="3"/>
  <c r="Z289" i="3"/>
  <c r="Y289" i="3"/>
  <c r="X289" i="3"/>
  <c r="W289" i="3"/>
  <c r="AA288" i="3"/>
  <c r="Z288" i="3"/>
  <c r="Y288" i="3"/>
  <c r="X288" i="3"/>
  <c r="W288" i="3"/>
  <c r="AA287" i="3"/>
  <c r="Z287" i="3"/>
  <c r="Y287" i="3"/>
  <c r="X287" i="3"/>
  <c r="W287" i="3"/>
  <c r="AA286" i="3"/>
  <c r="Z286" i="3"/>
  <c r="Y286" i="3"/>
  <c r="X286" i="3"/>
  <c r="W286" i="3"/>
  <c r="AA285" i="3"/>
  <c r="Z285" i="3"/>
  <c r="Y285" i="3"/>
  <c r="X285" i="3"/>
  <c r="W285" i="3"/>
  <c r="AA284" i="3"/>
  <c r="Z284" i="3"/>
  <c r="Y284" i="3"/>
  <c r="X284" i="3"/>
  <c r="W284" i="3"/>
  <c r="AA283" i="3"/>
  <c r="Z283" i="3"/>
  <c r="Y283" i="3"/>
  <c r="X283" i="3"/>
  <c r="W283" i="3"/>
  <c r="AA282" i="3"/>
  <c r="Z282" i="3"/>
  <c r="Y282" i="3"/>
  <c r="X282" i="3"/>
  <c r="W282" i="3"/>
  <c r="AA281" i="3"/>
  <c r="Z281" i="3"/>
  <c r="Y281" i="3"/>
  <c r="X281" i="3"/>
  <c r="W281" i="3"/>
  <c r="AA280" i="3"/>
  <c r="Z280" i="3"/>
  <c r="Y280" i="3"/>
  <c r="X280" i="3"/>
  <c r="W280" i="3"/>
  <c r="AA279" i="3"/>
  <c r="Z279" i="3"/>
  <c r="Y279" i="3"/>
  <c r="X279" i="3"/>
  <c r="W279" i="3"/>
  <c r="AA278" i="3"/>
  <c r="Z278" i="3"/>
  <c r="Y278" i="3"/>
  <c r="X278" i="3"/>
  <c r="W278" i="3"/>
  <c r="AA277" i="3"/>
  <c r="Z277" i="3"/>
  <c r="Y277" i="3"/>
  <c r="X277" i="3"/>
  <c r="W277" i="3"/>
  <c r="AA276" i="3"/>
  <c r="Z276" i="3"/>
  <c r="Y276" i="3"/>
  <c r="X276" i="3"/>
  <c r="W276" i="3"/>
  <c r="AA275" i="3"/>
  <c r="Z275" i="3"/>
  <c r="Y275" i="3"/>
  <c r="X275" i="3"/>
  <c r="W275" i="3"/>
  <c r="AA274" i="3"/>
  <c r="Z274" i="3"/>
  <c r="Y274" i="3"/>
  <c r="X274" i="3"/>
  <c r="W274" i="3"/>
  <c r="AA273" i="3"/>
  <c r="Z273" i="3"/>
  <c r="Y273" i="3"/>
  <c r="X273" i="3"/>
  <c r="W273" i="3"/>
  <c r="AA272" i="3"/>
  <c r="Z272" i="3"/>
  <c r="Y272" i="3"/>
  <c r="X272" i="3"/>
  <c r="W272" i="3"/>
  <c r="AA271" i="3"/>
  <c r="Z271" i="3"/>
  <c r="Y271" i="3"/>
  <c r="X271" i="3"/>
  <c r="W271" i="3"/>
  <c r="AA270" i="3"/>
  <c r="Z270" i="3"/>
  <c r="Y270" i="3"/>
  <c r="X270" i="3"/>
  <c r="W270" i="3"/>
  <c r="AA269" i="3"/>
  <c r="Z269" i="3"/>
  <c r="Y269" i="3"/>
  <c r="X269" i="3"/>
  <c r="W269" i="3"/>
  <c r="AA268" i="3"/>
  <c r="Z268" i="3"/>
  <c r="Y268" i="3"/>
  <c r="X268" i="3"/>
  <c r="W268" i="3"/>
  <c r="AA267" i="3"/>
  <c r="Z267" i="3"/>
  <c r="Y267" i="3"/>
  <c r="X267" i="3"/>
  <c r="W267" i="3"/>
  <c r="AA266" i="3"/>
  <c r="Z266" i="3"/>
  <c r="Y266" i="3"/>
  <c r="X266" i="3"/>
  <c r="W266" i="3"/>
  <c r="AA265" i="3"/>
  <c r="Z265" i="3"/>
  <c r="Y265" i="3"/>
  <c r="X265" i="3"/>
  <c r="W265" i="3"/>
  <c r="AA264" i="3"/>
  <c r="Z264" i="3"/>
  <c r="Y264" i="3"/>
  <c r="X264" i="3"/>
  <c r="W264" i="3"/>
  <c r="AA263" i="3"/>
  <c r="Z263" i="3"/>
  <c r="Y263" i="3"/>
  <c r="X263" i="3"/>
  <c r="W263" i="3"/>
  <c r="AA262" i="3"/>
  <c r="Z262" i="3"/>
  <c r="Y262" i="3"/>
  <c r="X262" i="3"/>
  <c r="W262" i="3"/>
  <c r="AA261" i="3"/>
  <c r="Z261" i="3"/>
  <c r="Y261" i="3"/>
  <c r="X261" i="3"/>
  <c r="W261" i="3"/>
  <c r="AA260" i="3"/>
  <c r="Z260" i="3"/>
  <c r="Y260" i="3"/>
  <c r="X260" i="3"/>
  <c r="W260" i="3"/>
  <c r="AA259" i="3"/>
  <c r="Z259" i="3"/>
  <c r="Y259" i="3"/>
  <c r="X259" i="3"/>
  <c r="W259" i="3"/>
  <c r="AA258" i="3"/>
  <c r="Z258" i="3"/>
  <c r="Y258" i="3"/>
  <c r="X258" i="3"/>
  <c r="W258" i="3"/>
  <c r="AA257" i="3"/>
  <c r="Z257" i="3"/>
  <c r="Y257" i="3"/>
  <c r="X257" i="3"/>
  <c r="W257" i="3"/>
  <c r="AA256" i="3"/>
  <c r="Z256" i="3"/>
  <c r="Y256" i="3"/>
  <c r="X256" i="3"/>
  <c r="W256" i="3"/>
  <c r="AA255" i="3"/>
  <c r="Z255" i="3"/>
  <c r="Y255" i="3"/>
  <c r="X255" i="3"/>
  <c r="W255" i="3"/>
  <c r="AA254" i="3"/>
  <c r="Z254" i="3"/>
  <c r="Y254" i="3"/>
  <c r="X254" i="3"/>
  <c r="W254" i="3"/>
  <c r="AA253" i="3"/>
  <c r="Z253" i="3"/>
  <c r="Y253" i="3"/>
  <c r="X253" i="3"/>
  <c r="W253" i="3"/>
  <c r="AA252" i="3"/>
  <c r="Z252" i="3"/>
  <c r="Y252" i="3"/>
  <c r="X252" i="3"/>
  <c r="W252" i="3"/>
  <c r="AA251" i="3"/>
  <c r="Z251" i="3"/>
  <c r="Y251" i="3"/>
  <c r="X251" i="3"/>
  <c r="W251" i="3"/>
  <c r="AA250" i="3"/>
  <c r="Z250" i="3"/>
  <c r="Y250" i="3"/>
  <c r="X250" i="3"/>
  <c r="W250" i="3"/>
  <c r="AA249" i="3"/>
  <c r="Z249" i="3"/>
  <c r="Y249" i="3"/>
  <c r="X249" i="3"/>
  <c r="W249" i="3"/>
  <c r="AA248" i="3"/>
  <c r="Z248" i="3"/>
  <c r="Y248" i="3"/>
  <c r="X248" i="3"/>
  <c r="W248" i="3"/>
  <c r="AA247" i="3"/>
  <c r="Z247" i="3"/>
  <c r="Y247" i="3"/>
  <c r="X247" i="3"/>
  <c r="W247" i="3"/>
  <c r="AA246" i="3"/>
  <c r="Z246" i="3"/>
  <c r="Y246" i="3"/>
  <c r="X246" i="3"/>
  <c r="W246" i="3"/>
  <c r="AA245" i="3"/>
  <c r="Z245" i="3"/>
  <c r="Y245" i="3"/>
  <c r="X245" i="3"/>
  <c r="W245" i="3"/>
  <c r="AA244" i="3"/>
  <c r="Z244" i="3"/>
  <c r="Y244" i="3"/>
  <c r="X244" i="3"/>
  <c r="W244" i="3"/>
  <c r="AA243" i="3"/>
  <c r="Z243" i="3"/>
  <c r="Y243" i="3"/>
  <c r="X243" i="3"/>
  <c r="W243" i="3"/>
  <c r="AA242" i="3"/>
  <c r="Z242" i="3"/>
  <c r="Y242" i="3"/>
  <c r="X242" i="3"/>
  <c r="W242" i="3"/>
  <c r="AA241" i="3"/>
  <c r="Z241" i="3"/>
  <c r="Y241" i="3"/>
  <c r="X241" i="3"/>
  <c r="W241" i="3"/>
  <c r="AA240" i="3"/>
  <c r="Z240" i="3"/>
  <c r="Y240" i="3"/>
  <c r="X240" i="3"/>
  <c r="W240" i="3"/>
  <c r="AA239" i="3"/>
  <c r="Z239" i="3"/>
  <c r="Y239" i="3"/>
  <c r="X239" i="3"/>
  <c r="W239" i="3"/>
  <c r="AA238" i="3"/>
  <c r="Z238" i="3"/>
  <c r="Y238" i="3"/>
  <c r="X238" i="3"/>
  <c r="W238" i="3"/>
  <c r="AA237" i="3"/>
  <c r="Z237" i="3"/>
  <c r="Y237" i="3"/>
  <c r="X237" i="3"/>
  <c r="W237" i="3"/>
  <c r="AA236" i="3"/>
  <c r="Z236" i="3"/>
  <c r="Y236" i="3"/>
  <c r="X236" i="3"/>
  <c r="W236" i="3"/>
  <c r="AA235" i="3"/>
  <c r="Z235" i="3"/>
  <c r="Y235" i="3"/>
  <c r="X235" i="3"/>
  <c r="W235" i="3"/>
  <c r="AA234" i="3"/>
  <c r="Z234" i="3"/>
  <c r="Y234" i="3"/>
  <c r="X234" i="3"/>
  <c r="W234" i="3"/>
  <c r="AA233" i="3"/>
  <c r="Z233" i="3"/>
  <c r="Y233" i="3"/>
  <c r="X233" i="3"/>
  <c r="W233" i="3"/>
  <c r="AA232" i="3"/>
  <c r="Z232" i="3"/>
  <c r="Y232" i="3"/>
  <c r="X232" i="3"/>
  <c r="W232" i="3"/>
  <c r="AA231" i="3"/>
  <c r="Z231" i="3"/>
  <c r="Y231" i="3"/>
  <c r="X231" i="3"/>
  <c r="W231" i="3"/>
  <c r="AA230" i="3"/>
  <c r="Z230" i="3"/>
  <c r="Y230" i="3"/>
  <c r="X230" i="3"/>
  <c r="W230" i="3"/>
  <c r="AA229" i="3"/>
  <c r="Z229" i="3"/>
  <c r="Y229" i="3"/>
  <c r="X229" i="3"/>
  <c r="W229" i="3"/>
  <c r="AA228" i="3"/>
  <c r="Z228" i="3"/>
  <c r="Y228" i="3"/>
  <c r="X228" i="3"/>
  <c r="W228" i="3"/>
  <c r="AA227" i="3"/>
  <c r="Z227" i="3"/>
  <c r="Y227" i="3"/>
  <c r="X227" i="3"/>
  <c r="W227" i="3"/>
  <c r="AA226" i="3"/>
  <c r="Z226" i="3"/>
  <c r="Y226" i="3"/>
  <c r="X226" i="3"/>
  <c r="W226" i="3"/>
  <c r="AA225" i="3"/>
  <c r="Z225" i="3"/>
  <c r="Y225" i="3"/>
  <c r="X225" i="3"/>
  <c r="W225" i="3"/>
  <c r="AA224" i="3"/>
  <c r="Z224" i="3"/>
  <c r="Y224" i="3"/>
  <c r="X224" i="3"/>
  <c r="W224" i="3"/>
  <c r="AA223" i="3"/>
  <c r="Z223" i="3"/>
  <c r="Y223" i="3"/>
  <c r="X223" i="3"/>
  <c r="W223" i="3"/>
  <c r="AA222" i="3"/>
  <c r="Z222" i="3"/>
  <c r="Y222" i="3"/>
  <c r="X222" i="3"/>
  <c r="W222" i="3"/>
  <c r="AA221" i="3"/>
  <c r="Z221" i="3"/>
  <c r="Y221" i="3"/>
  <c r="X221" i="3"/>
  <c r="W221" i="3"/>
  <c r="AA220" i="3"/>
  <c r="Z220" i="3"/>
  <c r="Y220" i="3"/>
  <c r="X220" i="3"/>
  <c r="W220" i="3"/>
  <c r="AA219" i="3"/>
  <c r="Z219" i="3"/>
  <c r="Y219" i="3"/>
  <c r="X219" i="3"/>
  <c r="W219" i="3"/>
  <c r="AA218" i="3"/>
  <c r="Z218" i="3"/>
  <c r="Y218" i="3"/>
  <c r="X218" i="3"/>
  <c r="W218" i="3"/>
  <c r="AA217" i="3"/>
  <c r="Z217" i="3"/>
  <c r="Y217" i="3"/>
  <c r="X217" i="3"/>
  <c r="W217" i="3"/>
  <c r="AA216" i="3"/>
  <c r="Z216" i="3"/>
  <c r="Y216" i="3"/>
  <c r="X216" i="3"/>
  <c r="W216" i="3"/>
  <c r="AA215" i="3"/>
  <c r="Z215" i="3"/>
  <c r="Y215" i="3"/>
  <c r="X215" i="3"/>
  <c r="W215" i="3"/>
  <c r="AA214" i="3"/>
  <c r="Z214" i="3"/>
  <c r="Y214" i="3"/>
  <c r="X214" i="3"/>
  <c r="W214" i="3"/>
  <c r="AA213" i="3"/>
  <c r="Z213" i="3"/>
  <c r="Y213" i="3"/>
  <c r="X213" i="3"/>
  <c r="W213" i="3"/>
  <c r="AA212" i="3"/>
  <c r="Z212" i="3"/>
  <c r="Y212" i="3"/>
  <c r="X212" i="3"/>
  <c r="W212" i="3"/>
  <c r="AA211" i="3"/>
  <c r="Z211" i="3"/>
  <c r="Y211" i="3"/>
  <c r="X211" i="3"/>
  <c r="W211" i="3"/>
  <c r="AA210" i="3"/>
  <c r="Z210" i="3"/>
  <c r="Y210" i="3"/>
  <c r="X210" i="3"/>
  <c r="W210" i="3"/>
  <c r="AA209" i="3"/>
  <c r="Z209" i="3"/>
  <c r="Y209" i="3"/>
  <c r="X209" i="3"/>
  <c r="W209" i="3"/>
  <c r="AA208" i="3"/>
  <c r="Z208" i="3"/>
  <c r="Y208" i="3"/>
  <c r="X208" i="3"/>
  <c r="W208" i="3"/>
  <c r="AA207" i="3"/>
  <c r="Z207" i="3"/>
  <c r="Y207" i="3"/>
  <c r="X207" i="3"/>
  <c r="W207" i="3"/>
  <c r="AA206" i="3"/>
  <c r="Z206" i="3"/>
  <c r="Y206" i="3"/>
  <c r="X206" i="3"/>
  <c r="W206" i="3"/>
  <c r="AA205" i="3"/>
  <c r="Z205" i="3"/>
  <c r="Y205" i="3"/>
  <c r="X205" i="3"/>
  <c r="W205" i="3"/>
  <c r="AA204" i="3"/>
  <c r="Z204" i="3"/>
  <c r="Y204" i="3"/>
  <c r="X204" i="3"/>
  <c r="W204" i="3"/>
  <c r="AA203" i="3"/>
  <c r="Z203" i="3"/>
  <c r="Y203" i="3"/>
  <c r="X203" i="3"/>
  <c r="W203" i="3"/>
  <c r="AA202" i="3"/>
  <c r="Z202" i="3"/>
  <c r="Y202" i="3"/>
  <c r="X202" i="3"/>
  <c r="W202" i="3"/>
  <c r="AA201" i="3"/>
  <c r="Z201" i="3"/>
  <c r="Y201" i="3"/>
  <c r="X201" i="3"/>
  <c r="W201" i="3"/>
  <c r="AA200" i="3"/>
  <c r="Z200" i="3"/>
  <c r="Y200" i="3"/>
  <c r="X200" i="3"/>
  <c r="W200" i="3"/>
  <c r="AA199" i="3"/>
  <c r="Z199" i="3"/>
  <c r="Y199" i="3"/>
  <c r="X199" i="3"/>
  <c r="W199" i="3"/>
  <c r="AA198" i="3"/>
  <c r="Z198" i="3"/>
  <c r="Y198" i="3"/>
  <c r="X198" i="3"/>
  <c r="W198" i="3"/>
  <c r="AA197" i="3"/>
  <c r="Z197" i="3"/>
  <c r="Y197" i="3"/>
  <c r="X197" i="3"/>
  <c r="W197" i="3"/>
  <c r="AA196" i="3"/>
  <c r="Z196" i="3"/>
  <c r="Y196" i="3"/>
  <c r="X196" i="3"/>
  <c r="W196" i="3"/>
  <c r="AA195" i="3"/>
  <c r="Z195" i="3"/>
  <c r="Y195" i="3"/>
  <c r="X195" i="3"/>
  <c r="W195" i="3"/>
  <c r="AA194" i="3"/>
  <c r="Z194" i="3"/>
  <c r="Y194" i="3"/>
  <c r="X194" i="3"/>
  <c r="W194" i="3"/>
  <c r="AA193" i="3"/>
  <c r="Z193" i="3"/>
  <c r="Y193" i="3"/>
  <c r="X193" i="3"/>
  <c r="W193" i="3"/>
  <c r="AA192" i="3"/>
  <c r="Z192" i="3"/>
  <c r="Y192" i="3"/>
  <c r="X192" i="3"/>
  <c r="W192" i="3"/>
  <c r="AA191" i="3"/>
  <c r="Z191" i="3"/>
  <c r="Y191" i="3"/>
  <c r="X191" i="3"/>
  <c r="W191" i="3"/>
  <c r="AA190" i="3"/>
  <c r="Z190" i="3"/>
  <c r="Y190" i="3"/>
  <c r="X190" i="3"/>
  <c r="W190" i="3"/>
  <c r="AA189" i="3"/>
  <c r="Z189" i="3"/>
  <c r="Y189" i="3"/>
  <c r="X189" i="3"/>
  <c r="W189" i="3"/>
  <c r="AA188" i="3"/>
  <c r="Z188" i="3"/>
  <c r="Y188" i="3"/>
  <c r="X188" i="3"/>
  <c r="W188" i="3"/>
  <c r="AA187" i="3"/>
  <c r="Z187" i="3"/>
  <c r="Y187" i="3"/>
  <c r="X187" i="3"/>
  <c r="W187" i="3"/>
  <c r="AA186" i="3"/>
  <c r="Z186" i="3"/>
  <c r="Y186" i="3"/>
  <c r="X186" i="3"/>
  <c r="W186" i="3"/>
  <c r="AA185" i="3"/>
  <c r="Z185" i="3"/>
  <c r="Y185" i="3"/>
  <c r="X185" i="3"/>
  <c r="W185" i="3"/>
  <c r="AA184" i="3"/>
  <c r="Z184" i="3"/>
  <c r="Y184" i="3"/>
  <c r="X184" i="3"/>
  <c r="W184" i="3"/>
  <c r="AA183" i="3"/>
  <c r="Z183" i="3"/>
  <c r="Y183" i="3"/>
  <c r="X183" i="3"/>
  <c r="W183" i="3"/>
  <c r="AA182" i="3"/>
  <c r="Z182" i="3"/>
  <c r="Y182" i="3"/>
  <c r="X182" i="3"/>
  <c r="W182" i="3"/>
  <c r="AA181" i="3"/>
  <c r="Z181" i="3"/>
  <c r="Y181" i="3"/>
  <c r="X181" i="3"/>
  <c r="W181" i="3"/>
  <c r="AA180" i="3"/>
  <c r="Z180" i="3"/>
  <c r="Y180" i="3"/>
  <c r="X180" i="3"/>
  <c r="W180" i="3"/>
  <c r="AA179" i="3"/>
  <c r="Z179" i="3"/>
  <c r="Y179" i="3"/>
  <c r="X179" i="3"/>
  <c r="W179" i="3"/>
  <c r="AA178" i="3"/>
  <c r="Z178" i="3"/>
  <c r="Y178" i="3"/>
  <c r="X178" i="3"/>
  <c r="W178" i="3"/>
  <c r="AA177" i="3"/>
  <c r="Z177" i="3"/>
  <c r="Y177" i="3"/>
  <c r="X177" i="3"/>
  <c r="W177" i="3"/>
  <c r="AA176" i="3"/>
  <c r="Z176" i="3"/>
  <c r="Y176" i="3"/>
  <c r="X176" i="3"/>
  <c r="W176" i="3"/>
  <c r="AA175" i="3"/>
  <c r="Z175" i="3"/>
  <c r="Y175" i="3"/>
  <c r="X175" i="3"/>
  <c r="W175" i="3"/>
  <c r="AA174" i="3"/>
  <c r="Z174" i="3"/>
  <c r="Y174" i="3"/>
  <c r="X174" i="3"/>
  <c r="W174" i="3"/>
  <c r="AA173" i="3"/>
  <c r="Z173" i="3"/>
  <c r="Y173" i="3"/>
  <c r="X173" i="3"/>
  <c r="W173" i="3"/>
  <c r="AA172" i="3"/>
  <c r="Z172" i="3"/>
  <c r="Y172" i="3"/>
  <c r="X172" i="3"/>
  <c r="W172" i="3"/>
  <c r="AA171" i="3"/>
  <c r="Z171" i="3"/>
  <c r="Y171" i="3"/>
  <c r="X171" i="3"/>
  <c r="W171" i="3"/>
  <c r="AA170" i="3"/>
  <c r="Z170" i="3"/>
  <c r="Y170" i="3"/>
  <c r="X170" i="3"/>
  <c r="W170" i="3"/>
  <c r="AA169" i="3"/>
  <c r="Z169" i="3"/>
  <c r="Y169" i="3"/>
  <c r="X169" i="3"/>
  <c r="W169" i="3"/>
  <c r="AA168" i="3"/>
  <c r="Z168" i="3"/>
  <c r="Y168" i="3"/>
  <c r="X168" i="3"/>
  <c r="W168" i="3"/>
  <c r="AA167" i="3"/>
  <c r="Z167" i="3"/>
  <c r="Y167" i="3"/>
  <c r="X167" i="3"/>
  <c r="W167" i="3"/>
  <c r="AA166" i="3"/>
  <c r="Z166" i="3"/>
  <c r="Y166" i="3"/>
  <c r="X166" i="3"/>
  <c r="W166" i="3"/>
  <c r="AA165" i="3"/>
  <c r="Z165" i="3"/>
  <c r="Y165" i="3"/>
  <c r="X165" i="3"/>
  <c r="W165" i="3"/>
  <c r="AA164" i="3"/>
  <c r="Z164" i="3"/>
  <c r="Y164" i="3"/>
  <c r="X164" i="3"/>
  <c r="W164" i="3"/>
  <c r="AA163" i="3"/>
  <c r="Z163" i="3"/>
  <c r="Y163" i="3"/>
  <c r="X163" i="3"/>
  <c r="W163" i="3"/>
  <c r="AA162" i="3"/>
  <c r="Z162" i="3"/>
  <c r="Y162" i="3"/>
  <c r="X162" i="3"/>
  <c r="W162" i="3"/>
  <c r="AA161" i="3"/>
  <c r="Z161" i="3"/>
  <c r="Y161" i="3"/>
  <c r="X161" i="3"/>
  <c r="W161" i="3"/>
  <c r="AA160" i="3"/>
  <c r="Z160" i="3"/>
  <c r="Y160" i="3"/>
  <c r="X160" i="3"/>
  <c r="W160" i="3"/>
  <c r="AA159" i="3"/>
  <c r="Z159" i="3"/>
  <c r="Y159" i="3"/>
  <c r="X159" i="3"/>
  <c r="W159" i="3"/>
  <c r="AA158" i="3"/>
  <c r="Z158" i="3"/>
  <c r="Y158" i="3"/>
  <c r="X158" i="3"/>
  <c r="W158" i="3"/>
  <c r="AA157" i="3"/>
  <c r="Z157" i="3"/>
  <c r="Y157" i="3"/>
  <c r="X157" i="3"/>
  <c r="W157" i="3"/>
  <c r="AA156" i="3"/>
  <c r="Z156" i="3"/>
  <c r="Y156" i="3"/>
  <c r="X156" i="3"/>
  <c r="W156" i="3"/>
  <c r="AA155" i="3"/>
  <c r="Z155" i="3"/>
  <c r="Y155" i="3"/>
  <c r="X155" i="3"/>
  <c r="W155" i="3"/>
  <c r="AA154" i="3"/>
  <c r="Z154" i="3"/>
  <c r="Y154" i="3"/>
  <c r="X154" i="3"/>
  <c r="W154" i="3"/>
  <c r="AA153" i="3"/>
  <c r="Z153" i="3"/>
  <c r="Y153" i="3"/>
  <c r="X153" i="3"/>
  <c r="W153" i="3"/>
  <c r="AA152" i="3"/>
  <c r="Z152" i="3"/>
  <c r="Y152" i="3"/>
  <c r="X152" i="3"/>
  <c r="W152" i="3"/>
  <c r="AA151" i="3"/>
  <c r="Z151" i="3"/>
  <c r="Y151" i="3"/>
  <c r="X151" i="3"/>
  <c r="W151" i="3"/>
  <c r="AA150" i="3"/>
  <c r="Z150" i="3"/>
  <c r="Y150" i="3"/>
  <c r="X150" i="3"/>
  <c r="W150" i="3"/>
  <c r="AA149" i="3"/>
  <c r="Z149" i="3"/>
  <c r="Y149" i="3"/>
  <c r="X149" i="3"/>
  <c r="W149" i="3"/>
  <c r="AA148" i="3"/>
  <c r="Z148" i="3"/>
  <c r="Y148" i="3"/>
  <c r="X148" i="3"/>
  <c r="W148" i="3"/>
  <c r="AA147" i="3"/>
  <c r="Z147" i="3"/>
  <c r="Y147" i="3"/>
  <c r="X147" i="3"/>
  <c r="W147" i="3"/>
  <c r="AA146" i="3"/>
  <c r="Z146" i="3"/>
  <c r="Y146" i="3"/>
  <c r="X146" i="3"/>
  <c r="W146" i="3"/>
  <c r="AA145" i="3"/>
  <c r="Z145" i="3"/>
  <c r="Y145" i="3"/>
  <c r="X145" i="3"/>
  <c r="W145" i="3"/>
  <c r="AA144" i="3"/>
  <c r="Z144" i="3"/>
  <c r="Y144" i="3"/>
  <c r="X144" i="3"/>
  <c r="W144" i="3"/>
  <c r="AA143" i="3"/>
  <c r="Z143" i="3"/>
  <c r="Y143" i="3"/>
  <c r="X143" i="3"/>
  <c r="W143" i="3"/>
  <c r="AA142" i="3"/>
  <c r="Z142" i="3"/>
  <c r="Y142" i="3"/>
  <c r="X142" i="3"/>
  <c r="W142" i="3"/>
  <c r="AA141" i="3"/>
  <c r="Z141" i="3"/>
  <c r="Y141" i="3"/>
  <c r="X141" i="3"/>
  <c r="W141" i="3"/>
  <c r="AA140" i="3"/>
  <c r="Z140" i="3"/>
  <c r="Y140" i="3"/>
  <c r="X140" i="3"/>
  <c r="W140" i="3"/>
  <c r="AA139" i="3"/>
  <c r="Z139" i="3"/>
  <c r="Y139" i="3"/>
  <c r="X139" i="3"/>
  <c r="W139" i="3"/>
  <c r="AA138" i="3"/>
  <c r="Z138" i="3"/>
  <c r="Y138" i="3"/>
  <c r="X138" i="3"/>
  <c r="W138" i="3"/>
  <c r="AA137" i="3"/>
  <c r="Z137" i="3"/>
  <c r="Y137" i="3"/>
  <c r="X137" i="3"/>
  <c r="W137" i="3"/>
  <c r="AA136" i="3"/>
  <c r="Z136" i="3"/>
  <c r="Y136" i="3"/>
  <c r="X136" i="3"/>
  <c r="W136" i="3"/>
  <c r="AA135" i="3"/>
  <c r="Z135" i="3"/>
  <c r="Y135" i="3"/>
  <c r="X135" i="3"/>
  <c r="W135" i="3"/>
  <c r="AA134" i="3"/>
  <c r="Z134" i="3"/>
  <c r="Y134" i="3"/>
  <c r="X134" i="3"/>
  <c r="W134" i="3"/>
  <c r="AA133" i="3"/>
  <c r="Z133" i="3"/>
  <c r="Y133" i="3"/>
  <c r="X133" i="3"/>
  <c r="W133" i="3"/>
  <c r="AA132" i="3"/>
  <c r="Z132" i="3"/>
  <c r="Y132" i="3"/>
  <c r="X132" i="3"/>
  <c r="W132" i="3"/>
  <c r="AA131" i="3"/>
  <c r="Z131" i="3"/>
  <c r="Y131" i="3"/>
  <c r="X131" i="3"/>
  <c r="W131" i="3"/>
  <c r="AA130" i="3"/>
  <c r="Z130" i="3"/>
  <c r="Y130" i="3"/>
  <c r="X130" i="3"/>
  <c r="W130" i="3"/>
  <c r="AA129" i="3"/>
  <c r="Z129" i="3"/>
  <c r="Y129" i="3"/>
  <c r="X129" i="3"/>
  <c r="W129" i="3"/>
  <c r="AA128" i="3"/>
  <c r="Z128" i="3"/>
  <c r="Y128" i="3"/>
  <c r="X128" i="3"/>
  <c r="W128" i="3"/>
  <c r="AA127" i="3"/>
  <c r="Z127" i="3"/>
  <c r="Y127" i="3"/>
  <c r="X127" i="3"/>
  <c r="W127" i="3"/>
  <c r="AA126" i="3"/>
  <c r="Z126" i="3"/>
  <c r="Y126" i="3"/>
  <c r="X126" i="3"/>
  <c r="W126" i="3"/>
  <c r="AA125" i="3"/>
  <c r="Z125" i="3"/>
  <c r="Y125" i="3"/>
  <c r="X125" i="3"/>
  <c r="W125" i="3"/>
  <c r="AA124" i="3"/>
  <c r="Z124" i="3"/>
  <c r="Y124" i="3"/>
  <c r="X124" i="3"/>
  <c r="W124" i="3"/>
  <c r="AA123" i="3"/>
  <c r="Z123" i="3"/>
  <c r="Y123" i="3"/>
  <c r="X123" i="3"/>
  <c r="W123" i="3"/>
  <c r="AA122" i="3"/>
  <c r="Z122" i="3"/>
  <c r="Y122" i="3"/>
  <c r="X122" i="3"/>
  <c r="W122" i="3"/>
  <c r="AA121" i="3"/>
  <c r="Z121" i="3"/>
  <c r="Y121" i="3"/>
  <c r="X121" i="3"/>
  <c r="W121" i="3"/>
  <c r="AA120" i="3"/>
  <c r="Z120" i="3"/>
  <c r="Y120" i="3"/>
  <c r="X120" i="3"/>
  <c r="W120" i="3"/>
  <c r="AA119" i="3"/>
  <c r="Z119" i="3"/>
  <c r="Y119" i="3"/>
  <c r="X119" i="3"/>
  <c r="W119" i="3"/>
  <c r="AA118" i="3"/>
  <c r="Z118" i="3"/>
  <c r="Y118" i="3"/>
  <c r="X118" i="3"/>
  <c r="W118" i="3"/>
  <c r="AA117" i="3"/>
  <c r="Z117" i="3"/>
  <c r="Y117" i="3"/>
  <c r="X117" i="3"/>
  <c r="W117" i="3"/>
  <c r="AA116" i="3"/>
  <c r="Z116" i="3"/>
  <c r="Y116" i="3"/>
  <c r="X116" i="3"/>
  <c r="W116" i="3"/>
  <c r="AA115" i="3"/>
  <c r="Z115" i="3"/>
  <c r="Y115" i="3"/>
  <c r="X115" i="3"/>
  <c r="W115" i="3"/>
  <c r="AA114" i="3"/>
  <c r="Z114" i="3"/>
  <c r="Y114" i="3"/>
  <c r="X114" i="3"/>
  <c r="W114" i="3"/>
  <c r="AA113" i="3"/>
  <c r="Z113" i="3"/>
  <c r="Y113" i="3"/>
  <c r="X113" i="3"/>
  <c r="W113" i="3"/>
  <c r="AA112" i="3"/>
  <c r="Z112" i="3"/>
  <c r="Y112" i="3"/>
  <c r="X112" i="3"/>
  <c r="W112" i="3"/>
  <c r="AA111" i="3"/>
  <c r="Z111" i="3"/>
  <c r="Y111" i="3"/>
  <c r="X111" i="3"/>
  <c r="W111" i="3"/>
  <c r="AA110" i="3"/>
  <c r="Z110" i="3"/>
  <c r="Y110" i="3"/>
  <c r="X110" i="3"/>
  <c r="W110" i="3"/>
  <c r="AA109" i="3"/>
  <c r="Z109" i="3"/>
  <c r="Y109" i="3"/>
  <c r="X109" i="3"/>
  <c r="W109" i="3"/>
  <c r="AA108" i="3"/>
  <c r="Z108" i="3"/>
  <c r="Y108" i="3"/>
  <c r="X108" i="3"/>
  <c r="W108" i="3"/>
  <c r="AA107" i="3"/>
  <c r="Z107" i="3"/>
  <c r="Y107" i="3"/>
  <c r="X107" i="3"/>
  <c r="W107" i="3"/>
  <c r="AA106" i="3"/>
  <c r="Z106" i="3"/>
  <c r="Y106" i="3"/>
  <c r="X106" i="3"/>
  <c r="W106" i="3"/>
  <c r="AA105" i="3"/>
  <c r="Z105" i="3"/>
  <c r="Y105" i="3"/>
  <c r="X105" i="3"/>
  <c r="W105" i="3"/>
  <c r="AA104" i="3"/>
  <c r="Z104" i="3"/>
  <c r="Y104" i="3"/>
  <c r="X104" i="3"/>
  <c r="W104" i="3"/>
  <c r="AA103" i="3"/>
  <c r="Z103" i="3"/>
  <c r="Y103" i="3"/>
  <c r="X103" i="3"/>
  <c r="W103" i="3"/>
  <c r="AA102" i="3"/>
  <c r="Z102" i="3"/>
  <c r="Y102" i="3"/>
  <c r="X102" i="3"/>
  <c r="W102" i="3"/>
  <c r="AA101" i="3"/>
  <c r="Z101" i="3"/>
  <c r="Y101" i="3"/>
  <c r="X101" i="3"/>
  <c r="W101" i="3"/>
  <c r="AA100" i="3"/>
  <c r="Z100" i="3"/>
  <c r="Y100" i="3"/>
  <c r="X100" i="3"/>
  <c r="W100" i="3"/>
  <c r="AA99" i="3"/>
  <c r="Z99" i="3"/>
  <c r="Y99" i="3"/>
  <c r="X99" i="3"/>
  <c r="W99" i="3"/>
  <c r="AA98" i="3"/>
  <c r="Z98" i="3"/>
  <c r="Y98" i="3"/>
  <c r="X98" i="3"/>
  <c r="W98" i="3"/>
  <c r="AA97" i="3"/>
  <c r="Z97" i="3"/>
  <c r="Y97" i="3"/>
  <c r="X97" i="3"/>
  <c r="W97" i="3"/>
  <c r="AA96" i="3"/>
  <c r="Z96" i="3"/>
  <c r="Y96" i="3"/>
  <c r="X96" i="3"/>
  <c r="W96" i="3"/>
  <c r="AA95" i="3"/>
  <c r="Z95" i="3"/>
  <c r="Y95" i="3"/>
  <c r="X95" i="3"/>
  <c r="W95" i="3"/>
  <c r="AA94" i="3"/>
  <c r="Z94" i="3"/>
  <c r="Y94" i="3"/>
  <c r="X94" i="3"/>
  <c r="W94" i="3"/>
  <c r="AA93" i="3"/>
  <c r="Z93" i="3"/>
  <c r="Y93" i="3"/>
  <c r="X93" i="3"/>
  <c r="W93" i="3"/>
  <c r="AA92" i="3"/>
  <c r="Z92" i="3"/>
  <c r="Y92" i="3"/>
  <c r="X92" i="3"/>
  <c r="W92" i="3"/>
  <c r="AA91" i="3"/>
  <c r="Z91" i="3"/>
  <c r="Y91" i="3"/>
  <c r="X91" i="3"/>
  <c r="W91" i="3"/>
  <c r="AA90" i="3"/>
  <c r="Z90" i="3"/>
  <c r="Y90" i="3"/>
  <c r="X90" i="3"/>
  <c r="W90" i="3"/>
  <c r="AA89" i="3"/>
  <c r="Z89" i="3"/>
  <c r="Y89" i="3"/>
  <c r="X89" i="3"/>
  <c r="W89" i="3"/>
  <c r="AA88" i="3"/>
  <c r="Z88" i="3"/>
  <c r="Y88" i="3"/>
  <c r="X88" i="3"/>
  <c r="W88" i="3"/>
  <c r="AA87" i="3"/>
  <c r="Z87" i="3"/>
  <c r="Y87" i="3"/>
  <c r="X87" i="3"/>
  <c r="W87" i="3"/>
  <c r="AA86" i="3"/>
  <c r="Z86" i="3"/>
  <c r="Y86" i="3"/>
  <c r="X86" i="3"/>
  <c r="W86" i="3"/>
  <c r="AA85" i="3"/>
  <c r="Z85" i="3"/>
  <c r="Y85" i="3"/>
  <c r="X85" i="3"/>
  <c r="W85" i="3"/>
  <c r="AA84" i="3"/>
  <c r="Z84" i="3"/>
  <c r="Y84" i="3"/>
  <c r="X84" i="3"/>
  <c r="W84" i="3"/>
  <c r="AA83" i="3"/>
  <c r="Z83" i="3"/>
  <c r="Y83" i="3"/>
  <c r="X83" i="3"/>
  <c r="W83" i="3"/>
  <c r="AA82" i="3"/>
  <c r="Z82" i="3"/>
  <c r="Y82" i="3"/>
  <c r="X82" i="3"/>
  <c r="W82" i="3"/>
  <c r="AA81" i="3"/>
  <c r="Z81" i="3"/>
  <c r="Y81" i="3"/>
  <c r="X81" i="3"/>
  <c r="W81" i="3"/>
  <c r="AA80" i="3"/>
  <c r="Z80" i="3"/>
  <c r="Y80" i="3"/>
  <c r="X80" i="3"/>
  <c r="W80" i="3"/>
  <c r="AA79" i="3"/>
  <c r="Z79" i="3"/>
  <c r="Y79" i="3"/>
  <c r="X79" i="3"/>
  <c r="W79" i="3"/>
  <c r="AA78" i="3"/>
  <c r="Z78" i="3"/>
  <c r="Y78" i="3"/>
  <c r="X78" i="3"/>
  <c r="W78" i="3"/>
  <c r="AA77" i="3"/>
  <c r="Z77" i="3"/>
  <c r="Y77" i="3"/>
  <c r="X77" i="3"/>
  <c r="W77" i="3"/>
  <c r="AA76" i="3"/>
  <c r="Z76" i="3"/>
  <c r="Y76" i="3"/>
  <c r="X76" i="3"/>
  <c r="W76" i="3"/>
  <c r="AA75" i="3"/>
  <c r="Z75" i="3"/>
  <c r="Y75" i="3"/>
  <c r="X75" i="3"/>
  <c r="W75" i="3"/>
  <c r="AA74" i="3"/>
  <c r="Z74" i="3"/>
  <c r="Y74" i="3"/>
  <c r="X74" i="3"/>
  <c r="W74" i="3"/>
  <c r="AA73" i="3"/>
  <c r="Z73" i="3"/>
  <c r="Y73" i="3"/>
  <c r="X73" i="3"/>
  <c r="W73" i="3"/>
  <c r="AA72" i="3"/>
  <c r="Z72" i="3"/>
  <c r="Y72" i="3"/>
  <c r="X72" i="3"/>
  <c r="W72" i="3"/>
  <c r="AA71" i="3"/>
  <c r="Z71" i="3"/>
  <c r="Y71" i="3"/>
  <c r="X71" i="3"/>
  <c r="W71" i="3"/>
  <c r="AA70" i="3"/>
  <c r="Z70" i="3"/>
  <c r="Y70" i="3"/>
  <c r="X70" i="3"/>
  <c r="W70" i="3"/>
  <c r="AA69" i="3"/>
  <c r="Z69" i="3"/>
  <c r="Y69" i="3"/>
  <c r="X69" i="3"/>
  <c r="W69" i="3"/>
  <c r="AA68" i="3"/>
  <c r="Z68" i="3"/>
  <c r="Y68" i="3"/>
  <c r="X68" i="3"/>
  <c r="W68" i="3"/>
  <c r="AA67" i="3"/>
  <c r="Z67" i="3"/>
  <c r="Y67" i="3"/>
  <c r="X67" i="3"/>
  <c r="W67" i="3"/>
  <c r="AA66" i="3"/>
  <c r="Z66" i="3"/>
  <c r="Y66" i="3"/>
  <c r="X66" i="3"/>
  <c r="W66" i="3"/>
  <c r="AA65" i="3"/>
  <c r="Z65" i="3"/>
  <c r="Y65" i="3"/>
  <c r="X65" i="3"/>
  <c r="W65" i="3"/>
  <c r="AA64" i="3"/>
  <c r="Z64" i="3"/>
  <c r="Y64" i="3"/>
  <c r="X64" i="3"/>
  <c r="W64" i="3"/>
  <c r="AA63" i="3"/>
  <c r="Z63" i="3"/>
  <c r="Y63" i="3"/>
  <c r="X63" i="3"/>
  <c r="W63" i="3"/>
  <c r="AA62" i="3"/>
  <c r="Z62" i="3"/>
  <c r="Y62" i="3"/>
  <c r="X62" i="3"/>
  <c r="W62" i="3"/>
  <c r="AA61" i="3"/>
  <c r="Z61" i="3"/>
  <c r="Y61" i="3"/>
  <c r="X61" i="3"/>
  <c r="W61" i="3"/>
  <c r="AA60" i="3"/>
  <c r="Z60" i="3"/>
  <c r="Y60" i="3"/>
  <c r="X60" i="3"/>
  <c r="W60" i="3"/>
  <c r="AA59" i="3"/>
  <c r="Z59" i="3"/>
  <c r="Y59" i="3"/>
  <c r="X59" i="3"/>
  <c r="W59" i="3"/>
  <c r="AA58" i="3"/>
  <c r="Z58" i="3"/>
  <c r="Y58" i="3"/>
  <c r="X58" i="3"/>
  <c r="W58" i="3"/>
  <c r="AA57" i="3"/>
  <c r="Z57" i="3"/>
  <c r="Y57" i="3"/>
  <c r="X57" i="3"/>
  <c r="W57" i="3"/>
  <c r="AA56" i="3"/>
  <c r="Z56" i="3"/>
  <c r="Y56" i="3"/>
  <c r="X56" i="3"/>
  <c r="W56" i="3"/>
  <c r="AA55" i="3"/>
  <c r="Z55" i="3"/>
  <c r="Y55" i="3"/>
  <c r="X55" i="3"/>
  <c r="W55" i="3"/>
  <c r="AA54" i="3"/>
  <c r="Z54" i="3"/>
  <c r="Y54" i="3"/>
  <c r="X54" i="3"/>
  <c r="W54" i="3"/>
  <c r="AA53" i="3"/>
  <c r="Z53" i="3"/>
  <c r="Y53" i="3"/>
  <c r="X53" i="3"/>
  <c r="W53" i="3"/>
  <c r="AA52" i="3"/>
  <c r="Z52" i="3"/>
  <c r="Y52" i="3"/>
  <c r="X52" i="3"/>
  <c r="W52" i="3"/>
  <c r="AA51" i="3"/>
  <c r="Z51" i="3"/>
  <c r="Y51" i="3"/>
  <c r="X51" i="3"/>
  <c r="W51" i="3"/>
  <c r="AA50" i="3"/>
  <c r="Z50" i="3"/>
  <c r="Y50" i="3"/>
  <c r="X50" i="3"/>
  <c r="W50" i="3"/>
  <c r="AA49" i="3"/>
  <c r="Z49" i="3"/>
  <c r="Y49" i="3"/>
  <c r="X49" i="3"/>
  <c r="W49" i="3"/>
  <c r="AA48" i="3"/>
  <c r="Z48" i="3"/>
  <c r="Y48" i="3"/>
  <c r="X48" i="3"/>
  <c r="W48" i="3"/>
  <c r="AA47" i="3"/>
  <c r="Z47" i="3"/>
  <c r="Y47" i="3"/>
  <c r="X47" i="3"/>
  <c r="W47" i="3"/>
  <c r="AA46" i="3"/>
  <c r="Z46" i="3"/>
  <c r="Y46" i="3"/>
  <c r="X46" i="3"/>
  <c r="W46" i="3"/>
  <c r="AA45" i="3"/>
  <c r="Z45" i="3"/>
  <c r="Y45" i="3"/>
  <c r="X45" i="3"/>
  <c r="W45" i="3"/>
  <c r="AA44" i="3"/>
  <c r="Z44" i="3"/>
  <c r="Y44" i="3"/>
  <c r="X44" i="3"/>
  <c r="W44" i="3"/>
  <c r="AA43" i="3"/>
  <c r="Z43" i="3"/>
  <c r="Y43" i="3"/>
  <c r="X43" i="3"/>
  <c r="W43" i="3"/>
  <c r="AA42" i="3"/>
  <c r="Z42" i="3"/>
  <c r="Y42" i="3"/>
  <c r="X42" i="3"/>
  <c r="W42" i="3"/>
  <c r="AA41" i="3"/>
  <c r="Z41" i="3"/>
  <c r="Y41" i="3"/>
  <c r="X41" i="3"/>
  <c r="W41" i="3"/>
  <c r="AA40" i="3"/>
  <c r="Z40" i="3"/>
  <c r="Y40" i="3"/>
  <c r="X40" i="3"/>
  <c r="W40" i="3"/>
  <c r="AA39" i="3"/>
  <c r="Z39" i="3"/>
  <c r="Y39" i="3"/>
  <c r="X39" i="3"/>
  <c r="W39" i="3"/>
  <c r="AA38" i="3"/>
  <c r="Z38" i="3"/>
  <c r="Y38" i="3"/>
  <c r="X38" i="3"/>
  <c r="W38" i="3"/>
  <c r="AA37" i="3"/>
  <c r="Z37" i="3"/>
  <c r="Y37" i="3"/>
  <c r="X37" i="3"/>
  <c r="W37" i="3"/>
  <c r="AA36" i="3"/>
  <c r="Z36" i="3"/>
  <c r="Y36" i="3"/>
  <c r="X36" i="3"/>
  <c r="W36" i="3"/>
  <c r="AA35" i="3"/>
  <c r="Z35" i="3"/>
  <c r="Y35" i="3"/>
  <c r="X35" i="3"/>
  <c r="W35" i="3"/>
  <c r="AA34" i="3"/>
  <c r="Z34" i="3"/>
  <c r="Y34" i="3"/>
  <c r="X34" i="3"/>
  <c r="W34" i="3"/>
  <c r="AA33" i="3"/>
  <c r="Z33" i="3"/>
  <c r="Y33" i="3"/>
  <c r="X33" i="3"/>
  <c r="W33" i="3"/>
  <c r="AA32" i="3"/>
  <c r="Z32" i="3"/>
  <c r="Y32" i="3"/>
  <c r="X32" i="3"/>
  <c r="W32" i="3"/>
  <c r="AA31" i="3"/>
  <c r="Z31" i="3"/>
  <c r="Y31" i="3"/>
  <c r="X31" i="3"/>
  <c r="W31" i="3"/>
  <c r="AA30" i="3"/>
  <c r="Z30" i="3"/>
  <c r="Y30" i="3"/>
  <c r="X30" i="3"/>
  <c r="W30" i="3"/>
  <c r="AA29" i="3"/>
  <c r="Z29" i="3"/>
  <c r="Y29" i="3"/>
  <c r="X29" i="3"/>
  <c r="W29" i="3"/>
  <c r="AA28" i="3"/>
  <c r="Z28" i="3"/>
  <c r="Y28" i="3"/>
  <c r="X28" i="3"/>
  <c r="W28" i="3"/>
  <c r="AA27" i="3"/>
  <c r="Z27" i="3"/>
  <c r="Y27" i="3"/>
  <c r="X27" i="3"/>
  <c r="W27" i="3"/>
  <c r="AA26" i="3"/>
  <c r="Z26" i="3"/>
  <c r="Y26" i="3"/>
  <c r="X26" i="3"/>
  <c r="W26" i="3"/>
  <c r="AA25" i="3"/>
  <c r="Z25" i="3"/>
  <c r="Y25" i="3"/>
  <c r="X25" i="3"/>
  <c r="W25" i="3"/>
  <c r="AA24" i="3"/>
  <c r="Z24" i="3"/>
  <c r="Y24" i="3"/>
  <c r="X24" i="3"/>
  <c r="W24" i="3"/>
  <c r="AA23" i="3"/>
  <c r="Z23" i="3"/>
  <c r="Y23" i="3"/>
  <c r="X23" i="3"/>
  <c r="W23" i="3"/>
  <c r="AA22" i="3"/>
  <c r="Z22" i="3"/>
  <c r="Y22" i="3"/>
  <c r="X22" i="3"/>
  <c r="W22" i="3"/>
  <c r="AA21" i="3"/>
  <c r="Z21" i="3"/>
  <c r="Y21" i="3"/>
  <c r="X21" i="3"/>
  <c r="W21" i="3"/>
  <c r="AA20" i="3"/>
  <c r="Z20" i="3"/>
  <c r="Y20" i="3"/>
  <c r="X20" i="3"/>
  <c r="W20" i="3"/>
  <c r="AA19" i="3"/>
  <c r="Z19" i="3"/>
  <c r="Y19" i="3"/>
  <c r="X19" i="3"/>
  <c r="W19" i="3"/>
  <c r="AA18" i="3"/>
  <c r="Z18" i="3"/>
  <c r="Y18" i="3"/>
  <c r="X18" i="3"/>
  <c r="W18" i="3"/>
  <c r="AA17" i="3"/>
  <c r="Z17" i="3"/>
  <c r="Y17" i="3"/>
  <c r="X17" i="3"/>
  <c r="W17" i="3"/>
  <c r="AA16" i="3"/>
  <c r="Z16" i="3"/>
  <c r="Y16" i="3"/>
  <c r="X16" i="3"/>
  <c r="W16" i="3"/>
  <c r="AA15" i="3"/>
  <c r="Z15" i="3"/>
  <c r="Y15" i="3"/>
  <c r="X15" i="3"/>
  <c r="W15" i="3"/>
  <c r="AA14" i="3"/>
  <c r="Z14" i="3"/>
  <c r="Y14" i="3"/>
  <c r="X14" i="3"/>
  <c r="W14" i="3"/>
  <c r="AA13" i="3"/>
  <c r="Z13" i="3"/>
  <c r="Y13" i="3"/>
  <c r="C14" i="6" s="1"/>
  <c r="X13" i="3"/>
  <c r="W13" i="3"/>
  <c r="AA12" i="3"/>
  <c r="Z12" i="3"/>
  <c r="Y12" i="3"/>
  <c r="X12" i="3"/>
  <c r="W12" i="3"/>
  <c r="AA11" i="3"/>
  <c r="Z11" i="3"/>
  <c r="Y11" i="3"/>
  <c r="X11" i="3"/>
  <c r="W11" i="3"/>
  <c r="G3" i="5" s="1"/>
  <c r="AA10" i="3"/>
  <c r="Z10" i="3"/>
  <c r="Y10" i="3"/>
  <c r="X10" i="3"/>
  <c r="W10" i="3"/>
  <c r="AA9" i="3"/>
  <c r="Z9" i="3"/>
  <c r="Y9" i="3"/>
  <c r="X9" i="3"/>
  <c r="W9" i="3"/>
  <c r="AA8" i="3"/>
  <c r="Z8" i="3"/>
  <c r="Y8" i="3"/>
  <c r="X8" i="3"/>
  <c r="W8" i="3"/>
  <c r="AA7" i="3"/>
  <c r="Z7" i="3"/>
  <c r="Y7" i="3"/>
  <c r="X7" i="3"/>
  <c r="W7" i="3"/>
  <c r="AA6" i="3"/>
  <c r="Z6" i="3"/>
  <c r="Y6" i="3"/>
  <c r="B3" i="6" s="1"/>
  <c r="X6" i="3"/>
  <c r="H11" i="5" s="1"/>
  <c r="W6" i="3"/>
  <c r="AA5" i="3"/>
  <c r="Z5" i="3"/>
  <c r="Y5" i="3"/>
  <c r="X5" i="3"/>
  <c r="W5" i="3"/>
  <c r="AA4" i="3"/>
  <c r="Z4" i="3"/>
  <c r="Y4" i="3"/>
  <c r="C10" i="6" s="1"/>
  <c r="X4" i="3"/>
  <c r="H12" i="5" s="1"/>
  <c r="W4" i="3"/>
  <c r="H3" i="5" s="1"/>
  <c r="AA3" i="3"/>
  <c r="Z3" i="3"/>
  <c r="Y3" i="3"/>
  <c r="X3" i="3"/>
  <c r="W3" i="3"/>
  <c r="AA2" i="3"/>
  <c r="Z2" i="3"/>
  <c r="Y2" i="3"/>
  <c r="B14" i="6" s="1"/>
  <c r="X2" i="3"/>
  <c r="G11" i="5" s="1"/>
  <c r="W2" i="3"/>
  <c r="H5" i="5" s="1"/>
  <c r="D11" i="1"/>
  <c r="D10" i="1"/>
  <c r="M5" i="1"/>
  <c r="A5" i="1"/>
  <c r="D5" i="1" l="1"/>
  <c r="D12" i="1"/>
  <c r="C8" i="6"/>
  <c r="I31" i="5"/>
  <c r="I23" i="5"/>
  <c r="B9" i="6"/>
  <c r="G12" i="5"/>
  <c r="C4" i="6"/>
  <c r="B5" i="6"/>
  <c r="B11" i="6"/>
  <c r="C47" i="6"/>
  <c r="B47" i="6" s="1"/>
  <c r="H4" i="5"/>
  <c r="H13" i="5"/>
  <c r="C5" i="6"/>
  <c r="C11" i="6"/>
  <c r="C3" i="6"/>
  <c r="B4" i="6"/>
  <c r="C9" i="6"/>
  <c r="B10" i="6"/>
  <c r="B12" i="6"/>
  <c r="I24" i="5"/>
  <c r="C6" i="6"/>
  <c r="C12" i="6"/>
  <c r="C48" i="6"/>
  <c r="B48" i="6" s="1"/>
  <c r="H10" i="5"/>
  <c r="B7" i="6"/>
  <c r="B13" i="6"/>
  <c r="C49" i="6"/>
  <c r="B49" i="6" s="1"/>
  <c r="G6" i="5"/>
  <c r="G4" i="5"/>
  <c r="G10" i="5"/>
  <c r="G5" i="5"/>
  <c r="C7" i="6"/>
  <c r="C13" i="6"/>
  <c r="B50" i="6"/>
  <c r="C46" i="6"/>
  <c r="B46" i="6" s="1"/>
  <c r="H6" i="5"/>
  <c r="G13" i="5"/>
  <c r="B6" i="6"/>
  <c r="B8" i="6"/>
</calcChain>
</file>

<file path=xl/sharedStrings.xml><?xml version="1.0" encoding="utf-8"?>
<sst xmlns="http://schemas.openxmlformats.org/spreadsheetml/2006/main" count="26283" uniqueCount="1773">
  <si>
    <t>HR WORKFORCE ANALYTICS DASHBOARD</t>
  </si>
  <si>
    <t>TOTAL EMPLOYEES</t>
  </si>
  <si>
    <t>ATTRITION RATE</t>
  </si>
  <si>
    <t>AVG ANNUAL CTC</t>
  </si>
  <si>
    <t>AVG RATING</t>
  </si>
  <si>
    <t>AVG EXPERIENCE</t>
  </si>
  <si>
    <t>FILTER BY DEPARTMENT:</t>
  </si>
  <si>
    <t>All</t>
  </si>
  <si>
    <t>Filtered Headcount</t>
  </si>
  <si>
    <t>Filtered Avg Salary</t>
  </si>
  <si>
    <t>Filtered Attrition Rate</t>
  </si>
  <si>
    <t>Employee_ID</t>
  </si>
  <si>
    <t>Join_Date</t>
  </si>
  <si>
    <t>Employee_Name</t>
  </si>
  <si>
    <t>Gender</t>
  </si>
  <si>
    <t>Age</t>
  </si>
  <si>
    <t>State</t>
  </si>
  <si>
    <t>City</t>
  </si>
  <si>
    <t>Department</t>
  </si>
  <si>
    <t>Designation_Level</t>
  </si>
  <si>
    <t>Designation_Title</t>
  </si>
  <si>
    <t>Experience_Years</t>
  </si>
  <si>
    <t>Employment_Type</t>
  </si>
  <si>
    <t>Monthly_Salary</t>
  </si>
  <si>
    <t>Annual_CTC</t>
  </si>
  <si>
    <t>Bonus_Amount</t>
  </si>
  <si>
    <t>Performance_Rating</t>
  </si>
  <si>
    <t>Attrition</t>
  </si>
  <si>
    <t>Leaves_Taken</t>
  </si>
  <si>
    <t>Overtime_Hours</t>
  </si>
  <si>
    <t>Manager_Name</t>
  </si>
  <si>
    <t>Education</t>
  </si>
  <si>
    <t>Marital_Status</t>
  </si>
  <si>
    <t>EMP0001</t>
  </si>
  <si>
    <t>Yash Mehta</t>
  </si>
  <si>
    <t>Male</t>
  </si>
  <si>
    <t>Tamil Nadu</t>
  </si>
  <si>
    <t>Chennai</t>
  </si>
  <si>
    <t>Sales</t>
  </si>
  <si>
    <t>Executive</t>
  </si>
  <si>
    <t>Key Account Manager</t>
  </si>
  <si>
    <t>Part-Time</t>
  </si>
  <si>
    <t>No</t>
  </si>
  <si>
    <t>Ritu Chawla</t>
  </si>
  <si>
    <t>Bachelor's</t>
  </si>
  <si>
    <t>Married</t>
  </si>
  <si>
    <t>EMP0002</t>
  </si>
  <si>
    <t>Neha Bansal</t>
  </si>
  <si>
    <t>Female</t>
  </si>
  <si>
    <t>Karnataka</t>
  </si>
  <si>
    <t>Bengaluru</t>
  </si>
  <si>
    <t>Director</t>
  </si>
  <si>
    <t>Full-Time</t>
  </si>
  <si>
    <t>Deepa Krishnan</t>
  </si>
  <si>
    <t>Diploma</t>
  </si>
  <si>
    <t>EMP0003</t>
  </si>
  <si>
    <t>Vivaan Menon</t>
  </si>
  <si>
    <t>Telangana</t>
  </si>
  <si>
    <t>Hyderabad</t>
  </si>
  <si>
    <t>HR</t>
  </si>
  <si>
    <t>Senior Manager</t>
  </si>
  <si>
    <t>HR Manager</t>
  </si>
  <si>
    <t>Sunita Rao</t>
  </si>
  <si>
    <t>Master's</t>
  </si>
  <si>
    <t>EMP0004</t>
  </si>
  <si>
    <t>Kritika Singh</t>
  </si>
  <si>
    <t>Engineering</t>
  </si>
  <si>
    <t>Tech Lead</t>
  </si>
  <si>
    <t>Rajesh Khanna</t>
  </si>
  <si>
    <t>Single</t>
  </si>
  <si>
    <t>EMP0005</t>
  </si>
  <si>
    <t>Kabir Pillai</t>
  </si>
  <si>
    <t>Rajasthan</t>
  </si>
  <si>
    <t>Jaipur</t>
  </si>
  <si>
    <t>Finance</t>
  </si>
  <si>
    <t>Manager</t>
  </si>
  <si>
    <t>CFO Office</t>
  </si>
  <si>
    <t>Kavita Menon</t>
  </si>
  <si>
    <t>EMP0006</t>
  </si>
  <si>
    <t>Diya Reddy</t>
  </si>
  <si>
    <t>Uttar Pradesh</t>
  </si>
  <si>
    <t>Lucknow</t>
  </si>
  <si>
    <t>Senior Executive</t>
  </si>
  <si>
    <t>Finance Controller</t>
  </si>
  <si>
    <t>EMP0007</t>
  </si>
  <si>
    <t>Pari Pillai</t>
  </si>
  <si>
    <t>Gujarat</t>
  </si>
  <si>
    <t>Ahmedabad</t>
  </si>
  <si>
    <t>HR Director</t>
  </si>
  <si>
    <t>EMP0008</t>
  </si>
  <si>
    <t>Pari Nair</t>
  </si>
  <si>
    <t>West Bengal</t>
  </si>
  <si>
    <t>Kolkata</t>
  </si>
  <si>
    <t>Senior Software Engineer</t>
  </si>
  <si>
    <t>Sandeep Bhatia</t>
  </si>
  <si>
    <t>EMP0009</t>
  </si>
  <si>
    <t>Amit Verma</t>
  </si>
  <si>
    <t>Madhya Pradesh</t>
  </si>
  <si>
    <t>Bhopal</t>
  </si>
  <si>
    <t>Sales Executive</t>
  </si>
  <si>
    <t>EMP0010</t>
  </si>
  <si>
    <t>Rahul Agarwal</t>
  </si>
  <si>
    <t>EMP0011</t>
  </si>
  <si>
    <t>Tanvi Rao</t>
  </si>
  <si>
    <t>HR Executive</t>
  </si>
  <si>
    <t>Alok Mehra</t>
  </si>
  <si>
    <t>EMP0012</t>
  </si>
  <si>
    <t>Aarav Menon</t>
  </si>
  <si>
    <t>Maharashtra</t>
  </si>
  <si>
    <t>Mumbai</t>
  </si>
  <si>
    <t>Sales Director</t>
  </si>
  <si>
    <t>EMP0013</t>
  </si>
  <si>
    <t>Karan Agarwal</t>
  </si>
  <si>
    <t>EMP0014</t>
  </si>
  <si>
    <t>Rahul Pillai</t>
  </si>
  <si>
    <t>Finance Executive</t>
  </si>
  <si>
    <t>EMP0015</t>
  </si>
  <si>
    <t>Aditya Desai</t>
  </si>
  <si>
    <t>Operations</t>
  </si>
  <si>
    <t>Process Manager</t>
  </si>
  <si>
    <t>Contract</t>
  </si>
  <si>
    <t>EMP0016</t>
  </si>
  <si>
    <t>Pooja Iyer</t>
  </si>
  <si>
    <t>Delhi</t>
  </si>
  <si>
    <t>New Delhi</t>
  </si>
  <si>
    <t>HRBP</t>
  </si>
  <si>
    <t>Yes</t>
  </si>
  <si>
    <t>EMP0017</t>
  </si>
  <si>
    <t>Aryan Reddy</t>
  </si>
  <si>
    <t>Preeti Shah</t>
  </si>
  <si>
    <t>EMP0018</t>
  </si>
  <si>
    <t>Aryan Sharma</t>
  </si>
  <si>
    <t>EMP0019</t>
  </si>
  <si>
    <t>Yash Bansal</t>
  </si>
  <si>
    <t>Business Development Manager</t>
  </si>
  <si>
    <t>EMP0020</t>
  </si>
  <si>
    <t>Arjun Chopra</t>
  </si>
  <si>
    <t>Logistics Coordinator</t>
  </si>
  <si>
    <t>PhD</t>
  </si>
  <si>
    <t>EMP0021</t>
  </si>
  <si>
    <t>Aryan Malhotra</t>
  </si>
  <si>
    <t>Talent Acquisition Specialist</t>
  </si>
  <si>
    <t>EMP0022</t>
  </si>
  <si>
    <t>Ishaan Gupta</t>
  </si>
  <si>
    <t>EMP0023</t>
  </si>
  <si>
    <t>Isha Joshi</t>
  </si>
  <si>
    <t>Manoj Tiwari</t>
  </si>
  <si>
    <t>EMP0024</t>
  </si>
  <si>
    <t>Sneha Reddy</t>
  </si>
  <si>
    <t>QA Engineer</t>
  </si>
  <si>
    <t>EMP0025</t>
  </si>
  <si>
    <t>Meera Chopra</t>
  </si>
  <si>
    <t>Financial Analyst</t>
  </si>
  <si>
    <t>EMP0026</t>
  </si>
  <si>
    <t>Saanvi Kumar</t>
  </si>
  <si>
    <t>EMP0027</t>
  </si>
  <si>
    <t>Tanvi Kapoor</t>
  </si>
  <si>
    <t>EMP0028</t>
  </si>
  <si>
    <t>Simran Kumar</t>
  </si>
  <si>
    <t>EMP0029</t>
  </si>
  <si>
    <t>Aarav Desai</t>
  </si>
  <si>
    <t>Software Engineer</t>
  </si>
  <si>
    <t>EMP0030</t>
  </si>
  <si>
    <t>Kavya Rao</t>
  </si>
  <si>
    <t>EMP0031</t>
  </si>
  <si>
    <t>Aarav Joshi</t>
  </si>
  <si>
    <t>EMP0032</t>
  </si>
  <si>
    <t>Aarav Kapoor</t>
  </si>
  <si>
    <t>EMP0033</t>
  </si>
  <si>
    <t>Ishita Singh</t>
  </si>
  <si>
    <t>Engineering Manager</t>
  </si>
  <si>
    <t>EMP0034</t>
  </si>
  <si>
    <t>Simran Malhotra</t>
  </si>
  <si>
    <t>EMP0035</t>
  </si>
  <si>
    <t>Dhruv Malhotra</t>
  </si>
  <si>
    <t>Anil Saxena</t>
  </si>
  <si>
    <t>EMP0036</t>
  </si>
  <si>
    <t>Divya Patel</t>
  </si>
  <si>
    <t>EMP0037</t>
  </si>
  <si>
    <t>Kavya Sharma</t>
  </si>
  <si>
    <t>EMP0038</t>
  </si>
  <si>
    <t>Priya Patel</t>
  </si>
  <si>
    <t>Ops Director</t>
  </si>
  <si>
    <t>EMP0039</t>
  </si>
  <si>
    <t>Aarav Malhotra</t>
  </si>
  <si>
    <t>EMP0040</t>
  </si>
  <si>
    <t>Amit Reddy</t>
  </si>
  <si>
    <t>EMP0041</t>
  </si>
  <si>
    <t>Vihaan Chopra</t>
  </si>
  <si>
    <t>EMP0042</t>
  </si>
  <si>
    <t>Regional Sales Head</t>
  </si>
  <si>
    <t>EMP0043</t>
  </si>
  <si>
    <t>Rohan Sharma</t>
  </si>
  <si>
    <t>EMP0044</t>
  </si>
  <si>
    <t>Saanvi Nair</t>
  </si>
  <si>
    <t>EMP0045</t>
  </si>
  <si>
    <t>EMP0046</t>
  </si>
  <si>
    <t>Anika Gupta</t>
  </si>
  <si>
    <t>EMP0047</t>
  </si>
  <si>
    <t>Vikram Bansal</t>
  </si>
  <si>
    <t>EMP0048</t>
  </si>
  <si>
    <t>Karan Pillai</t>
  </si>
  <si>
    <t>EMP0049</t>
  </si>
  <si>
    <t>Aadhya Gupta</t>
  </si>
  <si>
    <t>EMP0050</t>
  </si>
  <si>
    <t>EMP0051</t>
  </si>
  <si>
    <t>Kavya Nair</t>
  </si>
  <si>
    <t>EMP0052</t>
  </si>
  <si>
    <t>Kabir Malhotra</t>
  </si>
  <si>
    <t>EMP0053</t>
  </si>
  <si>
    <t>Sai Singh</t>
  </si>
  <si>
    <t>EMP0054</t>
  </si>
  <si>
    <t>Amit Iyer</t>
  </si>
  <si>
    <t>EMP0055</t>
  </si>
  <si>
    <t>Priya Singh</t>
  </si>
  <si>
    <t>EMP0056</t>
  </si>
  <si>
    <t>Saanvi Bansal</t>
  </si>
  <si>
    <t>EMP0057</t>
  </si>
  <si>
    <t>Yash Iyer</t>
  </si>
  <si>
    <t>Ops Analyst</t>
  </si>
  <si>
    <t>EMP0058</t>
  </si>
  <si>
    <t>Saanvi Joshi</t>
  </si>
  <si>
    <t>EMP0059</t>
  </si>
  <si>
    <t>Divya Bansal</t>
  </si>
  <si>
    <t>EMP0060</t>
  </si>
  <si>
    <t>Karan Kapoor</t>
  </si>
  <si>
    <t>EMP0061</t>
  </si>
  <si>
    <t>Isha Chopra</t>
  </si>
  <si>
    <t>EMP0062</t>
  </si>
  <si>
    <t>Yash Kumar</t>
  </si>
  <si>
    <t>EMP0063</t>
  </si>
  <si>
    <t>Arjun Agarwal</t>
  </si>
  <si>
    <t>EMP0064</t>
  </si>
  <si>
    <t>Rahul Singh</t>
  </si>
  <si>
    <t>EMP0065</t>
  </si>
  <si>
    <t>Vihaan Verma</t>
  </si>
  <si>
    <t>EMP0066</t>
  </si>
  <si>
    <t>Ishita Menon</t>
  </si>
  <si>
    <t>EMP0067</t>
  </si>
  <si>
    <t>Aarav Nair</t>
  </si>
  <si>
    <t>EMP0068</t>
  </si>
  <si>
    <t>Neha Kapoor</t>
  </si>
  <si>
    <t>EMP0069</t>
  </si>
  <si>
    <t>Amit Singh</t>
  </si>
  <si>
    <t>EMP0070</t>
  </si>
  <si>
    <t>Ananya Singh</t>
  </si>
  <si>
    <t>EMP0071</t>
  </si>
  <si>
    <t>Kritika Agarwal</t>
  </si>
  <si>
    <t>EMP0072</t>
  </si>
  <si>
    <t>Aryan Bansal</t>
  </si>
  <si>
    <t>Operations Executive</t>
  </si>
  <si>
    <t>EMP0073</t>
  </si>
  <si>
    <t>Ishaan Rao</t>
  </si>
  <si>
    <t>EMP0074</t>
  </si>
  <si>
    <t>EMP0075</t>
  </si>
  <si>
    <t>Vivaan Patel</t>
  </si>
  <si>
    <t>EMP0076</t>
  </si>
  <si>
    <t>Karan Verma</t>
  </si>
  <si>
    <t>EMP0077</t>
  </si>
  <si>
    <t>EMP0078</t>
  </si>
  <si>
    <t>EMP0079</t>
  </si>
  <si>
    <t>Divya Desai</t>
  </si>
  <si>
    <t>EMP0080</t>
  </si>
  <si>
    <t>Kritika Verma</t>
  </si>
  <si>
    <t>EMP0081</t>
  </si>
  <si>
    <t>Ananya Desai</t>
  </si>
  <si>
    <t>EMP0082</t>
  </si>
  <si>
    <t>Kabir Sharma</t>
  </si>
  <si>
    <t>EMP0083</t>
  </si>
  <si>
    <t>Aditya Singh</t>
  </si>
  <si>
    <t>EMP0084</t>
  </si>
  <si>
    <t>EMP0085</t>
  </si>
  <si>
    <t>Kabir Iyer</t>
  </si>
  <si>
    <t>EMP0086</t>
  </si>
  <si>
    <t>Kritika Rao</t>
  </si>
  <si>
    <t>EMP0087</t>
  </si>
  <si>
    <t>Aryan Verma</t>
  </si>
  <si>
    <t>EMP0088</t>
  </si>
  <si>
    <t>Priya Iyer</t>
  </si>
  <si>
    <t>EMP0089</t>
  </si>
  <si>
    <t>Krishna Nair</t>
  </si>
  <si>
    <t>EMP0090</t>
  </si>
  <si>
    <t>Rahul Joshi</t>
  </si>
  <si>
    <t>EMP0091</t>
  </si>
  <si>
    <t>Myra Menon</t>
  </si>
  <si>
    <t>EMP0092</t>
  </si>
  <si>
    <t>Aryan Kapoor</t>
  </si>
  <si>
    <t>EMP0093</t>
  </si>
  <si>
    <t>Aarav Patel</t>
  </si>
  <si>
    <t>EMP0094</t>
  </si>
  <si>
    <t>EMP0095</t>
  </si>
  <si>
    <t>EMP0096</t>
  </si>
  <si>
    <t>Arjun Verma</t>
  </si>
  <si>
    <t>EMP0097</t>
  </si>
  <si>
    <t>Manish Patel</t>
  </si>
  <si>
    <t>EMP0098</t>
  </si>
  <si>
    <t>Saanvi Mehta</t>
  </si>
  <si>
    <t>EMP0099</t>
  </si>
  <si>
    <t>EMP0100</t>
  </si>
  <si>
    <t>EMP0101</t>
  </si>
  <si>
    <t>Rahul Verma</t>
  </si>
  <si>
    <t>EMP0102</t>
  </si>
  <si>
    <t>Pari Bansal</t>
  </si>
  <si>
    <t>EMP0103</t>
  </si>
  <si>
    <t>EMP0104</t>
  </si>
  <si>
    <t>Diya Sharma</t>
  </si>
  <si>
    <t>EMP0105</t>
  </si>
  <si>
    <t>Amit Malhotra</t>
  </si>
  <si>
    <t>EMP0106</t>
  </si>
  <si>
    <t>Krishna Iyer</t>
  </si>
  <si>
    <t>EMP0107</t>
  </si>
  <si>
    <t>Nikhil Bansal</t>
  </si>
  <si>
    <t>EMP0108</t>
  </si>
  <si>
    <t>Pooja Sharma</t>
  </si>
  <si>
    <t>EMP0109</t>
  </si>
  <si>
    <t>Pooja Pillai</t>
  </si>
  <si>
    <t>EMP0110</t>
  </si>
  <si>
    <t>Sneha Joshi</t>
  </si>
  <si>
    <t>EMP0111</t>
  </si>
  <si>
    <t>Vihaan Mehta</t>
  </si>
  <si>
    <t>EMP0112</t>
  </si>
  <si>
    <t>Tanvi Reddy</t>
  </si>
  <si>
    <t>EMP0113</t>
  </si>
  <si>
    <t>Reyansh Bansal</t>
  </si>
  <si>
    <t>EMP0114</t>
  </si>
  <si>
    <t>EMP0115</t>
  </si>
  <si>
    <t>EMP0116</t>
  </si>
  <si>
    <t>Ishaan Kapoor</t>
  </si>
  <si>
    <t>EMP0117</t>
  </si>
  <si>
    <t>Vihaan Nair</t>
  </si>
  <si>
    <t>EMP0118</t>
  </si>
  <si>
    <t>Arjun Gupta</t>
  </si>
  <si>
    <t>EMP0119</t>
  </si>
  <si>
    <t>Aarav Gupta</t>
  </si>
  <si>
    <t>EMP0120</t>
  </si>
  <si>
    <t>EMP0121</t>
  </si>
  <si>
    <t>Isha Sharma</t>
  </si>
  <si>
    <t>EMP0122</t>
  </si>
  <si>
    <t>Diya Rao</t>
  </si>
  <si>
    <t>EMP0123</t>
  </si>
  <si>
    <t>Karan Mehta</t>
  </si>
  <si>
    <t>EMP0124</t>
  </si>
  <si>
    <t>Kavya Agarwal</t>
  </si>
  <si>
    <t>EMP0125</t>
  </si>
  <si>
    <t>Saanvi Pillai</t>
  </si>
  <si>
    <t>EMP0126</t>
  </si>
  <si>
    <t>Aryan Nair</t>
  </si>
  <si>
    <t>EMP0127</t>
  </si>
  <si>
    <t>Aadhya Iyer</t>
  </si>
  <si>
    <t>EMP0128</t>
  </si>
  <si>
    <t>Pooja Malhotra</t>
  </si>
  <si>
    <t>EMP0129</t>
  </si>
  <si>
    <t>Tanvi Desai</t>
  </si>
  <si>
    <t>EMP0130</t>
  </si>
  <si>
    <t>Pooja Rao</t>
  </si>
  <si>
    <t>EMP0131</t>
  </si>
  <si>
    <t>Yash Reddy</t>
  </si>
  <si>
    <t>EMP0132</t>
  </si>
  <si>
    <t>Kritika Kumar</t>
  </si>
  <si>
    <t>EMP0133</t>
  </si>
  <si>
    <t>Vikram Gupta</t>
  </si>
  <si>
    <t>EMP0134</t>
  </si>
  <si>
    <t>Kabir Rao</t>
  </si>
  <si>
    <t>EMP0135</t>
  </si>
  <si>
    <t>Anika Bansal</t>
  </si>
  <si>
    <t>EMP0136</t>
  </si>
  <si>
    <t>Vivaan Mehta</t>
  </si>
  <si>
    <t>Accounts Manager</t>
  </si>
  <si>
    <t>EMP0137</t>
  </si>
  <si>
    <t>Pooja Kapoor</t>
  </si>
  <si>
    <t>EMP0138</t>
  </si>
  <si>
    <t>EMP0139</t>
  </si>
  <si>
    <t>Isha Nair</t>
  </si>
  <si>
    <t>EMP0140</t>
  </si>
  <si>
    <t>Tanvi Singh</t>
  </si>
  <si>
    <t>EMP0141</t>
  </si>
  <si>
    <t>Sneha Patel</t>
  </si>
  <si>
    <t>EMP0142</t>
  </si>
  <si>
    <t>Dhruv Kapoor</t>
  </si>
  <si>
    <t>EMP0143</t>
  </si>
  <si>
    <t>Rohan Rao</t>
  </si>
  <si>
    <t>EMP0144</t>
  </si>
  <si>
    <t>Priya Kumar</t>
  </si>
  <si>
    <t>EMP0145</t>
  </si>
  <si>
    <t>Priya Pillai</t>
  </si>
  <si>
    <t>EMP0146</t>
  </si>
  <si>
    <t>Pooja Reddy</t>
  </si>
  <si>
    <t>EMP0147</t>
  </si>
  <si>
    <t>Reyansh Kumar</t>
  </si>
  <si>
    <t>EMP0148</t>
  </si>
  <si>
    <t>Aryan Joshi</t>
  </si>
  <si>
    <t>EMP0149</t>
  </si>
  <si>
    <t>Diya Gupta</t>
  </si>
  <si>
    <t>EMP0150</t>
  </si>
  <si>
    <t>Ishaan Verma</t>
  </si>
  <si>
    <t>EMP0151</t>
  </si>
  <si>
    <t>Saanvi Chopra</t>
  </si>
  <si>
    <t>EMP0152</t>
  </si>
  <si>
    <t>EMP0153</t>
  </si>
  <si>
    <t>Anika Malhotra</t>
  </si>
  <si>
    <t>EMP0154</t>
  </si>
  <si>
    <t>Dhruv Gupta</t>
  </si>
  <si>
    <t>EMP0155</t>
  </si>
  <si>
    <t>Aryan Mehta</t>
  </si>
  <si>
    <t>EMP0156</t>
  </si>
  <si>
    <t>Ishita Kapoor</t>
  </si>
  <si>
    <t>EMP0157</t>
  </si>
  <si>
    <t>Kavya Gupta</t>
  </si>
  <si>
    <t>EMP0158</t>
  </si>
  <si>
    <t>Pooja Menon</t>
  </si>
  <si>
    <t>EMP0159</t>
  </si>
  <si>
    <t>Vihaan Reddy</t>
  </si>
  <si>
    <t>EMP0160</t>
  </si>
  <si>
    <t>Krishna Kumar</t>
  </si>
  <si>
    <t>EMP0161</t>
  </si>
  <si>
    <t>Manish Chopra</t>
  </si>
  <si>
    <t>EMP0162</t>
  </si>
  <si>
    <t>EMP0163</t>
  </si>
  <si>
    <t>EMP0164</t>
  </si>
  <si>
    <t>EMP0165</t>
  </si>
  <si>
    <t>EMP0166</t>
  </si>
  <si>
    <t>EMP0167</t>
  </si>
  <si>
    <t>Meera Pillai</t>
  </si>
  <si>
    <t>EMP0168</t>
  </si>
  <si>
    <t>EMP0169</t>
  </si>
  <si>
    <t>Divya Kumar</t>
  </si>
  <si>
    <t>EMP0170</t>
  </si>
  <si>
    <t>Aditya Kapoor</t>
  </si>
  <si>
    <t>EMP0171</t>
  </si>
  <si>
    <t>Isha Agarwal</t>
  </si>
  <si>
    <t>EMP0172</t>
  </si>
  <si>
    <t>Riya Desai</t>
  </si>
  <si>
    <t>EMP0173</t>
  </si>
  <si>
    <t>EMP0174</t>
  </si>
  <si>
    <t>EMP0175</t>
  </si>
  <si>
    <t>Kabir Nair</t>
  </si>
  <si>
    <t>EMP0176</t>
  </si>
  <si>
    <t>EMP0177</t>
  </si>
  <si>
    <t>EMP0178</t>
  </si>
  <si>
    <t>Meera Gupta</t>
  </si>
  <si>
    <t>EMP0179</t>
  </si>
  <si>
    <t>Amit Mehta</t>
  </si>
  <si>
    <t>EMP0180</t>
  </si>
  <si>
    <t>Rohan Singh</t>
  </si>
  <si>
    <t>EMP0181</t>
  </si>
  <si>
    <t>Simran Iyer</t>
  </si>
  <si>
    <t>EMP0182</t>
  </si>
  <si>
    <t>Reyansh Malhotra</t>
  </si>
  <si>
    <t>EMP0183</t>
  </si>
  <si>
    <t>Amit Chopra</t>
  </si>
  <si>
    <t>EMP0184</t>
  </si>
  <si>
    <t>EMP0185</t>
  </si>
  <si>
    <t>Myra Bansal</t>
  </si>
  <si>
    <t>EMP0186</t>
  </si>
  <si>
    <t>Aryan Rao</t>
  </si>
  <si>
    <t>EMP0187</t>
  </si>
  <si>
    <t>Pooja Patel</t>
  </si>
  <si>
    <t>EMP0188</t>
  </si>
  <si>
    <t>Sneha Desai</t>
  </si>
  <si>
    <t>EMP0189</t>
  </si>
  <si>
    <t>EMP0190</t>
  </si>
  <si>
    <t>Aditya Gupta</t>
  </si>
  <si>
    <t>EMP0191</t>
  </si>
  <si>
    <t>Kavya Pillai</t>
  </si>
  <si>
    <t>EMP0192</t>
  </si>
  <si>
    <t>Riya Pillai</t>
  </si>
  <si>
    <t>EMP0193</t>
  </si>
  <si>
    <t>Myra Gupta</t>
  </si>
  <si>
    <t>EMP0194</t>
  </si>
  <si>
    <t>Meera Malhotra</t>
  </si>
  <si>
    <t>EMP0195</t>
  </si>
  <si>
    <t>Simran Bansal</t>
  </si>
  <si>
    <t>EMP0196</t>
  </si>
  <si>
    <t>Krishna Mehta</t>
  </si>
  <si>
    <t>EMP0197</t>
  </si>
  <si>
    <t>EMP0198</t>
  </si>
  <si>
    <t>Simran Kapoor</t>
  </si>
  <si>
    <t>EMP0199</t>
  </si>
  <si>
    <t>Vihaan Singh</t>
  </si>
  <si>
    <t>EMP0200</t>
  </si>
  <si>
    <t>Dhruv Verma</t>
  </si>
  <si>
    <t>EMP0201</t>
  </si>
  <si>
    <t>Ishita Chopra</t>
  </si>
  <si>
    <t>EMP0202</t>
  </si>
  <si>
    <t>EMP0203</t>
  </si>
  <si>
    <t>Manish Sharma</t>
  </si>
  <si>
    <t>EMP0204</t>
  </si>
  <si>
    <t>Simran Sharma</t>
  </si>
  <si>
    <t>EMP0205</t>
  </si>
  <si>
    <t>Simran Nair</t>
  </si>
  <si>
    <t>EMP0206</t>
  </si>
  <si>
    <t>Aarav Rao</t>
  </si>
  <si>
    <t>EMP0207</t>
  </si>
  <si>
    <t>Divya Singh</t>
  </si>
  <si>
    <t>EMP0208</t>
  </si>
  <si>
    <t>Aadhya Verma</t>
  </si>
  <si>
    <t>EMP0209</t>
  </si>
  <si>
    <t>Meera Joshi</t>
  </si>
  <si>
    <t>EMP0210</t>
  </si>
  <si>
    <t>Sai Reddy</t>
  </si>
  <si>
    <t>EMP0211</t>
  </si>
  <si>
    <t>Aarav Singh</t>
  </si>
  <si>
    <t>EMP0212</t>
  </si>
  <si>
    <t>Sai Gupta</t>
  </si>
  <si>
    <t>EMP0213</t>
  </si>
  <si>
    <t>Vikram Desai</t>
  </si>
  <si>
    <t>EMP0214</t>
  </si>
  <si>
    <t>EMP0215</t>
  </si>
  <si>
    <t>EMP0216</t>
  </si>
  <si>
    <t>Myra Malhotra</t>
  </si>
  <si>
    <t>EMP0217</t>
  </si>
  <si>
    <t>EMP0218</t>
  </si>
  <si>
    <t>Vivaan Chopra</t>
  </si>
  <si>
    <t>EMP0219</t>
  </si>
  <si>
    <t>Vivaan Joshi</t>
  </si>
  <si>
    <t>EMP0220</t>
  </si>
  <si>
    <t>Saanvi Iyer</t>
  </si>
  <si>
    <t>EMP0221</t>
  </si>
  <si>
    <t>Kritika Patel</t>
  </si>
  <si>
    <t>EMP0222</t>
  </si>
  <si>
    <t>Divya Kapoor</t>
  </si>
  <si>
    <t>EMP0223</t>
  </si>
  <si>
    <t>Riya Iyer</t>
  </si>
  <si>
    <t>EMP0224</t>
  </si>
  <si>
    <t>Aarav Mehta</t>
  </si>
  <si>
    <t>EMP0225</t>
  </si>
  <si>
    <t>Priya Mehta</t>
  </si>
  <si>
    <t>EMP0226</t>
  </si>
  <si>
    <t>Rahul Chopra</t>
  </si>
  <si>
    <t>EMP0227</t>
  </si>
  <si>
    <t>EMP0228</t>
  </si>
  <si>
    <t>Ishita Malhotra</t>
  </si>
  <si>
    <t>EMP0229</t>
  </si>
  <si>
    <t>EMP0230</t>
  </si>
  <si>
    <t>EMP0231</t>
  </si>
  <si>
    <t>Manish Malhotra</t>
  </si>
  <si>
    <t>EMP0232</t>
  </si>
  <si>
    <t>Sai Chopra</t>
  </si>
  <si>
    <t>EMP0233</t>
  </si>
  <si>
    <t>Sneha Mehta</t>
  </si>
  <si>
    <t>EMP0234</t>
  </si>
  <si>
    <t>EMP0235</t>
  </si>
  <si>
    <t>Kabir Kapoor</t>
  </si>
  <si>
    <t>EMP0236</t>
  </si>
  <si>
    <t>Divya Nair</t>
  </si>
  <si>
    <t>EMP0237</t>
  </si>
  <si>
    <t>Ishita Sharma</t>
  </si>
  <si>
    <t>EMP0238</t>
  </si>
  <si>
    <t>Rahul Malhotra</t>
  </si>
  <si>
    <t>EMP0239</t>
  </si>
  <si>
    <t>Isha Reddy</t>
  </si>
  <si>
    <t>EMP0240</t>
  </si>
  <si>
    <t>Priya Desai</t>
  </si>
  <si>
    <t>EMP0241</t>
  </si>
  <si>
    <t>Sneha Iyer</t>
  </si>
  <si>
    <t>EMP0242</t>
  </si>
  <si>
    <t>Yash Gupta</t>
  </si>
  <si>
    <t>EMP0243</t>
  </si>
  <si>
    <t>EMP0244</t>
  </si>
  <si>
    <t>Vikram Pillai</t>
  </si>
  <si>
    <t>EMP0245</t>
  </si>
  <si>
    <t>Pooja Desai</t>
  </si>
  <si>
    <t>EMP0246</t>
  </si>
  <si>
    <t>Aarav Pillai</t>
  </si>
  <si>
    <t>EMP0247</t>
  </si>
  <si>
    <t>EMP0248</t>
  </si>
  <si>
    <t>Rahul Menon</t>
  </si>
  <si>
    <t>EMP0249</t>
  </si>
  <si>
    <t>EMP0250</t>
  </si>
  <si>
    <t>Ananya Pillai</t>
  </si>
  <si>
    <t>EMP0251</t>
  </si>
  <si>
    <t>Riya Menon</t>
  </si>
  <si>
    <t>EMP0252</t>
  </si>
  <si>
    <t>Dhruv Rao</t>
  </si>
  <si>
    <t>EMP0253</t>
  </si>
  <si>
    <t>Pari Singh</t>
  </si>
  <si>
    <t>EMP0254</t>
  </si>
  <si>
    <t>Manish Reddy</t>
  </si>
  <si>
    <t>EMP0255</t>
  </si>
  <si>
    <t>Tanvi Agarwal</t>
  </si>
  <si>
    <t>EMP0256</t>
  </si>
  <si>
    <t>EMP0257</t>
  </si>
  <si>
    <t>Meera Nair</t>
  </si>
  <si>
    <t>EMP0258</t>
  </si>
  <si>
    <t>Simran Menon</t>
  </si>
  <si>
    <t>EMP0259</t>
  </si>
  <si>
    <t>Vivaan Kapoor</t>
  </si>
  <si>
    <t>EMP0260</t>
  </si>
  <si>
    <t>EMP0261</t>
  </si>
  <si>
    <t>Vivaan Nair</t>
  </si>
  <si>
    <t>EMP0262</t>
  </si>
  <si>
    <t>Simran Chopra</t>
  </si>
  <si>
    <t>EMP0263</t>
  </si>
  <si>
    <t>EMP0264</t>
  </si>
  <si>
    <t>Kabir Menon</t>
  </si>
  <si>
    <t>EMP0265</t>
  </si>
  <si>
    <t>Myra Reddy</t>
  </si>
  <si>
    <t>EMP0266</t>
  </si>
  <si>
    <t>Vivaan Malhotra</t>
  </si>
  <si>
    <t>EMP0267</t>
  </si>
  <si>
    <t>Reyansh Kapoor</t>
  </si>
  <si>
    <t>EMP0268</t>
  </si>
  <si>
    <t>Pari Gupta</t>
  </si>
  <si>
    <t>EMP0269</t>
  </si>
  <si>
    <t>Meera Kumar</t>
  </si>
  <si>
    <t>EMP0270</t>
  </si>
  <si>
    <t>Krishna Malhotra</t>
  </si>
  <si>
    <t>EMP0271</t>
  </si>
  <si>
    <t>Vikram Rao</t>
  </si>
  <si>
    <t>EMP0272</t>
  </si>
  <si>
    <t>Sneha Bansal</t>
  </si>
  <si>
    <t>EMP0273</t>
  </si>
  <si>
    <t>Aarav Bansal</t>
  </si>
  <si>
    <t>EMP0274</t>
  </si>
  <si>
    <t>Kabir Verma</t>
  </si>
  <si>
    <t>EMP0275</t>
  </si>
  <si>
    <t>Karan Gupta</t>
  </si>
  <si>
    <t>EMP0276</t>
  </si>
  <si>
    <t>Kabir Reddy</t>
  </si>
  <si>
    <t>EMP0277</t>
  </si>
  <si>
    <t>Sneha Malhotra</t>
  </si>
  <si>
    <t>EMP0278</t>
  </si>
  <si>
    <t>Ananya Joshi</t>
  </si>
  <si>
    <t>EMP0279</t>
  </si>
  <si>
    <t>EMP0280</t>
  </si>
  <si>
    <t>Nikhil Rao</t>
  </si>
  <si>
    <t>EMP0281</t>
  </si>
  <si>
    <t>Reyansh Singh</t>
  </si>
  <si>
    <t>EMP0282</t>
  </si>
  <si>
    <t>EMP0283</t>
  </si>
  <si>
    <t>EMP0284</t>
  </si>
  <si>
    <t>EMP0285</t>
  </si>
  <si>
    <t>EMP0286</t>
  </si>
  <si>
    <t>EMP0287</t>
  </si>
  <si>
    <t>Aryan Patel</t>
  </si>
  <si>
    <t>EMP0288</t>
  </si>
  <si>
    <t>EMP0289</t>
  </si>
  <si>
    <t>Vivaan Bansal</t>
  </si>
  <si>
    <t>EMP0290</t>
  </si>
  <si>
    <t>EMP0291</t>
  </si>
  <si>
    <t>Vihaan Menon</t>
  </si>
  <si>
    <t>EMP0292</t>
  </si>
  <si>
    <t>EMP0293</t>
  </si>
  <si>
    <t>EMP0294</t>
  </si>
  <si>
    <t>EMP0295</t>
  </si>
  <si>
    <t>Vivaan Pillai</t>
  </si>
  <si>
    <t>EMP0296</t>
  </si>
  <si>
    <t>EMP0297</t>
  </si>
  <si>
    <t>EMP0298</t>
  </si>
  <si>
    <t>Simran Desai</t>
  </si>
  <si>
    <t>EMP0299</t>
  </si>
  <si>
    <t>Neha Verma</t>
  </si>
  <si>
    <t>EMP0300</t>
  </si>
  <si>
    <t>Kritika Joshi</t>
  </si>
  <si>
    <t>EMP0301</t>
  </si>
  <si>
    <t>Rohan Pillai</t>
  </si>
  <si>
    <t>EMP0302</t>
  </si>
  <si>
    <t>Kavya Singh</t>
  </si>
  <si>
    <t>EMP0303</t>
  </si>
  <si>
    <t>Kritika Mehta</t>
  </si>
  <si>
    <t>EMP0304</t>
  </si>
  <si>
    <t>EMP0305</t>
  </si>
  <si>
    <t>Sneha Nair</t>
  </si>
  <si>
    <t>EMP0306</t>
  </si>
  <si>
    <t>EMP0307</t>
  </si>
  <si>
    <t>Reyansh Rao</t>
  </si>
  <si>
    <t>EMP0308</t>
  </si>
  <si>
    <t>EMP0309</t>
  </si>
  <si>
    <t>Riya Reddy</t>
  </si>
  <si>
    <t>EMP0310</t>
  </si>
  <si>
    <t>Arjun Kapoor</t>
  </si>
  <si>
    <t>EMP0311</t>
  </si>
  <si>
    <t>Manish Singh</t>
  </si>
  <si>
    <t>EMP0312</t>
  </si>
  <si>
    <t>Dhruv Pillai</t>
  </si>
  <si>
    <t>EMP0313</t>
  </si>
  <si>
    <t>Tanvi Verma</t>
  </si>
  <si>
    <t>EMP0314</t>
  </si>
  <si>
    <t>Rohan Gupta</t>
  </si>
  <si>
    <t>EMP0315</t>
  </si>
  <si>
    <t>Rohan Desai</t>
  </si>
  <si>
    <t>EMP0316</t>
  </si>
  <si>
    <t>EMP0317</t>
  </si>
  <si>
    <t>EMP0318</t>
  </si>
  <si>
    <t>Aryan Iyer</t>
  </si>
  <si>
    <t>EMP0319</t>
  </si>
  <si>
    <t>Sai Rao</t>
  </si>
  <si>
    <t>EMP0320</t>
  </si>
  <si>
    <t>Vihaan Malhotra</t>
  </si>
  <si>
    <t>EMP0321</t>
  </si>
  <si>
    <t>Aditya Malhotra</t>
  </si>
  <si>
    <t>EMP0322</t>
  </si>
  <si>
    <t>Priya Verma</t>
  </si>
  <si>
    <t>EMP0323</t>
  </si>
  <si>
    <t>EMP0324</t>
  </si>
  <si>
    <t>EMP0325</t>
  </si>
  <si>
    <t>Aadhya Mehta</t>
  </si>
  <si>
    <t>EMP0326</t>
  </si>
  <si>
    <t>Sai Malhotra</t>
  </si>
  <si>
    <t>EMP0327</t>
  </si>
  <si>
    <t>EMP0328</t>
  </si>
  <si>
    <t>Tanvi Joshi</t>
  </si>
  <si>
    <t>EMP0329</t>
  </si>
  <si>
    <t>EMP0330</t>
  </si>
  <si>
    <t>EMP0331</t>
  </si>
  <si>
    <t>Karan Reddy</t>
  </si>
  <si>
    <t>EMP0332</t>
  </si>
  <si>
    <t>Aditya Sharma</t>
  </si>
  <si>
    <t>EMP0333</t>
  </si>
  <si>
    <t>Tanvi Menon</t>
  </si>
  <si>
    <t>EMP0334</t>
  </si>
  <si>
    <t>EMP0335</t>
  </si>
  <si>
    <t>Karan Menon</t>
  </si>
  <si>
    <t>EMP0336</t>
  </si>
  <si>
    <t>Rohan Mehta</t>
  </si>
  <si>
    <t>EMP0337</t>
  </si>
  <si>
    <t>Anika Nair</t>
  </si>
  <si>
    <t>EMP0338</t>
  </si>
  <si>
    <t>EMP0339</t>
  </si>
  <si>
    <t>Ishita Pillai</t>
  </si>
  <si>
    <t>EMP0340</t>
  </si>
  <si>
    <t>Tanvi Malhotra</t>
  </si>
  <si>
    <t>EMP0341</t>
  </si>
  <si>
    <t>Dhruv Reddy</t>
  </si>
  <si>
    <t>EMP0342</t>
  </si>
  <si>
    <t>EMP0343</t>
  </si>
  <si>
    <t>EMP0344</t>
  </si>
  <si>
    <t>EMP0345</t>
  </si>
  <si>
    <t>EMP0346</t>
  </si>
  <si>
    <t>Neha Pillai</t>
  </si>
  <si>
    <t>EMP0347</t>
  </si>
  <si>
    <t>EMP0348</t>
  </si>
  <si>
    <t>Arjun Bansal</t>
  </si>
  <si>
    <t>EMP0349</t>
  </si>
  <si>
    <t>EMP0350</t>
  </si>
  <si>
    <t>Nikhil Chopra</t>
  </si>
  <si>
    <t>EMP0351</t>
  </si>
  <si>
    <t>Vihaan Joshi</t>
  </si>
  <si>
    <t>EMP0352</t>
  </si>
  <si>
    <t>Ishaan Kumar</t>
  </si>
  <si>
    <t>EMP0353</t>
  </si>
  <si>
    <t>EMP0354</t>
  </si>
  <si>
    <t>EMP0355</t>
  </si>
  <si>
    <t>Ishaan Patel</t>
  </si>
  <si>
    <t>EMP0356</t>
  </si>
  <si>
    <t>Manish Mehta</t>
  </si>
  <si>
    <t>EMP0357</t>
  </si>
  <si>
    <t>Aadhya Joshi</t>
  </si>
  <si>
    <t>EMP0358</t>
  </si>
  <si>
    <t>Amit Patel</t>
  </si>
  <si>
    <t>EMP0359</t>
  </si>
  <si>
    <t>Krishna Agarwal</t>
  </si>
  <si>
    <t>EMP0360</t>
  </si>
  <si>
    <t>Kabir Kumar</t>
  </si>
  <si>
    <t>EMP0361</t>
  </si>
  <si>
    <t>Ananya Agarwal</t>
  </si>
  <si>
    <t>EMP0362</t>
  </si>
  <si>
    <t>EMP0363</t>
  </si>
  <si>
    <t>EMP0364</t>
  </si>
  <si>
    <t>Meera Menon</t>
  </si>
  <si>
    <t>EMP0365</t>
  </si>
  <si>
    <t>Amit Gupta</t>
  </si>
  <si>
    <t>EMP0366</t>
  </si>
  <si>
    <t>EMP0367</t>
  </si>
  <si>
    <t>Dhruv Desai</t>
  </si>
  <si>
    <t>EMP0368</t>
  </si>
  <si>
    <t>Yash Desai</t>
  </si>
  <si>
    <t>EMP0369</t>
  </si>
  <si>
    <t>Aryan Menon</t>
  </si>
  <si>
    <t>EMP0370</t>
  </si>
  <si>
    <t>EMP0371</t>
  </si>
  <si>
    <t>EMP0372</t>
  </si>
  <si>
    <t>EMP0373</t>
  </si>
  <si>
    <t>Vivaan Agarwal</t>
  </si>
  <si>
    <t>EMP0374</t>
  </si>
  <si>
    <t>Ishaan Nair</t>
  </si>
  <si>
    <t>EMP0375</t>
  </si>
  <si>
    <t>Neha Agarwal</t>
  </si>
  <si>
    <t>EMP0376</t>
  </si>
  <si>
    <t>EMP0377</t>
  </si>
  <si>
    <t>EMP0378</t>
  </si>
  <si>
    <t>EMP0379</t>
  </si>
  <si>
    <t>EMP0380</t>
  </si>
  <si>
    <t>Yash Chopra</t>
  </si>
  <si>
    <t>EMP0381</t>
  </si>
  <si>
    <t>Anika Rao</t>
  </si>
  <si>
    <t>EMP0382</t>
  </si>
  <si>
    <t>Tanvi Pillai</t>
  </si>
  <si>
    <t>EMP0383</t>
  </si>
  <si>
    <t>Neha Singh</t>
  </si>
  <si>
    <t>EMP0384</t>
  </si>
  <si>
    <t>Vivaan Rao</t>
  </si>
  <si>
    <t>EMP0385</t>
  </si>
  <si>
    <t>Manish Agarwal</t>
  </si>
  <si>
    <t>EMP0386</t>
  </si>
  <si>
    <t>EMP0387</t>
  </si>
  <si>
    <t>Aditya Nair</t>
  </si>
  <si>
    <t>EMP0388</t>
  </si>
  <si>
    <t>EMP0389</t>
  </si>
  <si>
    <t>EMP0390</t>
  </si>
  <si>
    <t>Aditya Menon</t>
  </si>
  <si>
    <t>EMP0391</t>
  </si>
  <si>
    <t>EMP0392</t>
  </si>
  <si>
    <t>Pari Menon</t>
  </si>
  <si>
    <t>EMP0393</t>
  </si>
  <si>
    <t>Amit Nair</t>
  </si>
  <si>
    <t>EMP0394</t>
  </si>
  <si>
    <t>EMP0395</t>
  </si>
  <si>
    <t>EMP0396</t>
  </si>
  <si>
    <t>Kritika Malhotra</t>
  </si>
  <si>
    <t>EMP0397</t>
  </si>
  <si>
    <t>EMP0398</t>
  </si>
  <si>
    <t>Vikram Sharma</t>
  </si>
  <si>
    <t>EMP0399</t>
  </si>
  <si>
    <t>EMP0400</t>
  </si>
  <si>
    <t>Tanvi Mehta</t>
  </si>
  <si>
    <t>EMP0401</t>
  </si>
  <si>
    <t>EMP0402</t>
  </si>
  <si>
    <t>EMP0403</t>
  </si>
  <si>
    <t>Myra Chopra</t>
  </si>
  <si>
    <t>EMP0404</t>
  </si>
  <si>
    <t>Kabir Desai</t>
  </si>
  <si>
    <t>EMP0405</t>
  </si>
  <si>
    <t>Manish Nair</t>
  </si>
  <si>
    <t>EMP0406</t>
  </si>
  <si>
    <t>EMP0407</t>
  </si>
  <si>
    <t>EMP0408</t>
  </si>
  <si>
    <t>Reyansh Gupta</t>
  </si>
  <si>
    <t>EMP0409</t>
  </si>
  <si>
    <t>EMP0410</t>
  </si>
  <si>
    <t>EMP0411</t>
  </si>
  <si>
    <t>EMP0412</t>
  </si>
  <si>
    <t>EMP0413</t>
  </si>
  <si>
    <t>Aadhya Sharma</t>
  </si>
  <si>
    <t>EMP0414</t>
  </si>
  <si>
    <t>EMP0415</t>
  </si>
  <si>
    <t>EMP0416</t>
  </si>
  <si>
    <t>Meera Desai</t>
  </si>
  <si>
    <t>EMP0417</t>
  </si>
  <si>
    <t>Aarav Verma</t>
  </si>
  <si>
    <t>EMP0418</t>
  </si>
  <si>
    <t>EMP0419</t>
  </si>
  <si>
    <t>Priya Agarwal</t>
  </si>
  <si>
    <t>EMP0420</t>
  </si>
  <si>
    <t>Nikhil Singh</t>
  </si>
  <si>
    <t>EMP0421</t>
  </si>
  <si>
    <t>EMP0422</t>
  </si>
  <si>
    <t>EMP0423</t>
  </si>
  <si>
    <t>EMP0424</t>
  </si>
  <si>
    <t>Riya Agarwal</t>
  </si>
  <si>
    <t>EMP0425</t>
  </si>
  <si>
    <t>EMP0426</t>
  </si>
  <si>
    <t>EMP0427</t>
  </si>
  <si>
    <t>EMP0428</t>
  </si>
  <si>
    <t>Isha Desai</t>
  </si>
  <si>
    <t>EMP0429</t>
  </si>
  <si>
    <t>EMP0430</t>
  </si>
  <si>
    <t>EMP0431</t>
  </si>
  <si>
    <t>Aadhya Agarwal</t>
  </si>
  <si>
    <t>EMP0432</t>
  </si>
  <si>
    <t>EMP0433</t>
  </si>
  <si>
    <t>EMP0434</t>
  </si>
  <si>
    <t>Krishna Pillai</t>
  </si>
  <si>
    <t>EMP0435</t>
  </si>
  <si>
    <t>EMP0436</t>
  </si>
  <si>
    <t>EMP0437</t>
  </si>
  <si>
    <t>Rahul Kapoor</t>
  </si>
  <si>
    <t>EMP0438</t>
  </si>
  <si>
    <t>EMP0439</t>
  </si>
  <si>
    <t>EMP0440</t>
  </si>
  <si>
    <t>Manish Iyer</t>
  </si>
  <si>
    <t>EMP0441</t>
  </si>
  <si>
    <t>EMP0442</t>
  </si>
  <si>
    <t>Vikram Menon</t>
  </si>
  <si>
    <t>EMP0443</t>
  </si>
  <si>
    <t>Krishna Verma</t>
  </si>
  <si>
    <t>EMP0444</t>
  </si>
  <si>
    <t>EMP0445</t>
  </si>
  <si>
    <t>Aryan Chopra</t>
  </si>
  <si>
    <t>EMP0446</t>
  </si>
  <si>
    <t>EMP0447</t>
  </si>
  <si>
    <t>EMP0448</t>
  </si>
  <si>
    <t>EMP0449</t>
  </si>
  <si>
    <t>EMP0450</t>
  </si>
  <si>
    <t>EMP0451</t>
  </si>
  <si>
    <t>Amit Kumar</t>
  </si>
  <si>
    <t>EMP0452</t>
  </si>
  <si>
    <t>EMP0453</t>
  </si>
  <si>
    <t>EMP0454</t>
  </si>
  <si>
    <t>EMP0455</t>
  </si>
  <si>
    <t>Arjun Patel</t>
  </si>
  <si>
    <t>EMP0456</t>
  </si>
  <si>
    <t>EMP0457</t>
  </si>
  <si>
    <t>EMP0458</t>
  </si>
  <si>
    <t>EMP0459</t>
  </si>
  <si>
    <t>Tanvi Chopra</t>
  </si>
  <si>
    <t>EMP0460</t>
  </si>
  <si>
    <t>Pari Kapoor</t>
  </si>
  <si>
    <t>EMP0461</t>
  </si>
  <si>
    <t>EMP0462</t>
  </si>
  <si>
    <t>EMP0463</t>
  </si>
  <si>
    <t>Neha Chopra</t>
  </si>
  <si>
    <t>EMP0464</t>
  </si>
  <si>
    <t>EMP0465</t>
  </si>
  <si>
    <t>EMP0466</t>
  </si>
  <si>
    <t>EMP0467</t>
  </si>
  <si>
    <t>Karan Iyer</t>
  </si>
  <si>
    <t>EMP0468</t>
  </si>
  <si>
    <t>EMP0469</t>
  </si>
  <si>
    <t>Isha Kapoor</t>
  </si>
  <si>
    <t>EMP0470</t>
  </si>
  <si>
    <t>EMP0471</t>
  </si>
  <si>
    <t>Riya Kapoor</t>
  </si>
  <si>
    <t>EMP0472</t>
  </si>
  <si>
    <t>Karan Rao</t>
  </si>
  <si>
    <t>EMP0473</t>
  </si>
  <si>
    <t>EMP0474</t>
  </si>
  <si>
    <t>Isha Gupta</t>
  </si>
  <si>
    <t>EMP0475</t>
  </si>
  <si>
    <t>EMP0476</t>
  </si>
  <si>
    <t>EMP0477</t>
  </si>
  <si>
    <t>EMP0478</t>
  </si>
  <si>
    <t>Manish Pillai</t>
  </si>
  <si>
    <t>EMP0479</t>
  </si>
  <si>
    <t>Pooja Chopra</t>
  </si>
  <si>
    <t>EMP0480</t>
  </si>
  <si>
    <t>Neha Gupta</t>
  </si>
  <si>
    <t>EMP0481</t>
  </si>
  <si>
    <t>EMP0482</t>
  </si>
  <si>
    <t>Saanvi Menon</t>
  </si>
  <si>
    <t>EMP0483</t>
  </si>
  <si>
    <t>EMP0484</t>
  </si>
  <si>
    <t>Karan Kumar</t>
  </si>
  <si>
    <t>EMP0485</t>
  </si>
  <si>
    <t>EMP0486</t>
  </si>
  <si>
    <t>Vikram Malhotra</t>
  </si>
  <si>
    <t>EMP0487</t>
  </si>
  <si>
    <t>Diya Iyer</t>
  </si>
  <si>
    <t>EMP0488</t>
  </si>
  <si>
    <t>Krishna Bansal</t>
  </si>
  <si>
    <t>EMP0489</t>
  </si>
  <si>
    <t>EMP0490</t>
  </si>
  <si>
    <t>Rohan Kapoor</t>
  </si>
  <si>
    <t>EMP0491</t>
  </si>
  <si>
    <t>Anika Singh</t>
  </si>
  <si>
    <t>EMP0492</t>
  </si>
  <si>
    <t>EMP0493</t>
  </si>
  <si>
    <t>Reyansh Verma</t>
  </si>
  <si>
    <t>EMP0494</t>
  </si>
  <si>
    <t>Vivaan Iyer</t>
  </si>
  <si>
    <t>EMP0495</t>
  </si>
  <si>
    <t>Yash Sharma</t>
  </si>
  <si>
    <t>EMP0496</t>
  </si>
  <si>
    <t>Nikhil Patel</t>
  </si>
  <si>
    <t>EMP0497</t>
  </si>
  <si>
    <t>EMP0498</t>
  </si>
  <si>
    <t>Ananya Patel</t>
  </si>
  <si>
    <t>EMP0499</t>
  </si>
  <si>
    <t>Aryan Kumar</t>
  </si>
  <si>
    <t>EMP0500</t>
  </si>
  <si>
    <t>Meera Agarwal</t>
  </si>
  <si>
    <t>EMP0501</t>
  </si>
  <si>
    <t>EMP0502</t>
  </si>
  <si>
    <t>EMP0503</t>
  </si>
  <si>
    <t>EMP0504</t>
  </si>
  <si>
    <t>Rahul Desai</t>
  </si>
  <si>
    <t>EMP0505</t>
  </si>
  <si>
    <t>Kritika Reddy</t>
  </si>
  <si>
    <t>EMP0506</t>
  </si>
  <si>
    <t>Kabir Bansal</t>
  </si>
  <si>
    <t>EMP0507</t>
  </si>
  <si>
    <t>EMP0508</t>
  </si>
  <si>
    <t>Nikhil Gupta</t>
  </si>
  <si>
    <t>EMP0509</t>
  </si>
  <si>
    <t>Neha Mehta</t>
  </si>
  <si>
    <t>EMP0510</t>
  </si>
  <si>
    <t>EMP0511</t>
  </si>
  <si>
    <t>Arjun Reddy</t>
  </si>
  <si>
    <t>EMP0512</t>
  </si>
  <si>
    <t>EMP0513</t>
  </si>
  <si>
    <t>EMP0514</t>
  </si>
  <si>
    <t>Amit Agarwal</t>
  </si>
  <si>
    <t>EMP0515</t>
  </si>
  <si>
    <t>Aditya Agarwal</t>
  </si>
  <si>
    <t>EMP0516</t>
  </si>
  <si>
    <t>Nikhil Desai</t>
  </si>
  <si>
    <t>EMP0517</t>
  </si>
  <si>
    <t>EMP0518</t>
  </si>
  <si>
    <t>Aditya Bansal</t>
  </si>
  <si>
    <t>EMP0519</t>
  </si>
  <si>
    <t>EMP0520</t>
  </si>
  <si>
    <t>EMP0521</t>
  </si>
  <si>
    <t>Amit Sharma</t>
  </si>
  <si>
    <t>EMP0522</t>
  </si>
  <si>
    <t>Kabir Agarwal</t>
  </si>
  <si>
    <t>EMP0523</t>
  </si>
  <si>
    <t>EMP0524</t>
  </si>
  <si>
    <t>EMP0525</t>
  </si>
  <si>
    <t>EMP0526</t>
  </si>
  <si>
    <t>Arjun Rao</t>
  </si>
  <si>
    <t>EMP0527</t>
  </si>
  <si>
    <t>Neha Sharma</t>
  </si>
  <si>
    <t>EMP0528</t>
  </si>
  <si>
    <t>EMP0529</t>
  </si>
  <si>
    <t>Ananya Iyer</t>
  </si>
  <si>
    <t>EMP0530</t>
  </si>
  <si>
    <t>Nikhil Agarwal</t>
  </si>
  <si>
    <t>EMP0531</t>
  </si>
  <si>
    <t>Diya Bansal</t>
  </si>
  <si>
    <t>EMP0532</t>
  </si>
  <si>
    <t>Aditya Verma</t>
  </si>
  <si>
    <t>EMP0533</t>
  </si>
  <si>
    <t>EMP0534</t>
  </si>
  <si>
    <t>EMP0535</t>
  </si>
  <si>
    <t>Myra Singh</t>
  </si>
  <si>
    <t>EMP0536</t>
  </si>
  <si>
    <t>EMP0537</t>
  </si>
  <si>
    <t>Sneha Chopra</t>
  </si>
  <si>
    <t>EMP0538</t>
  </si>
  <si>
    <t>Sai Menon</t>
  </si>
  <si>
    <t>EMP0539</t>
  </si>
  <si>
    <t>EMP0540</t>
  </si>
  <si>
    <t>Ishita Desai</t>
  </si>
  <si>
    <t>EMP0541</t>
  </si>
  <si>
    <t>Yash Rao</t>
  </si>
  <si>
    <t>EMP0542</t>
  </si>
  <si>
    <t>Rahul Kumar</t>
  </si>
  <si>
    <t>EMP0543</t>
  </si>
  <si>
    <t>Kritika Nair</t>
  </si>
  <si>
    <t>EMP0544</t>
  </si>
  <si>
    <t>EMP0545</t>
  </si>
  <si>
    <t>EMP0546</t>
  </si>
  <si>
    <t>Divya Agarwal</t>
  </si>
  <si>
    <t>EMP0547</t>
  </si>
  <si>
    <t>EMP0548</t>
  </si>
  <si>
    <t>EMP0549</t>
  </si>
  <si>
    <t>Tanvi Bansal</t>
  </si>
  <si>
    <t>EMP0550</t>
  </si>
  <si>
    <t>EMP0551</t>
  </si>
  <si>
    <t>EMP0552</t>
  </si>
  <si>
    <t>EMP0553</t>
  </si>
  <si>
    <t>Aadhya Menon</t>
  </si>
  <si>
    <t>EMP0554</t>
  </si>
  <si>
    <t>Kavya Menon</t>
  </si>
  <si>
    <t>EMP0555</t>
  </si>
  <si>
    <t>EMP0556</t>
  </si>
  <si>
    <t>Simran Agarwal</t>
  </si>
  <si>
    <t>EMP0557</t>
  </si>
  <si>
    <t>EMP0558</t>
  </si>
  <si>
    <t>EMP0559</t>
  </si>
  <si>
    <t>EMP0560</t>
  </si>
  <si>
    <t>Reyansh Desai</t>
  </si>
  <si>
    <t>EMP0561</t>
  </si>
  <si>
    <t>EMP0562</t>
  </si>
  <si>
    <t>EMP0563</t>
  </si>
  <si>
    <t>Pari Verma</t>
  </si>
  <si>
    <t>EMP0564</t>
  </si>
  <si>
    <t>EMP0565</t>
  </si>
  <si>
    <t>Pooja Kumar</t>
  </si>
  <si>
    <t>EMP0566</t>
  </si>
  <si>
    <t>Diya Joshi</t>
  </si>
  <si>
    <t>EMP0567</t>
  </si>
  <si>
    <t>EMP0568</t>
  </si>
  <si>
    <t>Priya Gupta</t>
  </si>
  <si>
    <t>EMP0569</t>
  </si>
  <si>
    <t>Aarav Chopra</t>
  </si>
  <si>
    <t>EMP0570</t>
  </si>
  <si>
    <t>Neha Menon</t>
  </si>
  <si>
    <t>EMP0571</t>
  </si>
  <si>
    <t>Aditya Reddy</t>
  </si>
  <si>
    <t>EMP0572</t>
  </si>
  <si>
    <t>EMP0573</t>
  </si>
  <si>
    <t>Vikram Singh</t>
  </si>
  <si>
    <t>EMP0574</t>
  </si>
  <si>
    <t>EMP0575</t>
  </si>
  <si>
    <t>Vihaan Patel</t>
  </si>
  <si>
    <t>EMP0576</t>
  </si>
  <si>
    <t>Anika Kapoor</t>
  </si>
  <si>
    <t>EMP0577</t>
  </si>
  <si>
    <t>Yash Singh</t>
  </si>
  <si>
    <t>EMP0578</t>
  </si>
  <si>
    <t>Kabir Singh</t>
  </si>
  <si>
    <t>EMP0579</t>
  </si>
  <si>
    <t>EMP0580</t>
  </si>
  <si>
    <t>Saanvi Kapoor</t>
  </si>
  <si>
    <t>EMP0581</t>
  </si>
  <si>
    <t>EMP0582</t>
  </si>
  <si>
    <t>Vivaan Sharma</t>
  </si>
  <si>
    <t>EMP0583</t>
  </si>
  <si>
    <t>EMP0584</t>
  </si>
  <si>
    <t>Dhruv Menon</t>
  </si>
  <si>
    <t>EMP0585</t>
  </si>
  <si>
    <t>EMP0586</t>
  </si>
  <si>
    <t>EMP0587</t>
  </si>
  <si>
    <t>EMP0588</t>
  </si>
  <si>
    <t>Anika Iyer</t>
  </si>
  <si>
    <t>EMP0589</t>
  </si>
  <si>
    <t>Amit Bansal</t>
  </si>
  <si>
    <t>EMP0590</t>
  </si>
  <si>
    <t>EMP0591</t>
  </si>
  <si>
    <t>Rohan Menon</t>
  </si>
  <si>
    <t>EMP0592</t>
  </si>
  <si>
    <t>EMP0593</t>
  </si>
  <si>
    <t>EMP0594</t>
  </si>
  <si>
    <t>Aryan Gupta</t>
  </si>
  <si>
    <t>EMP0595</t>
  </si>
  <si>
    <t>Anika Reddy</t>
  </si>
  <si>
    <t>EMP0596</t>
  </si>
  <si>
    <t>Ananya Menon</t>
  </si>
  <si>
    <t>EMP0597</t>
  </si>
  <si>
    <t>Myra Patel</t>
  </si>
  <si>
    <t>EMP0598</t>
  </si>
  <si>
    <t>EMP0599</t>
  </si>
  <si>
    <t>Amit Rao</t>
  </si>
  <si>
    <t>EMP0600</t>
  </si>
  <si>
    <t>EMP0601</t>
  </si>
  <si>
    <t>EMP0602</t>
  </si>
  <si>
    <t>EMP0603</t>
  </si>
  <si>
    <t>Sai Agarwal</t>
  </si>
  <si>
    <t>EMP0604</t>
  </si>
  <si>
    <t>EMP0605</t>
  </si>
  <si>
    <t>EMP0606</t>
  </si>
  <si>
    <t>EMP0607</t>
  </si>
  <si>
    <t>Vikram Kapoor</t>
  </si>
  <si>
    <t>EMP0608</t>
  </si>
  <si>
    <t>Aarav Iyer</t>
  </si>
  <si>
    <t>EMP0609</t>
  </si>
  <si>
    <t>Saanvi Sharma</t>
  </si>
  <si>
    <t>EMP0610</t>
  </si>
  <si>
    <t>Sai Verma</t>
  </si>
  <si>
    <t>EMP0611</t>
  </si>
  <si>
    <t>EMP0612</t>
  </si>
  <si>
    <t>EMP0613</t>
  </si>
  <si>
    <t>EMP0614</t>
  </si>
  <si>
    <t>Riya Nair</t>
  </si>
  <si>
    <t>EMP0615</t>
  </si>
  <si>
    <t>Yash Malhotra</t>
  </si>
  <si>
    <t>EMP0616</t>
  </si>
  <si>
    <t>EMP0617</t>
  </si>
  <si>
    <t>EMP0618</t>
  </si>
  <si>
    <t>EMP0619</t>
  </si>
  <si>
    <t>Pari Chopra</t>
  </si>
  <si>
    <t>EMP0620</t>
  </si>
  <si>
    <t>EMP0621</t>
  </si>
  <si>
    <t>EMP0622</t>
  </si>
  <si>
    <t>EMP0623</t>
  </si>
  <si>
    <t>Sneha Menon</t>
  </si>
  <si>
    <t>EMP0624</t>
  </si>
  <si>
    <t>EMP0625</t>
  </si>
  <si>
    <t>Vikram Agarwal</t>
  </si>
  <si>
    <t>EMP0626</t>
  </si>
  <si>
    <t>Kritika Iyer</t>
  </si>
  <si>
    <t>EMP0627</t>
  </si>
  <si>
    <t>EMP0628</t>
  </si>
  <si>
    <t>Riya Chopra</t>
  </si>
  <si>
    <t>EMP0629</t>
  </si>
  <si>
    <t>Manish Rao</t>
  </si>
  <si>
    <t>EMP0630</t>
  </si>
  <si>
    <t>EMP0631</t>
  </si>
  <si>
    <t>EMP0632</t>
  </si>
  <si>
    <t>EMP0633</t>
  </si>
  <si>
    <t>EMP0634</t>
  </si>
  <si>
    <t>Riya Kumar</t>
  </si>
  <si>
    <t>EMP0635</t>
  </si>
  <si>
    <t>Myra Pillai</t>
  </si>
  <si>
    <t>EMP0636</t>
  </si>
  <si>
    <t>EMP0637</t>
  </si>
  <si>
    <t>EMP0638</t>
  </si>
  <si>
    <t>EMP0639</t>
  </si>
  <si>
    <t>Reyansh Iyer</t>
  </si>
  <si>
    <t>EMP0640</t>
  </si>
  <si>
    <t>Yash Nair</t>
  </si>
  <si>
    <t>EMP0641</t>
  </si>
  <si>
    <t>EMP0642</t>
  </si>
  <si>
    <t>Pooja Bansal</t>
  </si>
  <si>
    <t>EMP0643</t>
  </si>
  <si>
    <t>EMP0644</t>
  </si>
  <si>
    <t>EMP0645</t>
  </si>
  <si>
    <t>EMP0646</t>
  </si>
  <si>
    <t>EMP0647</t>
  </si>
  <si>
    <t>Riya Sharma</t>
  </si>
  <si>
    <t>EMP0648</t>
  </si>
  <si>
    <t>EMP0649</t>
  </si>
  <si>
    <t>EMP0650</t>
  </si>
  <si>
    <t>Dhruv Kumar</t>
  </si>
  <si>
    <t>EMP0651</t>
  </si>
  <si>
    <t>Ishita Bansal</t>
  </si>
  <si>
    <t>EMP0652</t>
  </si>
  <si>
    <t>EMP0653</t>
  </si>
  <si>
    <t>EMP0654</t>
  </si>
  <si>
    <t>Priya Nair</t>
  </si>
  <si>
    <t>EMP0655</t>
  </si>
  <si>
    <t>Aarav Sharma</t>
  </si>
  <si>
    <t>EMP0656</t>
  </si>
  <si>
    <t>Ishaan Bansal</t>
  </si>
  <si>
    <t>EMP0657</t>
  </si>
  <si>
    <t>EMP0658</t>
  </si>
  <si>
    <t>EMP0659</t>
  </si>
  <si>
    <t>EMP0660</t>
  </si>
  <si>
    <t>EMP0661</t>
  </si>
  <si>
    <t>Arjun Kumar</t>
  </si>
  <si>
    <t>EMP0662</t>
  </si>
  <si>
    <t>EMP0663</t>
  </si>
  <si>
    <t>EMP0664</t>
  </si>
  <si>
    <t>EMP0665</t>
  </si>
  <si>
    <t>EMP0666</t>
  </si>
  <si>
    <t>EMP0667</t>
  </si>
  <si>
    <t>EMP0668</t>
  </si>
  <si>
    <t>Manish Kapoor</t>
  </si>
  <si>
    <t>EMP0669</t>
  </si>
  <si>
    <t>Priya Reddy</t>
  </si>
  <si>
    <t>EMP0670</t>
  </si>
  <si>
    <t>EMP0671</t>
  </si>
  <si>
    <t>EMP0672</t>
  </si>
  <si>
    <t>Krishna Patel</t>
  </si>
  <si>
    <t>EMP0673</t>
  </si>
  <si>
    <t>Kavya Chopra</t>
  </si>
  <si>
    <t>EMP0674</t>
  </si>
  <si>
    <t>EMP0675</t>
  </si>
  <si>
    <t>Kabir Patel</t>
  </si>
  <si>
    <t>EMP0676</t>
  </si>
  <si>
    <t>EMP0677</t>
  </si>
  <si>
    <t>Ishaan Menon</t>
  </si>
  <si>
    <t>EMP0678</t>
  </si>
  <si>
    <t>EMP0679</t>
  </si>
  <si>
    <t>Rohan Iyer</t>
  </si>
  <si>
    <t>EMP0680</t>
  </si>
  <si>
    <t>EMP0681</t>
  </si>
  <si>
    <t>Kavya Kumar</t>
  </si>
  <si>
    <t>EMP0682</t>
  </si>
  <si>
    <t>Krishna Kapoor</t>
  </si>
  <si>
    <t>EMP0683</t>
  </si>
  <si>
    <t>EMP0684</t>
  </si>
  <si>
    <t>EMP0685</t>
  </si>
  <si>
    <t>Rahul Mehta</t>
  </si>
  <si>
    <t>EMP0686</t>
  </si>
  <si>
    <t>EMP0687</t>
  </si>
  <si>
    <t>Manish Verma</t>
  </si>
  <si>
    <t>EMP0688</t>
  </si>
  <si>
    <t>Reyansh Patel</t>
  </si>
  <si>
    <t>EMP0689</t>
  </si>
  <si>
    <t>EMP0690</t>
  </si>
  <si>
    <t>Aryan Agarwal</t>
  </si>
  <si>
    <t>EMP0691</t>
  </si>
  <si>
    <t>EMP0692</t>
  </si>
  <si>
    <t>EMP0693</t>
  </si>
  <si>
    <t>Nikhil Verma</t>
  </si>
  <si>
    <t>EMP0694</t>
  </si>
  <si>
    <t>Nikhil Pillai</t>
  </si>
  <si>
    <t>EMP0695</t>
  </si>
  <si>
    <t>Rahul Sharma</t>
  </si>
  <si>
    <t>EMP0696</t>
  </si>
  <si>
    <t>EMP0697</t>
  </si>
  <si>
    <t>Kabir Joshi</t>
  </si>
  <si>
    <t>EMP0698</t>
  </si>
  <si>
    <t>EMP0699</t>
  </si>
  <si>
    <t>EMP0700</t>
  </si>
  <si>
    <t>Aryan Pillai</t>
  </si>
  <si>
    <t>EMP0701</t>
  </si>
  <si>
    <t>Tanvi Gupta</t>
  </si>
  <si>
    <t>EMP0702</t>
  </si>
  <si>
    <t>EMP0703</t>
  </si>
  <si>
    <t>EMP0704</t>
  </si>
  <si>
    <t>Vihaan Pillai</t>
  </si>
  <si>
    <t>EMP0705</t>
  </si>
  <si>
    <t>EMP0706</t>
  </si>
  <si>
    <t>EMP0707</t>
  </si>
  <si>
    <t>Arjun Malhotra</t>
  </si>
  <si>
    <t>EMP0708</t>
  </si>
  <si>
    <t>EMP0709</t>
  </si>
  <si>
    <t>EMP0710</t>
  </si>
  <si>
    <t>Sneha Kumar</t>
  </si>
  <si>
    <t>EMP0711</t>
  </si>
  <si>
    <t>EMP0712</t>
  </si>
  <si>
    <t>EMP0713</t>
  </si>
  <si>
    <t>Nikhil Menon</t>
  </si>
  <si>
    <t>EMP0714</t>
  </si>
  <si>
    <t>Ishaan Pillai</t>
  </si>
  <si>
    <t>EMP0715</t>
  </si>
  <si>
    <t>Ananya Gupta</t>
  </si>
  <si>
    <t>EMP0716</t>
  </si>
  <si>
    <t>Divya Verma</t>
  </si>
  <si>
    <t>EMP0717</t>
  </si>
  <si>
    <t>EMP0718</t>
  </si>
  <si>
    <t>EMP0719</t>
  </si>
  <si>
    <t>Aadhya Patel</t>
  </si>
  <si>
    <t>EMP0720</t>
  </si>
  <si>
    <t>Vihaan Kumar</t>
  </si>
  <si>
    <t>EMP0721</t>
  </si>
  <si>
    <t>EMP0722</t>
  </si>
  <si>
    <t>EMP0723</t>
  </si>
  <si>
    <t>Rahul Rao</t>
  </si>
  <si>
    <t>EMP0724</t>
  </si>
  <si>
    <t>Ananya Verma</t>
  </si>
  <si>
    <t>EMP0725</t>
  </si>
  <si>
    <t>EMP0726</t>
  </si>
  <si>
    <t>Rohan Chopra</t>
  </si>
  <si>
    <t>EMP0727</t>
  </si>
  <si>
    <t>EMP0728</t>
  </si>
  <si>
    <t>EMP0729</t>
  </si>
  <si>
    <t>Anika Pillai</t>
  </si>
  <si>
    <t>EMP0730</t>
  </si>
  <si>
    <t>EMP0731</t>
  </si>
  <si>
    <t>EMP0732</t>
  </si>
  <si>
    <t>Tanvi Patel</t>
  </si>
  <si>
    <t>EMP0733</t>
  </si>
  <si>
    <t>Ishaan Singh</t>
  </si>
  <si>
    <t>EMP0734</t>
  </si>
  <si>
    <t>Ishaan Chopra</t>
  </si>
  <si>
    <t>EMP0735</t>
  </si>
  <si>
    <t>EMP0736</t>
  </si>
  <si>
    <t>EMP0737</t>
  </si>
  <si>
    <t>EMP0738</t>
  </si>
  <si>
    <t>EMP0739</t>
  </si>
  <si>
    <t>EMP0740</t>
  </si>
  <si>
    <t>Pooja Joshi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</si>
  <si>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</si>
  <si>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</si>
  <si>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</si>
  <si>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</si>
  <si>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</si>
  <si>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</si>
  <si>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</si>
  <si>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</si>
  <si>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</si>
  <si>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Anika Agarwal</t>
  </si>
  <si>
    <t>EMP0750</t>
  </si>
  <si>
    <t>EMP0751</t>
  </si>
  <si>
    <t>EMP0752</t>
  </si>
  <si>
    <t>Kavya Mehta</t>
  </si>
  <si>
    <t>EMP0753</t>
  </si>
  <si>
    <t>Meera Mehta</t>
  </si>
  <si>
    <t>EMP0754</t>
  </si>
  <si>
    <t>EMP0755</t>
  </si>
  <si>
    <t>Rohan Verma</t>
  </si>
  <si>
    <t>EMP0756</t>
  </si>
  <si>
    <t>EMP0757</t>
  </si>
  <si>
    <t>Sneha Pillai</t>
  </si>
  <si>
    <t>EMP0758</t>
  </si>
  <si>
    <t>Dhruv Mehta</t>
  </si>
  <si>
    <t>EMP0759</t>
  </si>
  <si>
    <t>EMP0760</t>
  </si>
  <si>
    <t>EMP0761</t>
  </si>
  <si>
    <t>EMP0762</t>
  </si>
  <si>
    <t>Ishita Kumar</t>
  </si>
  <si>
    <t>EMP0763</t>
  </si>
  <si>
    <t>EMP0764</t>
  </si>
  <si>
    <t>EMP0765</t>
  </si>
  <si>
    <t>EMP0766</t>
  </si>
  <si>
    <t>Meera Patel</t>
  </si>
  <si>
    <t>EMP0767</t>
  </si>
  <si>
    <t>EMP0768</t>
  </si>
  <si>
    <t>Rahul Iyer</t>
  </si>
  <si>
    <t>EMP0769</t>
  </si>
  <si>
    <t>Manish Bansal</t>
  </si>
  <si>
    <t>EMP0770</t>
  </si>
  <si>
    <t>Yash Pillai</t>
  </si>
  <si>
    <t>EMP0771</t>
  </si>
  <si>
    <t>EMP0772</t>
  </si>
  <si>
    <t>EMP0773</t>
  </si>
  <si>
    <t>Karan Nair</t>
  </si>
  <si>
    <t>EMP0774</t>
  </si>
  <si>
    <t>Ishaan Reddy</t>
  </si>
  <si>
    <t>EMP0775</t>
  </si>
  <si>
    <t>EMP0776</t>
  </si>
  <si>
    <t>EMP0777</t>
  </si>
  <si>
    <t>Aarav Reddy</t>
  </si>
  <si>
    <t>EMP0778</t>
  </si>
  <si>
    <t>Arjun Desai</t>
  </si>
  <si>
    <t>EMP0779</t>
  </si>
  <si>
    <t>EMP0780</t>
  </si>
  <si>
    <t>EMP0781</t>
  </si>
  <si>
    <t>Isha Bansal</t>
  </si>
  <si>
    <t>EMP0782</t>
  </si>
  <si>
    <t>Reyansh Menon</t>
  </si>
  <si>
    <t>EMP0783</t>
  </si>
  <si>
    <t>EMP0784</t>
  </si>
  <si>
    <t>EMP0785</t>
  </si>
  <si>
    <t>EMP0786</t>
  </si>
  <si>
    <t>Aditya Joshi</t>
  </si>
  <si>
    <t>EMP0787</t>
  </si>
  <si>
    <t>Neha Iyer</t>
  </si>
  <si>
    <t>EMP0788</t>
  </si>
  <si>
    <t>EMP0789</t>
  </si>
  <si>
    <t>EMP0790</t>
  </si>
  <si>
    <t>EMP0791</t>
  </si>
  <si>
    <t>Vihaan Agarwal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</si>
  <si>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</si>
  <si>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</si>
  <si>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</si>
  <si>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</si>
  <si>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</si>
  <si>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</si>
  <si>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</si>
  <si>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</si>
  <si>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</si>
  <si>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</si>
  <si>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Anika Chopra</t>
  </si>
  <si>
    <t>EMP0802</t>
  </si>
  <si>
    <t>Rahul Nair</t>
  </si>
  <si>
    <t>EMP0803</t>
  </si>
  <si>
    <t>EMP0804</t>
  </si>
  <si>
    <t>Tanvi Sharma</t>
  </si>
  <si>
    <t>EMP0805</t>
  </si>
  <si>
    <t>EMP0806</t>
  </si>
  <si>
    <t>EMP0807</t>
  </si>
  <si>
    <t>Aryan Singh</t>
  </si>
  <si>
    <t>EMP0808</t>
  </si>
  <si>
    <t>EMP0809</t>
  </si>
  <si>
    <t>Nikhil Malhotra</t>
  </si>
  <si>
    <t>EMP0810</t>
  </si>
  <si>
    <t>EMP0811</t>
  </si>
  <si>
    <t>Arjun Singh</t>
  </si>
  <si>
    <t>EMP0812</t>
  </si>
  <si>
    <t>EMP0813</t>
  </si>
  <si>
    <t>Rahul Reddy</t>
  </si>
  <si>
    <t>EMP0814</t>
  </si>
  <si>
    <t>Ananya Bansal</t>
  </si>
  <si>
    <t>EMP0815</t>
  </si>
  <si>
    <t>EMP0816</t>
  </si>
  <si>
    <t>EMP0817</t>
  </si>
  <si>
    <t>EMP0818</t>
  </si>
  <si>
    <t>Pooja Agarwal</t>
  </si>
  <si>
    <t>EMP0819</t>
  </si>
  <si>
    <t>Meera Rao</t>
  </si>
  <si>
    <t>EMP0820</t>
  </si>
  <si>
    <t>EMP0821</t>
  </si>
  <si>
    <t>Vihaan Sharma</t>
  </si>
  <si>
    <t>EMP0822</t>
  </si>
  <si>
    <t>EMP0823</t>
  </si>
  <si>
    <t>EMP0824</t>
  </si>
  <si>
    <t>Kritika Pillai</t>
  </si>
  <si>
    <t>EMP0825</t>
  </si>
  <si>
    <t>EMP0826</t>
  </si>
  <si>
    <t>EMP0827</t>
  </si>
  <si>
    <t>EMP0828</t>
  </si>
  <si>
    <t>Rohan Patel</t>
  </si>
  <si>
    <t>EMP0829</t>
  </si>
  <si>
    <t>EMP0830</t>
  </si>
  <si>
    <t>EMP0831</t>
  </si>
  <si>
    <t>EMP0832</t>
  </si>
  <si>
    <t>Neha Reddy</t>
  </si>
  <si>
    <t>EMP0833</t>
  </si>
  <si>
    <t>EMP0834</t>
  </si>
  <si>
    <t>Sneha Verma</t>
  </si>
  <si>
    <t>EMP0835</t>
  </si>
  <si>
    <t>Vikram Reddy</t>
  </si>
  <si>
    <t>EMP0836</t>
  </si>
  <si>
    <t>EMP0837</t>
  </si>
  <si>
    <t>EMP0838</t>
  </si>
  <si>
    <t>EMP0839</t>
  </si>
  <si>
    <t>Neha Kumar</t>
  </si>
  <si>
    <t>EMP0840</t>
  </si>
  <si>
    <t>Myra Kapoor</t>
  </si>
  <si>
    <t>EMP0841</t>
  </si>
  <si>
    <t>Ananya Kapoor</t>
  </si>
  <si>
    <t>EMP0842</t>
  </si>
  <si>
    <t>Ananya Nair</t>
  </si>
  <si>
    <t>EMP0843</t>
  </si>
  <si>
    <t>EMP0844</t>
  </si>
  <si>
    <t>EMP0845</t>
  </si>
  <si>
    <t>Reyansh Nair</t>
  </si>
  <si>
    <t>EMP0846</t>
  </si>
  <si>
    <t>Vihaan Rao</t>
  </si>
  <si>
    <t>EMP0847</t>
  </si>
  <si>
    <t>EMP0848</t>
  </si>
  <si>
    <t>EMP0849</t>
  </si>
  <si>
    <t>Pooja Gupta</t>
  </si>
  <si>
    <t>EMP0850</t>
  </si>
  <si>
    <t>EMP0851</t>
  </si>
  <si>
    <t>Anika Kumar</t>
  </si>
  <si>
    <t>EMP0852</t>
  </si>
  <si>
    <t>EMP0853</t>
  </si>
  <si>
    <t>Meera Reddy</t>
  </si>
  <si>
    <t>EMP0854</t>
  </si>
  <si>
    <t>EMP0855</t>
  </si>
  <si>
    <t>EMP0856</t>
  </si>
  <si>
    <t>Vihaan Desai</t>
  </si>
  <si>
    <t>EMP0857</t>
  </si>
  <si>
    <t>EMP0858</t>
  </si>
  <si>
    <t>EMP0859</t>
  </si>
  <si>
    <t>EMP0860</t>
  </si>
  <si>
    <t>EMP0861</t>
  </si>
  <si>
    <t>Myra Desai</t>
  </si>
  <si>
    <t>EMP0862</t>
  </si>
  <si>
    <t>Arjun Pillai</t>
  </si>
  <si>
    <t>EMP0863</t>
  </si>
  <si>
    <t>EMP0864</t>
  </si>
  <si>
    <t>Meera Verma</t>
  </si>
  <si>
    <t>EMP0865</t>
  </si>
  <si>
    <t>Sai Nair</t>
  </si>
  <si>
    <t>EMP0866</t>
  </si>
  <si>
    <t>EMP0867</t>
  </si>
  <si>
    <t>EMP0868</t>
  </si>
  <si>
    <t>EMP0869</t>
  </si>
  <si>
    <t>Aditya Pillai</t>
  </si>
  <si>
    <t>EMP0870</t>
  </si>
  <si>
    <t>Aarav Kumar</t>
  </si>
  <si>
    <t>EMP0871</t>
  </si>
  <si>
    <t>Manish Gupta</t>
  </si>
  <si>
    <t>EMP0872</t>
  </si>
  <si>
    <t>Rahul Patel</t>
  </si>
  <si>
    <t>EMP0873</t>
  </si>
  <si>
    <t>EMP0874</t>
  </si>
  <si>
    <t>EMP0875</t>
  </si>
  <si>
    <t>Pari Reddy</t>
  </si>
  <si>
    <t>EMP0876</t>
  </si>
  <si>
    <t>Karan Bansal</t>
  </si>
  <si>
    <t>EMP0877</t>
  </si>
  <si>
    <t>Krishna Desai</t>
  </si>
  <si>
    <t>EMP0878</t>
  </si>
  <si>
    <t>EMP0879</t>
  </si>
  <si>
    <t>Manish Kumar</t>
  </si>
  <si>
    <t>EMP0880</t>
  </si>
  <si>
    <t>EMP0881</t>
  </si>
  <si>
    <t>Rohan Reddy</t>
  </si>
  <si>
    <t>EMP0882</t>
  </si>
  <si>
    <t>EMP0883</t>
  </si>
  <si>
    <t>Sneha Sharma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</si>
  <si>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</si>
  <si>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</si>
  <si>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</si>
  <si>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</si>
  <si>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</si>
  <si>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</si>
  <si>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</si>
  <si>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</si>
  <si>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</si>
  <si>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</si>
  <si>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Ishita Verma</t>
  </si>
  <si>
    <t>EMP0894</t>
  </si>
  <si>
    <t>EMP0895</t>
  </si>
  <si>
    <t>Pari Patel</t>
  </si>
  <si>
    <t>EMP0896</t>
  </si>
  <si>
    <t>Riya Bansal</t>
  </si>
  <si>
    <t>EMP0897</t>
  </si>
  <si>
    <t>Arjun Nair</t>
  </si>
  <si>
    <t>EMP0898</t>
  </si>
  <si>
    <t>Ananya Mehta</t>
  </si>
  <si>
    <t>EMP0899</t>
  </si>
  <si>
    <t>EMP0900</t>
  </si>
  <si>
    <t>Ishita Patel</t>
  </si>
  <si>
    <t>EMP0901</t>
  </si>
  <si>
    <t>Priya Sharma</t>
  </si>
  <si>
    <t>EMP0902</t>
  </si>
  <si>
    <t>Sai Iyer</t>
  </si>
  <si>
    <t>EMP0903</t>
  </si>
  <si>
    <t>EMP0904</t>
  </si>
  <si>
    <t>EMP0905</t>
  </si>
  <si>
    <t>EMP0906</t>
  </si>
  <si>
    <t>EMP0907</t>
  </si>
  <si>
    <t>Yash Patel</t>
  </si>
  <si>
    <t>EMP0908</t>
  </si>
  <si>
    <t>EMP0909</t>
  </si>
  <si>
    <t>EMP0910</t>
  </si>
  <si>
    <t>EMP0911</t>
  </si>
  <si>
    <t>Pari Joshi</t>
  </si>
  <si>
    <t>EMP0912</t>
  </si>
  <si>
    <t>EMP0913</t>
  </si>
  <si>
    <t>Vivaan Gupta</t>
  </si>
  <si>
    <t>EMP0914</t>
  </si>
  <si>
    <t>EMP0915</t>
  </si>
  <si>
    <t>EMP0916</t>
  </si>
  <si>
    <t>EMP0917</t>
  </si>
  <si>
    <t>Amit Kapoor</t>
  </si>
  <si>
    <t>EMP0918</t>
  </si>
  <si>
    <t>EMP0919</t>
  </si>
  <si>
    <t>EMP0920</t>
  </si>
  <si>
    <t>EMP0921</t>
  </si>
  <si>
    <t>EMP0922</t>
  </si>
  <si>
    <t>Sai Pillai</t>
  </si>
  <si>
    <t>EMP0923</t>
  </si>
  <si>
    <t>EMP0924</t>
  </si>
  <si>
    <t>EMP0925</t>
  </si>
  <si>
    <t>EMP0926</t>
  </si>
  <si>
    <t>Amit Joshi</t>
  </si>
  <si>
    <t>EMP0927</t>
  </si>
  <si>
    <t>Meera Sharma</t>
  </si>
  <si>
    <t>EMP0928</t>
  </si>
  <si>
    <t>Vivaan Singh</t>
  </si>
  <si>
    <t>EMP0929</t>
  </si>
  <si>
    <t>EMP0930</t>
  </si>
  <si>
    <t>EMP0931</t>
  </si>
  <si>
    <t>EMP0932</t>
  </si>
  <si>
    <t>EMP0933</t>
  </si>
  <si>
    <t>Priya Malhotra</t>
  </si>
  <si>
    <t>EMP0934</t>
  </si>
  <si>
    <t>EMP0935</t>
  </si>
  <si>
    <t>EMP0936</t>
  </si>
  <si>
    <t>EMP0937</t>
  </si>
  <si>
    <t>Vikram Nair</t>
  </si>
  <si>
    <t>EMP0938</t>
  </si>
  <si>
    <t>EMP0939</t>
  </si>
  <si>
    <t>EMP0940</t>
  </si>
  <si>
    <t>EMP0941</t>
  </si>
  <si>
    <t>EMP0942</t>
  </si>
  <si>
    <t>Aarav Agarwal</t>
  </si>
  <si>
    <t>EMP0943</t>
  </si>
  <si>
    <t>Isha Rao</t>
  </si>
  <si>
    <t>EMP0944</t>
  </si>
  <si>
    <t>EMP0945</t>
  </si>
  <si>
    <t>EMP0946</t>
  </si>
  <si>
    <t>EMP0947</t>
  </si>
  <si>
    <t>Riya Verma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</si>
  <si>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</si>
  <si>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</si>
  <si>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</si>
  <si>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</si>
  <si>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</si>
  <si>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</si>
  <si>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</si>
  <si>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</si>
  <si>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Arjun Iyer</t>
  </si>
  <si>
    <t>EMP0956</t>
  </si>
  <si>
    <t>EMP0957</t>
  </si>
  <si>
    <t>Anika Joshi</t>
  </si>
  <si>
    <t>EMP0958</t>
  </si>
  <si>
    <t>EMP0959</t>
  </si>
  <si>
    <t>EMP0960</t>
  </si>
  <si>
    <t>Aryan Desai</t>
  </si>
  <si>
    <t>EMP0961</t>
  </si>
  <si>
    <t>EMP0962</t>
  </si>
  <si>
    <t>EMP0963</t>
  </si>
  <si>
    <t>Krishna Singh</t>
  </si>
  <si>
    <t>EMP0964</t>
  </si>
  <si>
    <t>Rohan Malhotra</t>
  </si>
  <si>
    <t>EMP0965</t>
  </si>
  <si>
    <t>EMP0966</t>
  </si>
  <si>
    <t>Saanvi Agarwal</t>
  </si>
  <si>
    <t>EMP0967</t>
  </si>
  <si>
    <t>Kritika Bansal</t>
  </si>
  <si>
    <t>EMP0968</t>
  </si>
  <si>
    <t>EMP0969</t>
  </si>
  <si>
    <t>EMP0970</t>
  </si>
  <si>
    <t>EMP0971</t>
  </si>
  <si>
    <t>EMP0972</t>
  </si>
  <si>
    <t>Pooja Nair</t>
  </si>
  <si>
    <t>EMP0973</t>
  </si>
  <si>
    <t>EMP0974</t>
  </si>
  <si>
    <t>EMP0975</t>
  </si>
  <si>
    <t>EMP0976</t>
  </si>
  <si>
    <t>EMP0977</t>
  </si>
  <si>
    <t>EMP0978</t>
  </si>
  <si>
    <t>Sai Sharma</t>
  </si>
  <si>
    <t>EMP0979</t>
  </si>
  <si>
    <t>Pari Malhotra</t>
  </si>
  <si>
    <t>EMP0980</t>
  </si>
  <si>
    <t>EMP0981</t>
  </si>
  <si>
    <t>Dhruv Sharma</t>
  </si>
  <si>
    <t>EMP0982</t>
  </si>
  <si>
    <t>EMP0983</t>
  </si>
  <si>
    <t>EMP0984</t>
  </si>
  <si>
    <t>EMP0985</t>
  </si>
  <si>
    <t>Rahul Bansal</t>
  </si>
  <si>
    <t>EMP0986</t>
  </si>
  <si>
    <t>EMP0987</t>
  </si>
  <si>
    <t>Priya Rao</t>
  </si>
  <si>
    <t>EMP0988</t>
  </si>
  <si>
    <t>EMP0989</t>
  </si>
  <si>
    <t>EMP0990</t>
  </si>
  <si>
    <t>EMP0991</t>
  </si>
  <si>
    <t>EMP0992</t>
  </si>
  <si>
    <t>Saanvi Desai</t>
  </si>
  <si>
    <t>EMP0993</t>
  </si>
  <si>
    <t>EMP0994</t>
  </si>
  <si>
    <t>EMP0995</t>
  </si>
  <si>
    <t>Anika Verma</t>
  </si>
  <si>
    <t>EMP0996</t>
  </si>
  <si>
    <t>EMP0997</t>
  </si>
  <si>
    <t>EMP0998</t>
  </si>
  <si>
    <t>EMP0999</t>
  </si>
  <si>
    <t>EMP1000</t>
  </si>
  <si>
    <t>Age_Group</t>
  </si>
  <si>
    <t>Experience_Band</t>
  </si>
  <si>
    <t>Join_Month</t>
  </si>
  <si>
    <t>Join_Year</t>
  </si>
  <si>
    <t>Attrition_Flag</t>
  </si>
  <si>
    <t>HR WORKFORCE — HEADLINE KPIs</t>
  </si>
  <si>
    <t>Total Employees</t>
  </si>
  <si>
    <t>Total Attrition</t>
  </si>
  <si>
    <t>Attrition Rate</t>
  </si>
  <si>
    <t>Avg Monthly Salary</t>
  </si>
  <si>
    <t>Avg Annual CTC</t>
  </si>
  <si>
    <t>Avg Age</t>
  </si>
  <si>
    <t>Avg Performance Rating</t>
  </si>
  <si>
    <t>Avg Experience (yrs)</t>
  </si>
  <si>
    <t>Avg Leaves Taken</t>
  </si>
  <si>
    <t>Avg Overtime Hours</t>
  </si>
  <si>
    <t>1. DEPARTMENT-WISE SUMMARY</t>
  </si>
  <si>
    <t>8. AGE GROUP SUMMARY</t>
  </si>
  <si>
    <t>Headcount</t>
  </si>
  <si>
    <t>Avg Rating</t>
  </si>
  <si>
    <t>Age Group</t>
  </si>
  <si>
    <t>Avg Salary</t>
  </si>
  <si>
    <t>22-30</t>
  </si>
  <si>
    <t>31-40</t>
  </si>
  <si>
    <t>41-50</t>
  </si>
  <si>
    <t>51-58</t>
  </si>
  <si>
    <t>9. EXPERIENCE BAND SUMMARY</t>
  </si>
  <si>
    <t>2. STATE-WISE HEADCOUNT</t>
  </si>
  <si>
    <t>Experience Band</t>
  </si>
  <si>
    <t>0-5 yrs</t>
  </si>
  <si>
    <t>6-10 yrs</t>
  </si>
  <si>
    <t>11-20 yrs</t>
  </si>
  <si>
    <t>21-30 yrs</t>
  </si>
  <si>
    <t>10. ATTRITED vs RETAINED</t>
  </si>
  <si>
    <t>Status</t>
  </si>
  <si>
    <t>Avg Leaves</t>
  </si>
  <si>
    <t>Avg Overtime</t>
  </si>
  <si>
    <t>Attrited</t>
  </si>
  <si>
    <t>Retained</t>
  </si>
  <si>
    <t>11. MANAGER-WISE TEAM SIZE (RANKED)</t>
  </si>
  <si>
    <t>Team Size</t>
  </si>
  <si>
    <t>Rank</t>
  </si>
  <si>
    <t>3. DESIGNATION LEVEL — AVG SALARY</t>
  </si>
  <si>
    <t>Designation Level</t>
  </si>
  <si>
    <t>4. EMPLOYMENT TYPE SPLIT</t>
  </si>
  <si>
    <t>Employment Type</t>
  </si>
  <si>
    <t>% of Total</t>
  </si>
  <si>
    <t>5. GENDER PAY COMPARISON</t>
  </si>
  <si>
    <t>6. ATTRITION BY DEPARTMENT</t>
  </si>
  <si>
    <t>Attrition Count</t>
  </si>
  <si>
    <t>7. EDUCATION-WISE SUMMARY</t>
  </si>
  <si>
    <t>A. MONTHLY NEW-HIRE TREND (2025)</t>
  </si>
  <si>
    <t>Month</t>
  </si>
  <si>
    <t>New Hires</t>
  </si>
  <si>
    <t>Avg Starting Salary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</si>
  <si>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</si>
  <si>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</si>
  <si>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</si>
  <si>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</si>
  <si>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</si>
  <si>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</si>
  <si>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</si>
  <si>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</si>
  <si>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</si>
  <si>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</si>
  <si>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</si>
  <si>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</si>
  <si>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B. DEPARTMENT x DESIGNATION TITLE HEADCOUNT</t>
  </si>
  <si>
    <t>Designation Title</t>
  </si>
  <si>
    <t>C. TOP DESIGNATION TITLE PER DEPARTMENT</t>
  </si>
  <si>
    <t>Top Designation Title</t>
  </si>
  <si>
    <t>KEY INSIGHTS</t>
  </si>
  <si>
    <t>1.  Overall attrition sits at 17.6% (176 of 1,000 employees) — this is the baseline every department is measured against below.</t>
  </si>
  <si>
    <t>2.  Engineering (294) and Sales (272) are by far the largest departments, together making up more than half the workforce — so even a small % shift in either one moves the company-wide number a lot.</t>
  </si>
  <si>
    <t>3.  Attrition isn't evenly spread — some departments run noticeably above the 17.6% company average, which is where retention effort should be focused first, not spread evenly everywhere.</t>
  </si>
  <si>
    <t>4.  Comparing attrited vs. retained employees on rating, leaves taken, and overtime shows attrition isn't just a pay story — behavioural signals (overtime load, leave patterns) explain part of it too.</t>
  </si>
  <si>
    <t>5.  Gender pay comparison was run at the same rating level to check whether any gap is a genuine structural gap or just a mix effect from role/seniority distribution.</t>
  </si>
  <si>
    <t>6.  The 6-10 and 11-20 year experience bands carry the most headcount — the workforce is more experienced than entry-level, which should shape how the org plans senior-role succession.</t>
  </si>
  <si>
    <t>7.  Manager-wise team size ranking flags which managers are running the largest teams — useful context before drawing conclusions about any one manager's attrition or rating numbers.</t>
  </si>
  <si>
    <t>Dashboard planning notes (rough — before final build):</t>
  </si>
  <si>
    <t>- Top band: 5 KPI cards. Keep it to headline numbers only — total headcount, attrition rate, avg CTC, avg rating, avg experience. Anything more and it stops being scannable.</t>
  </si>
  <si>
    <t>- Add ONE filter, not five. Department dropdown is the most useful cut for this dataset — everything else (state, gender, education) can live in the Pivot tab for someone who wants to dig in.</t>
  </si>
  <si>
    <t>- Chart picks: bar for headcount (easy comparison), line for the hiring trend (time-series = line, always), doughnut for employment type (only 3 categories, doughnut reads fine at that count), bar again for attrition rate but horizontal — department names are long, horizontal bars keep labels readable.</t>
  </si>
  <si>
    <t>- Color idea: move away from the typical blue-corporate look. Charcoal + teal + gold + coral reads more 'analyst built this' than default Excel blue.</t>
  </si>
  <si>
    <t>- Native Excel slicers need a real PivotTable object underneath — built this as a dropdown + SUMIFS/COUNTIFS version instead so it still works as a single self-contained file.</t>
  </si>
  <si>
    <t>- Left for later: a proper predictive attrition model (logistic regression) — this version is descriptive only.</t>
  </si>
  <si>
    <t>HR WORKFORCE ANALYTICS — README</t>
  </si>
  <si>
    <t>What this workbook is:</t>
  </si>
  <si>
    <t>An end-to-end HR analytics build on a 1,000-employee dataset — the same data used in the SQL (MySQL), Python (Jupyter), Power BI and Tableau versions of this project.</t>
  </si>
  <si>
    <t>Sheet guide:</t>
  </si>
  <si>
    <t>Raw_Data — original 1,000-row dataset, untouched.</t>
  </si>
  <si>
    <t>Clean_Data — same data plus computed helper columns (Age_Group, Experience_Band, Join_Month, Join_Year, Attrition_Flag) used by every formula in this workbook.</t>
  </si>
  <si>
    <t>KPI — headline numbers (headcount, attrition rate, avg salary/CTC/rating/experience).</t>
  </si>
  <si>
    <t>Pivot — 11 breakdown tables: department, state, designation level, employment type, gender pay, attrition by department, education, age group, experience band, attrited vs retained, manager ranking.</t>
  </si>
  <si>
    <t>Calculation — monthly hiring trend and the helper matrix behind 'top designation title per department'.</t>
  </si>
  <si>
    <t>Charts — 6 standalone charts, larger versions of what's on the Dashboard.</t>
  </si>
  <si>
    <t>Dashboard — single-page view: KPI cards, a department filter (dropdown-driven, since native slicers need a real PivotTable object), and 4 key charts.</t>
  </si>
  <si>
    <t>Dashboard_design — rough planning notes from before the final build (kept intentionally, not polished).</t>
  </si>
  <si>
    <t>Insights — 7 written takeaways from the analysis.</t>
  </si>
  <si>
    <t>A note on the 'slicer':</t>
  </si>
  <si>
    <t>A true Excel Slicer only attaches to a native PivotTable. This workbook uses formula-driven summary tables instead (so it stays one self-contained file), so the Department filter on the Dashboard is a data-validation dropdown wired to SUMIFS/COUNTIFS — same filtering experience, different mechanism under the hood.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</si>
</sst>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\₹#,##0"/>
    <numFmt numFmtId="166" formatCode="0.0&quot; yrs&quot;"/>
    <numFmt numFmtId="167" formatCode="dd\-mmm\-yyyy"/>
    <numFmt numFmtId="168" formatCode="0.0"/>
  </numFmts>
  <fonts count="21" x14ac:knownFonts="1">
    <font>
      <sz val="11"/>
      <color theme="1"/>
      <name val="Calibri"/>
      <family val="2"/>
      <charset val="1"/>
    </font>
    <font>
      <b/>
      <sz val="20"/>
      <color rgb="FFFFFFFF"/>
      <name val="Calibri"/>
      <charset val="1"/>
    </font>
    <font>
      <b/>
      <sz val="9"/>
      <color rgb="FF5B6675"/>
      <name val="Calibri"/>
      <charset val="1"/>
    </font>
    <font>
      <b/>
      <sz val="20"/>
      <color rgb="FF2E8B7C"/>
      <name val="Calibri"/>
      <charset val="1"/>
    </font>
    <font>
      <b/>
      <sz val="20"/>
      <color rgb="FFE0674A"/>
      <name val="Calibri"/>
      <charset val="1"/>
    </font>
    <font>
      <b/>
      <sz val="20"/>
      <color rgb="FFC9A227"/>
      <name val="Calibri"/>
      <charset val="1"/>
    </font>
    <font>
      <b/>
      <sz val="20"/>
      <color rgb="FF5B6675"/>
      <name val="Calibri"/>
      <charset val="1"/>
    </font>
    <font>
      <b/>
      <sz val="20"/>
      <color rgb="FF1B2431"/>
      <name val="Calibri"/>
      <charset val="1"/>
    </font>
    <font>
      <b/>
      <sz val="10"/>
      <color rgb="FF1B2431"/>
      <name val="Calibri"/>
      <charset val="1"/>
    </font>
    <font>
      <b/>
      <sz val="11"/>
      <color rgb="FFFFFFFF"/>
      <name val="Calibri"/>
      <charset val="1"/>
    </font>
    <font>
      <sz val="10"/>
      <color rgb="FF5B6675"/>
      <name val="Calibri"/>
      <charset val="1"/>
    </font>
    <font>
      <b/>
      <sz val="12"/>
      <color rgb="FF1B2431"/>
      <name val="Calibri"/>
      <charset val="1"/>
    </font>
    <font>
      <b/>
      <sz val="16"/>
      <color rgb="FF1B2431"/>
      <name val="Calibri"/>
      <charset val="1"/>
    </font>
    <font>
      <sz val="11"/>
      <color rgb="FF5B6675"/>
      <name val="Calibri"/>
      <charset val="1"/>
    </font>
    <font>
      <b/>
      <sz val="13"/>
      <color rgb="FF1B2431"/>
      <name val="Calibri"/>
      <charset val="1"/>
    </font>
    <font>
      <b/>
      <sz val="12"/>
      <color rgb="FFFFFFFF"/>
      <name val="Calibri"/>
      <charset val="1"/>
    </font>
    <font>
      <b/>
      <sz val="10"/>
      <color rgb="FFFFFFFF"/>
      <name val="Calibri"/>
      <charset val="1"/>
    </font>
    <font>
      <sz val="10"/>
      <color rgb="FF1B2431"/>
      <name val="Calibri"/>
      <charset val="1"/>
    </font>
    <font>
      <sz val="11"/>
      <color rgb="FF1B2431"/>
      <name val="Calibri"/>
      <charset val="1"/>
    </font>
    <font>
      <i/>
      <sz val="11"/>
      <color rgb="FF1B2431"/>
      <name val="Calibri"/>
      <charset val="1"/>
    </font>
    <font>
      <b/>
      <sz val="15"/>
      <color rgb="FF1B2431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1B2431"/>
        <bgColor rgb="FF333300"/>
      </patternFill>
    </fill>
    <fill>
      <patternFill patternType="solid">
        <fgColor rgb="FFEFEDE6"/>
        <bgColor rgb="FFFFFFFF"/>
      </patternFill>
    </fill>
    <fill>
      <patternFill patternType="solid">
        <fgColor rgb="FF2E8B7C"/>
        <bgColor rgb="FF008080"/>
      </patternFill>
    </fill>
  </fills>
  <borders count="8">
    <border>
      <left/>
      <right/>
      <top/>
      <bottom/>
      <diagonal/>
    </border>
    <border>
      <left/>
      <right/>
      <top style="medium">
        <color rgb="FF2E8B7C"/>
      </top>
      <bottom/>
      <diagonal/>
    </border>
    <border>
      <left/>
      <right/>
      <top style="medium">
        <color rgb="FFE0674A"/>
      </top>
      <bottom/>
      <diagonal/>
    </border>
    <border>
      <left/>
      <right/>
      <top style="medium">
        <color rgb="FFC9A227"/>
      </top>
      <bottom/>
      <diagonal/>
    </border>
    <border>
      <left/>
      <right/>
      <top style="medium">
        <color rgb="FF5B6675"/>
      </top>
      <bottom/>
      <diagonal/>
    </border>
    <border>
      <left/>
      <right/>
      <top style="medium">
        <color rgb="FF1B2431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2" fillId="0" borderId="0" xfId="0" applyFont="1"/>
    <xf numFmtId="166" fontId="7" fillId="3" borderId="0" xfId="0" applyNumberFormat="1" applyFont="1" applyFill="1" applyAlignment="1">
      <alignment horizontal="left" vertical="center" indent="1"/>
    </xf>
    <xf numFmtId="2" fontId="6" fillId="3" borderId="0" xfId="0" applyNumberFormat="1" applyFont="1" applyFill="1" applyAlignment="1">
      <alignment horizontal="left" vertical="center" indent="1"/>
    </xf>
    <xf numFmtId="165" fontId="5" fillId="3" borderId="0" xfId="0" applyNumberFormat="1" applyFont="1" applyFill="1" applyAlignment="1">
      <alignment horizontal="left" vertical="center" indent="1"/>
    </xf>
    <xf numFmtId="164" fontId="4" fillId="3" borderId="0" xfId="0" applyNumberFormat="1" applyFont="1" applyFill="1" applyAlignment="1">
      <alignment horizontal="left" vertical="center" indent="1"/>
    </xf>
    <xf numFmtId="3" fontId="3" fillId="3" borderId="0" xfId="0" applyNumberFormat="1" applyFont="1" applyFill="1" applyAlignment="1">
      <alignment horizontal="left" vertical="center" indent="1"/>
    </xf>
    <xf numFmtId="0" fontId="2" fillId="3" borderId="5" xfId="0" applyFont="1" applyFill="1" applyBorder="1" applyAlignment="1">
      <alignment horizontal="left" vertical="center" indent="1"/>
    </xf>
    <xf numFmtId="0" fontId="2" fillId="3" borderId="4" xfId="0" applyFont="1" applyFill="1" applyBorder="1" applyAlignment="1">
      <alignment horizontal="left" vertical="center" indent="1"/>
    </xf>
    <xf numFmtId="0" fontId="2" fillId="3" borderId="3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8" fillId="0" borderId="0" xfId="0" applyFont="1"/>
    <xf numFmtId="0" fontId="9" fillId="4" borderId="0" xfId="0" applyFont="1" applyFill="1" applyAlignment="1">
      <alignment horizontal="center"/>
    </xf>
    <xf numFmtId="0" fontId="10" fillId="0" borderId="0" xfId="0" applyFont="1"/>
    <xf numFmtId="3" fontId="11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horizontal="center"/>
    </xf>
    <xf numFmtId="0" fontId="9" fillId="2" borderId="0" xfId="0" applyFont="1" applyFill="1" applyAlignment="1">
      <alignment horizontal="center" vertical="center"/>
    </xf>
    <xf numFmtId="167" fontId="0" fillId="0" borderId="0" xfId="0" applyNumberFormat="1"/>
    <xf numFmtId="3" fontId="0" fillId="0" borderId="0" xfId="0" applyNumberFormat="1"/>
    <xf numFmtId="0" fontId="9" fillId="4" borderId="0" xfId="0" applyFont="1" applyFill="1" applyAlignment="1">
      <alignment horizontal="center" vertical="center"/>
    </xf>
    <xf numFmtId="0" fontId="12" fillId="0" borderId="0" xfId="0" applyFont="1"/>
    <xf numFmtId="0" fontId="15" fillId="2" borderId="0" xfId="0" applyFont="1" applyFill="1"/>
    <xf numFmtId="0" fontId="16" fillId="4" borderId="0" xfId="0" applyFont="1" applyFill="1" applyAlignment="1">
      <alignment horizontal="center"/>
    </xf>
    <xf numFmtId="0" fontId="17" fillId="0" borderId="6" xfId="0" applyFont="1" applyBorder="1"/>
    <xf numFmtId="3" fontId="17" fillId="0" borderId="6" xfId="0" applyNumberFormat="1" applyFont="1" applyBorder="1"/>
    <xf numFmtId="165" fontId="17" fillId="0" borderId="6" xfId="0" applyNumberFormat="1" applyFont="1" applyBorder="1"/>
    <xf numFmtId="2" fontId="17" fillId="0" borderId="6" xfId="0" applyNumberFormat="1" applyFont="1" applyBorder="1"/>
    <xf numFmtId="168" fontId="17" fillId="0" borderId="6" xfId="0" applyNumberFormat="1" applyFont="1" applyBorder="1"/>
    <xf numFmtId="1" fontId="17" fillId="0" borderId="6" xfId="0" applyNumberFormat="1" applyFont="1" applyBorder="1"/>
    <xf numFmtId="164" fontId="17" fillId="0" borderId="6" xfId="0" applyNumberFormat="1" applyFont="1" applyBorder="1"/>
    <xf numFmtId="0" fontId="18" fillId="0" borderId="0" xfId="0" applyFont="1" applyAlignment="1">
      <alignment vertical="top" wrapText="1"/>
    </xf>
    <xf numFmtId="0" fontId="19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13" fillId="0" borderId="7" xfId="0" applyFont="1" applyBorder="1"/>
    <xf numFmtId="3" fontId="14" fillId="0" borderId="7" xfId="0" applyNumberFormat="1" applyFont="1" applyBorder="1" applyAlignment="1">
      <alignment horizontal="right"/>
    </xf>
    <xf numFmtId="164" fontId="14" fillId="0" borderId="7" xfId="0" applyNumberFormat="1" applyFont="1" applyBorder="1" applyAlignment="1">
      <alignment horizontal="right"/>
    </xf>
    <xf numFmtId="165" fontId="14" fillId="0" borderId="7" xfId="0" applyNumberFormat="1" applyFont="1" applyBorder="1" applyAlignment="1">
      <alignment horizontal="right"/>
    </xf>
    <xf numFmtId="168" fontId="14" fillId="0" borderId="7" xfId="0" applyNumberFormat="1" applyFont="1" applyBorder="1" applyAlignment="1">
      <alignment horizontal="right"/>
    </xf>
    <xf numFmtId="2" fontId="14" fillId="0" borderId="7" xfId="0" applyNumberFormat="1" applyFont="1" applyBorder="1" applyAlignment="1">
      <alignment horizontal="right"/>
    </xf>
    <xf numFmtId="0" fontId="0" fillId="0" borderId="7" xfId="0" applyBorder="1"/>
  </cellXfs>
  <cellStyles count="1">
    <cellStyle name="Normal" xfId="0" builtinId="0"/>
  </cellStyles>
  <dxfs count="9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4F81BD"/>
      <rgbColor rgb="FF9999FF"/>
      <rgbColor rgb="FF993366"/>
      <rgbColor rgb="FFEFEDE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E0674A"/>
      <rgbColor rgb="FF5B6675"/>
      <rgbColor rgb="FF969696"/>
      <rgbColor rgb="FF003366"/>
      <rgbColor rgb="FF2E8B7C"/>
      <rgbColor rgb="FF003300"/>
      <rgbColor rgb="FF333300"/>
      <rgbColor rgb="FF993300"/>
      <rgbColor rgb="FF993366"/>
      <rgbColor rgb="FF333399"/>
      <rgbColor rgb="FF1B243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Department Headcount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Pivot!$B$2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rgbClr val="2E8B7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Pivot!$A$3:$A$7</c:f>
              <c:strCache>
                <c:ptCount val="5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Pivot!$B$3:$B$7</c:f>
              <c:numCache>
                <c:formatCode>#,##0</c:formatCode>
                <c:ptCount val="5"/>
                <c:pt idx="0">
                  <c:v>294</c:v>
                </c:pt>
                <c:pt idx="1">
                  <c:v>148</c:v>
                </c:pt>
                <c:pt idx="2">
                  <c:v>133</c:v>
                </c:pt>
                <c:pt idx="3">
                  <c:v>153</c:v>
                </c:pt>
                <c:pt idx="4">
                  <c:v>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D9-420B-9E62-DC79E6738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703313"/>
        <c:axId val="73014773"/>
      </c:barChart>
      <c:catAx>
        <c:axId val="4470331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014773"/>
        <c:crosses val="autoZero"/>
        <c:auto val="1"/>
        <c:lblAlgn val="ctr"/>
        <c:lblOffset val="100"/>
        <c:noMultiLvlLbl val="0"/>
      </c:catAx>
      <c:valAx>
        <c:axId val="7301477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7033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New-Hire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Calculation!$B$2</c:f>
              <c:strCache>
                <c:ptCount val="1"/>
                <c:pt idx="0">
                  <c:v>New Hires</c:v>
                </c:pt>
              </c:strCache>
            </c:strRef>
          </c:tx>
          <c:spPr>
            <a:ln w="21960">
              <a:solidFill>
                <a:srgbClr val="E0674A"/>
              </a:solidFill>
              <a:round/>
            </a:ln>
          </c:spPr>
          <c:marker>
            <c:symbol val="circle"/>
            <c:size val="6"/>
            <c:spPr>
              <a:solidFill>
                <a:srgbClr val="E0674A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Calculation!$B$3:$B$14</c:f>
              <c:numCache>
                <c:formatCode>#,##0</c:formatCode>
                <c:ptCount val="12"/>
                <c:pt idx="0">
                  <c:v>67</c:v>
                </c:pt>
                <c:pt idx="1">
                  <c:v>100</c:v>
                </c:pt>
                <c:pt idx="2">
                  <c:v>94</c:v>
                </c:pt>
                <c:pt idx="3">
                  <c:v>89</c:v>
                </c:pt>
                <c:pt idx="4">
                  <c:v>85</c:v>
                </c:pt>
                <c:pt idx="5">
                  <c:v>79</c:v>
                </c:pt>
                <c:pt idx="6">
                  <c:v>80</c:v>
                </c:pt>
                <c:pt idx="7">
                  <c:v>79</c:v>
                </c:pt>
                <c:pt idx="8">
                  <c:v>67</c:v>
                </c:pt>
                <c:pt idx="9">
                  <c:v>92</c:v>
                </c:pt>
                <c:pt idx="10">
                  <c:v>86</c:v>
                </c:pt>
                <c:pt idx="11">
                  <c:v>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6A5-4159-B29A-1F4E863C8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9871013"/>
        <c:axId val="72395804"/>
      </c:lineChart>
      <c:catAx>
        <c:axId val="2987101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395804"/>
        <c:crosses val="autoZero"/>
        <c:auto val="1"/>
        <c:lblAlgn val="ctr"/>
        <c:lblOffset val="100"/>
        <c:noMultiLvlLbl val="0"/>
      </c:catAx>
      <c:valAx>
        <c:axId val="7239580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8710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Employment Type Split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Pivot!$B$31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E8B7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B14-4BCC-9DB5-02F3E04A653D}"/>
              </c:ext>
            </c:extLst>
          </c:dPt>
          <c:dPt>
            <c:idx val="1"/>
            <c:bubble3D val="0"/>
            <c:spPr>
              <a:solidFill>
                <a:srgbClr val="C9A22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B14-4BCC-9DB5-02F3E04A653D}"/>
              </c:ext>
            </c:extLst>
          </c:dPt>
          <c:dPt>
            <c:idx val="2"/>
            <c:bubble3D val="0"/>
            <c:spPr>
              <a:solidFill>
                <a:srgbClr val="E0674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B14-4BCC-9DB5-02F3E04A653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BB14-4BCC-9DB5-02F3E04A653D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BB14-4BCC-9DB5-02F3E04A653D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BB14-4BCC-9DB5-02F3E04A65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Pivot!$A$32:$A$34</c:f>
              <c:strCache>
                <c:ptCount val="3"/>
                <c:pt idx="0">
                  <c:v>Full-Time</c:v>
                </c:pt>
                <c:pt idx="1">
                  <c:v>Part-Time</c:v>
                </c:pt>
                <c:pt idx="2">
                  <c:v>Contract</c:v>
                </c:pt>
              </c:strCache>
            </c:strRef>
          </c:cat>
          <c:val>
            <c:numRef>
              <c:f>Pivot!$B$32:$B$34</c:f>
              <c:numCache>
                <c:formatCode>#,##0</c:formatCode>
                <c:ptCount val="3"/>
                <c:pt idx="0">
                  <c:v>822</c:v>
                </c:pt>
                <c:pt idx="1">
                  <c:v>102</c:v>
                </c:pt>
                <c:pt idx="2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14-4BCC-9DB5-02F3E04A6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Attrition Rate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Pivot!$D$42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C9A22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Pivot!$A$43:$A$47</c:f>
              <c:strCache>
                <c:ptCount val="5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Pivot!$D$43:$D$47</c:f>
              <c:numCache>
                <c:formatCode>0.0%</c:formatCode>
                <c:ptCount val="5"/>
                <c:pt idx="0">
                  <c:v>0.19047619047619047</c:v>
                </c:pt>
                <c:pt idx="1">
                  <c:v>0.21621621621621623</c:v>
                </c:pt>
                <c:pt idx="2">
                  <c:v>0.18045112781954886</c:v>
                </c:pt>
                <c:pt idx="3">
                  <c:v>0.1437908496732026</c:v>
                </c:pt>
                <c:pt idx="4">
                  <c:v>0.15441176470588236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E2-4C51-8E5F-24C02BAEB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48844"/>
        <c:axId val="71995604"/>
      </c:barChart>
      <c:catAx>
        <c:axId val="1694884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995604"/>
        <c:crosses val="autoZero"/>
        <c:auto val="1"/>
        <c:lblAlgn val="ctr"/>
        <c:lblOffset val="100"/>
        <c:noMultiLvlLbl val="0"/>
      </c:catAx>
      <c:valAx>
        <c:axId val="71995604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9488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Department Headcount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Pivot!$B$2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rgbClr val="2E8B7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Pivot!$A$3:$A$7</c:f>
              <c:strCache>
                <c:ptCount val="5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Pivot!$B$3:$B$7</c:f>
              <c:numCache>
                <c:formatCode>#,##0</c:formatCode>
                <c:ptCount val="5"/>
                <c:pt idx="0">
                  <c:v>294</c:v>
                </c:pt>
                <c:pt idx="1">
                  <c:v>148</c:v>
                </c:pt>
                <c:pt idx="2">
                  <c:v>133</c:v>
                </c:pt>
                <c:pt idx="3">
                  <c:v>153</c:v>
                </c:pt>
                <c:pt idx="4">
                  <c:v>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D9-4134-A453-A00311C1F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478612"/>
        <c:axId val="88961879"/>
      </c:barChart>
      <c:catAx>
        <c:axId val="894786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961879"/>
        <c:crosses val="autoZero"/>
        <c:auto val="1"/>
        <c:lblAlgn val="ctr"/>
        <c:lblOffset val="100"/>
        <c:noMultiLvlLbl val="0"/>
      </c:catAx>
      <c:valAx>
        <c:axId val="8896187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Employees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4786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New-Hire Trend (2025)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Calculation!$B$2</c:f>
              <c:strCache>
                <c:ptCount val="1"/>
                <c:pt idx="0">
                  <c:v>New Hires</c:v>
                </c:pt>
              </c:strCache>
            </c:strRef>
          </c:tx>
          <c:spPr>
            <a:ln w="21960">
              <a:solidFill>
                <a:srgbClr val="E0674A"/>
              </a:solidFill>
              <a:round/>
            </a:ln>
          </c:spPr>
          <c:marker>
            <c:symbol val="circle"/>
            <c:size val="6"/>
            <c:spPr>
              <a:solidFill>
                <a:srgbClr val="E0674A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Calculation!$B$3:$B$14</c:f>
              <c:numCache>
                <c:formatCode>#,##0</c:formatCode>
                <c:ptCount val="12"/>
                <c:pt idx="0">
                  <c:v>67</c:v>
                </c:pt>
                <c:pt idx="1">
                  <c:v>100</c:v>
                </c:pt>
                <c:pt idx="2">
                  <c:v>94</c:v>
                </c:pt>
                <c:pt idx="3">
                  <c:v>89</c:v>
                </c:pt>
                <c:pt idx="4">
                  <c:v>85</c:v>
                </c:pt>
                <c:pt idx="5">
                  <c:v>79</c:v>
                </c:pt>
                <c:pt idx="6">
                  <c:v>80</c:v>
                </c:pt>
                <c:pt idx="7">
                  <c:v>79</c:v>
                </c:pt>
                <c:pt idx="8">
                  <c:v>67</c:v>
                </c:pt>
                <c:pt idx="9">
                  <c:v>92</c:v>
                </c:pt>
                <c:pt idx="10">
                  <c:v>86</c:v>
                </c:pt>
                <c:pt idx="11">
                  <c:v>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EB-48C6-9A27-CC7777F16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5795232"/>
        <c:axId val="37940131"/>
      </c:lineChart>
      <c:catAx>
        <c:axId val="557952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940131"/>
        <c:crosses val="autoZero"/>
        <c:auto val="1"/>
        <c:lblAlgn val="ctr"/>
        <c:lblOffset val="100"/>
        <c:noMultiLvlLbl val="0"/>
      </c:catAx>
      <c:valAx>
        <c:axId val="3794013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New Hires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7952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Employment Type Split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Pivot!$B$31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E8B7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18A-470E-8876-D165326B57B0}"/>
              </c:ext>
            </c:extLst>
          </c:dPt>
          <c:dPt>
            <c:idx val="1"/>
            <c:bubble3D val="0"/>
            <c:spPr>
              <a:solidFill>
                <a:srgbClr val="C9A22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18A-470E-8876-D165326B57B0}"/>
              </c:ext>
            </c:extLst>
          </c:dPt>
          <c:dPt>
            <c:idx val="2"/>
            <c:bubble3D val="0"/>
            <c:spPr>
              <a:solidFill>
                <a:srgbClr val="E0674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18A-470E-8876-D165326B57B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B18A-470E-8876-D165326B57B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B18A-470E-8876-D165326B57B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B18A-470E-8876-D165326B57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Pivot!$A$32:$A$34</c:f>
              <c:strCache>
                <c:ptCount val="3"/>
                <c:pt idx="0">
                  <c:v>Full-Time</c:v>
                </c:pt>
                <c:pt idx="1">
                  <c:v>Part-Time</c:v>
                </c:pt>
                <c:pt idx="2">
                  <c:v>Contract</c:v>
                </c:pt>
              </c:strCache>
            </c:strRef>
          </c:cat>
          <c:val>
            <c:numRef>
              <c:f>Pivot!$B$32:$B$34</c:f>
              <c:numCache>
                <c:formatCode>#,##0</c:formatCode>
                <c:ptCount val="3"/>
                <c:pt idx="0">
                  <c:v>822</c:v>
                </c:pt>
                <c:pt idx="1">
                  <c:v>102</c:v>
                </c:pt>
                <c:pt idx="2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8A-470E-8876-D165326B5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Attrition Rate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Pivot!$D$42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C9A22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Pivot!$A$43:$A$47</c:f>
              <c:strCache>
                <c:ptCount val="5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Pivot!$D$43:$D$47</c:f>
              <c:numCache>
                <c:formatCode>0.0%</c:formatCode>
                <c:ptCount val="5"/>
                <c:pt idx="0">
                  <c:v>0.19047619047619047</c:v>
                </c:pt>
                <c:pt idx="1">
                  <c:v>0.21621621621621623</c:v>
                </c:pt>
                <c:pt idx="2">
                  <c:v>0.18045112781954886</c:v>
                </c:pt>
                <c:pt idx="3">
                  <c:v>0.1437908496732026</c:v>
                </c:pt>
                <c:pt idx="4">
                  <c:v>0.15441176470588236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8-44DF-AB05-98E07609D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696533"/>
        <c:axId val="28627661"/>
      </c:barChart>
      <c:catAx>
        <c:axId val="5369653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627661"/>
        <c:crosses val="autoZero"/>
        <c:auto val="1"/>
        <c:lblAlgn val="ctr"/>
        <c:lblOffset val="100"/>
        <c:noMultiLvlLbl val="0"/>
      </c:catAx>
      <c:valAx>
        <c:axId val="28627661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6965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Gender Pay Comparison (Avg Monthly Salary)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Pivot!$C$37</c:f>
              <c:strCache>
                <c:ptCount val="1"/>
                <c:pt idx="0">
                  <c:v>Avg Salary</c:v>
                </c:pt>
              </c:strCache>
            </c:strRef>
          </c:tx>
          <c:spPr>
            <a:solidFill>
              <a:srgbClr val="5B667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Pivot!$A$38:$A$39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Pivot!$C$38:$C$39</c:f>
              <c:numCache>
                <c:formatCode>\₹#,##0</c:formatCode>
                <c:ptCount val="2"/>
                <c:pt idx="0">
                  <c:v>78784</c:v>
                </c:pt>
                <c:pt idx="1">
                  <c:v>80369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7-4C59-A8FA-6DDCAA82C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860912"/>
        <c:axId val="98443247"/>
      </c:barChart>
      <c:catAx>
        <c:axId val="398609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443247"/>
        <c:crosses val="autoZero"/>
        <c:auto val="1"/>
        <c:lblAlgn val="ctr"/>
        <c:lblOffset val="100"/>
        <c:noMultiLvlLbl val="0"/>
      </c:catAx>
      <c:valAx>
        <c:axId val="9844324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₹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8609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Salary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Pivot!$H$2</c:f>
              <c:strCache>
                <c:ptCount val="1"/>
                <c:pt idx="0">
                  <c:v>Avg Salary</c:v>
                </c:pt>
              </c:strCache>
            </c:strRef>
          </c:tx>
          <c:spPr>
            <a:solidFill>
              <a:srgbClr val="E0674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Pivot!$F$3:$F$6</c:f>
              <c:strCache>
                <c:ptCount val="4"/>
                <c:pt idx="0">
                  <c:v>22-30</c:v>
                </c:pt>
                <c:pt idx="1">
                  <c:v>31-40</c:v>
                </c:pt>
                <c:pt idx="2">
                  <c:v>41-50</c:v>
                </c:pt>
                <c:pt idx="3">
                  <c:v>51-58</c:v>
                </c:pt>
              </c:strCache>
            </c:strRef>
          </c:cat>
          <c:val>
            <c:numRef>
              <c:f>Pivot!$H$3:$H$6</c:f>
              <c:numCache>
                <c:formatCode>\₹#,##0</c:formatCode>
                <c:ptCount val="4"/>
                <c:pt idx="0">
                  <c:v>81815</c:v>
                </c:pt>
                <c:pt idx="1">
                  <c:v>78758</c:v>
                </c:pt>
                <c:pt idx="2">
                  <c:v>79072</c:v>
                </c:pt>
                <c:pt idx="3">
                  <c:v>78325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0A-4D74-8EEC-A495E18BE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091842"/>
        <c:axId val="59619889"/>
      </c:barChart>
      <c:catAx>
        <c:axId val="9709184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619889"/>
        <c:crosses val="autoZero"/>
        <c:auto val="1"/>
        <c:lblAlgn val="ctr"/>
        <c:lblOffset val="100"/>
        <c:noMultiLvlLbl val="0"/>
      </c:catAx>
      <c:valAx>
        <c:axId val="5961988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₹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0918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6</xdr:col>
      <xdr:colOff>113040</xdr:colOff>
      <xdr:row>30</xdr:row>
      <xdr:rowOff>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13</xdr:row>
      <xdr:rowOff>0</xdr:rowOff>
    </xdr:from>
    <xdr:to>
      <xdr:col>13</xdr:col>
      <xdr:colOff>747360</xdr:colOff>
      <xdr:row>30</xdr:row>
      <xdr:rowOff>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30</xdr:row>
      <xdr:rowOff>0</xdr:rowOff>
    </xdr:from>
    <xdr:to>
      <xdr:col>6</xdr:col>
      <xdr:colOff>113040</xdr:colOff>
      <xdr:row>47</xdr:row>
      <xdr:rowOff>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30</xdr:row>
      <xdr:rowOff>0</xdr:rowOff>
    </xdr:from>
    <xdr:to>
      <xdr:col>13</xdr:col>
      <xdr:colOff>747360</xdr:colOff>
      <xdr:row>47</xdr:row>
      <xdr:rowOff>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147240</xdr:colOff>
      <xdr:row>16</xdr:row>
      <xdr:rowOff>11160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17</xdr:row>
      <xdr:rowOff>0</xdr:rowOff>
    </xdr:from>
    <xdr:to>
      <xdr:col>8</xdr:col>
      <xdr:colOff>147240</xdr:colOff>
      <xdr:row>33</xdr:row>
      <xdr:rowOff>11160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0</xdr:row>
      <xdr:rowOff>0</xdr:rowOff>
    </xdr:from>
    <xdr:to>
      <xdr:col>18</xdr:col>
      <xdr:colOff>147240</xdr:colOff>
      <xdr:row>16</xdr:row>
      <xdr:rowOff>11160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17</xdr:row>
      <xdr:rowOff>0</xdr:rowOff>
    </xdr:from>
    <xdr:to>
      <xdr:col>18</xdr:col>
      <xdr:colOff>147240</xdr:colOff>
      <xdr:row>33</xdr:row>
      <xdr:rowOff>11160</xdr:rowOff>
    </xdr:to>
    <xdr:graphicFrame macro="">
      <xdr:nvGraphicFramePr>
        <xdr:cNvPr id="7" name="Chart 4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34</xdr:row>
      <xdr:rowOff>0</xdr:rowOff>
    </xdr:from>
    <xdr:to>
      <xdr:col>8</xdr:col>
      <xdr:colOff>147240</xdr:colOff>
      <xdr:row>50</xdr:row>
      <xdr:rowOff>11520</xdr:rowOff>
    </xdr:to>
    <xdr:graphicFrame macro="">
      <xdr:nvGraphicFramePr>
        <xdr:cNvPr id="8" name="Chart 5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34</xdr:row>
      <xdr:rowOff>0</xdr:rowOff>
    </xdr:from>
    <xdr:to>
      <xdr:col>18</xdr:col>
      <xdr:colOff>147240</xdr:colOff>
      <xdr:row>50</xdr:row>
      <xdr:rowOff>11520</xdr:rowOff>
    </xdr:to>
    <xdr:graphicFrame macro="">
      <xdr:nvGraphicFramePr>
        <xdr:cNvPr id="9" name="Chart 6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RawData" displayName="RawData" ref="A1:V1001" totalsRowShown="0">
  <autoFilter ref="A1:V1001" xr:uid="{00000000-0009-0000-0100-000002000000}"/>
  <tableColumns count="22">
    <tableColumn id="1" xr3:uid="{00000000-0010-0000-0000-000001000000}" name="Employee_ID"/>
    <tableColumn id="2" xr3:uid="{00000000-0010-0000-0000-000002000000}" name="Join_Date"/>
    <tableColumn id="3" xr3:uid="{00000000-0010-0000-0000-000003000000}" name="Employee_Name"/>
    <tableColumn id="4" xr3:uid="{00000000-0010-0000-0000-000004000000}" name="Gender"/>
    <tableColumn id="5" xr3:uid="{00000000-0010-0000-0000-000005000000}" name="Age" dataDxfId="8"/>
    <tableColumn id="6" xr3:uid="{00000000-0010-0000-0000-000006000000}" name="State"/>
    <tableColumn id="7" xr3:uid="{00000000-0010-0000-0000-000007000000}" name="City"/>
    <tableColumn id="8" xr3:uid="{00000000-0010-0000-0000-000008000000}" name="Department"/>
    <tableColumn id="9" xr3:uid="{00000000-0010-0000-0000-000009000000}" name="Designation_Level"/>
    <tableColumn id="10" xr3:uid="{00000000-0010-0000-0000-00000A000000}" name="Designation_Title"/>
    <tableColumn id="11" xr3:uid="{00000000-0010-0000-0000-00000B000000}" name="Experience_Years" dataDxfId="7"/>
    <tableColumn id="12" xr3:uid="{00000000-0010-0000-0000-00000C000000}" name="Employment_Type"/>
    <tableColumn id="13" xr3:uid="{00000000-0010-0000-0000-00000D000000}" name="Monthly_Salary"/>
    <tableColumn id="14" xr3:uid="{00000000-0010-0000-0000-00000E000000}" name="Annual_CTC"/>
    <tableColumn id="15" xr3:uid="{00000000-0010-0000-0000-00000F000000}" name="Bonus_Amount"/>
    <tableColumn id="16" xr3:uid="{00000000-0010-0000-0000-000010000000}" name="Performance_Rating"/>
    <tableColumn id="17" xr3:uid="{00000000-0010-0000-0000-000011000000}" name="Attrition"/>
    <tableColumn id="18" xr3:uid="{00000000-0010-0000-0000-000012000000}" name="Leaves_Taken" dataDxfId="6"/>
    <tableColumn id="19" xr3:uid="{00000000-0010-0000-0000-000013000000}" name="Overtime_Hours" dataDxfId="5"/>
    <tableColumn id="20" xr3:uid="{00000000-0010-0000-0000-000014000000}" name="Manager_Name"/>
    <tableColumn id="21" xr3:uid="{00000000-0010-0000-0000-000015000000}" name="Education"/>
    <tableColumn id="22" xr3:uid="{00000000-0010-0000-0000-000016000000}" name="Marital_Statu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CleanData" displayName="CleanData" ref="A1:AA1001" totalsRowShown="0">
  <autoFilter ref="A1:AA1001" xr:uid="{00000000-0009-0000-0100-000001000000}"/>
  <tableColumns count="27">
    <tableColumn id="1" xr3:uid="{00000000-0010-0000-0100-000001000000}" name="Employee_ID"/>
    <tableColumn id="2" xr3:uid="{00000000-0010-0000-0100-000002000000}" name="Join_Date"/>
    <tableColumn id="3" xr3:uid="{00000000-0010-0000-0100-000003000000}" name="Employee_Name"/>
    <tableColumn id="4" xr3:uid="{00000000-0010-0000-0100-000004000000}" name="Gender"/>
    <tableColumn id="5" xr3:uid="{00000000-0010-0000-0100-000005000000}" name="Age" dataDxfId="4"/>
    <tableColumn id="6" xr3:uid="{00000000-0010-0000-0100-000006000000}" name="State"/>
    <tableColumn id="7" xr3:uid="{00000000-0010-0000-0100-000007000000}" name="City"/>
    <tableColumn id="8" xr3:uid="{00000000-0010-0000-0100-000008000000}" name="Department"/>
    <tableColumn id="9" xr3:uid="{00000000-0010-0000-0100-000009000000}" name="Designation_Level"/>
    <tableColumn id="10" xr3:uid="{00000000-0010-0000-0100-00000A000000}" name="Designation_Title"/>
    <tableColumn id="11" xr3:uid="{00000000-0010-0000-0100-00000B000000}" name="Experience_Years" dataDxfId="3"/>
    <tableColumn id="12" xr3:uid="{00000000-0010-0000-0100-00000C000000}" name="Employment_Type"/>
    <tableColumn id="13" xr3:uid="{00000000-0010-0000-0100-00000D000000}" name="Monthly_Salary"/>
    <tableColumn id="14" xr3:uid="{00000000-0010-0000-0100-00000E000000}" name="Annual_CTC"/>
    <tableColumn id="15" xr3:uid="{00000000-0010-0000-0100-00000F000000}" name="Bonus_Amount"/>
    <tableColumn id="16" xr3:uid="{00000000-0010-0000-0100-000010000000}" name="Performance_Rating" dataDxfId="2"/>
    <tableColumn id="17" xr3:uid="{00000000-0010-0000-0100-000011000000}" name="Attrition"/>
    <tableColumn id="18" xr3:uid="{00000000-0010-0000-0100-000012000000}" name="Leaves_Taken" dataDxfId="1"/>
    <tableColumn id="19" xr3:uid="{00000000-0010-0000-0100-000013000000}" name="Overtime_Hours" dataDxfId="0"/>
    <tableColumn id="20" xr3:uid="{00000000-0010-0000-0100-000014000000}" name="Manager_Name"/>
    <tableColumn id="21" xr3:uid="{00000000-0010-0000-0100-000015000000}" name="Education"/>
    <tableColumn id="22" xr3:uid="{00000000-0010-0000-0100-000016000000}" name="Marital_Status"/>
    <tableColumn id="23" xr3:uid="{00000000-0010-0000-0100-000017000000}" name="Age_Group"/>
    <tableColumn id="24" xr3:uid="{00000000-0010-0000-0100-000018000000}" name="Experience_Band"/>
    <tableColumn id="25" xr3:uid="{00000000-0010-0000-0100-000019000000}" name="Join_Month"/>
    <tableColumn id="26" xr3:uid="{00000000-0010-0000-0100-00001A000000}" name="Join_Year"/>
    <tableColumn id="27" xr3:uid="{00000000-0010-0000-0100-00001B000000}" name="Attrition_Fla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showGridLines="0" zoomScale="47" zoomScaleNormal="100" workbookViewId="0">
      <selection sqref="A1:O2"/>
    </sheetView>
  </sheetViews>
  <sheetFormatPr defaultColWidth="8.6640625" defaultRowHeight="14.4" x14ac:dyDescent="0.3"/>
  <cols>
    <col min="1" max="1" width="20" customWidth="1"/>
    <col min="2" max="15" width="11" customWidth="1"/>
  </cols>
  <sheetData>
    <row r="1" spans="1:15" ht="24" customHeight="1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24" customHeight="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4" spans="1:15" ht="15.75" customHeight="1" x14ac:dyDescent="0.3">
      <c r="A4" s="11" t="s">
        <v>1</v>
      </c>
      <c r="B4" s="11"/>
      <c r="C4" s="11"/>
      <c r="D4" s="10" t="s">
        <v>2</v>
      </c>
      <c r="E4" s="10"/>
      <c r="F4" s="10"/>
      <c r="G4" s="9" t="s">
        <v>3</v>
      </c>
      <c r="H4" s="9"/>
      <c r="I4" s="9"/>
      <c r="J4" s="8" t="s">
        <v>4</v>
      </c>
      <c r="K4" s="8"/>
      <c r="L4" s="8"/>
      <c r="M4" s="7" t="s">
        <v>5</v>
      </c>
      <c r="N4" s="7"/>
      <c r="O4" s="7"/>
    </row>
    <row r="5" spans="1:15" ht="21.75" customHeight="1" x14ac:dyDescent="0.3">
      <c r="A5" s="6">
        <f>KPI!B3</f>
        <v>1000</v>
      </c>
      <c r="B5" s="6"/>
      <c r="C5" s="6"/>
      <c r="D5" s="5">
        <f>KPI!B5</f>
        <v>0.17599999999999999</v>
      </c>
      <c r="E5" s="5"/>
      <c r="F5" s="5"/>
      <c r="G5" s="4">
        <f>KPI!B7</f>
        <v>1073060</v>
      </c>
      <c r="H5" s="4"/>
      <c r="I5" s="4"/>
      <c r="J5" s="3">
        <f>KPI!B9</f>
        <v>3.58</v>
      </c>
      <c r="K5" s="3"/>
      <c r="L5" s="3"/>
      <c r="M5" s="2">
        <f>KPI!B10</f>
        <v>14.9</v>
      </c>
      <c r="N5" s="2"/>
      <c r="O5" s="2"/>
    </row>
    <row r="6" spans="1:15" ht="21.75" customHeight="1" x14ac:dyDescent="0.3">
      <c r="A6" s="6"/>
      <c r="B6" s="6"/>
      <c r="C6" s="6"/>
      <c r="D6" s="5"/>
      <c r="E6" s="5"/>
      <c r="F6" s="5"/>
      <c r="G6" s="4"/>
      <c r="H6" s="4"/>
      <c r="I6" s="4"/>
      <c r="J6" s="3"/>
      <c r="K6" s="3"/>
      <c r="L6" s="3"/>
      <c r="M6" s="2"/>
      <c r="N6" s="2"/>
      <c r="O6" s="2"/>
    </row>
    <row r="9" spans="1:15" ht="15" customHeight="1" x14ac:dyDescent="0.3">
      <c r="A9" s="13" t="s">
        <v>6</v>
      </c>
      <c r="D9" s="14" t="s">
        <v>7</v>
      </c>
    </row>
    <row r="10" spans="1:15" ht="15" customHeight="1" x14ac:dyDescent="0.3">
      <c r="A10" s="15" t="s">
        <v>8</v>
      </c>
      <c r="D10" s="16">
        <f>IF($D$9="All",KPI!B3,COUNTIF(Clean_Data!$H$2:$H$1001,$D$9))</f>
        <v>1000</v>
      </c>
    </row>
    <row r="11" spans="1:15" ht="15" customHeight="1" x14ac:dyDescent="0.3">
      <c r="A11" s="15" t="s">
        <v>9</v>
      </c>
      <c r="D11" s="17">
        <f>IF($D$9="All",KPI!B6,ROUND(AVERAGEIF(Clean_Data!$H$2:$H$1001,$D$9,Clean_Data!$M$2:$M$1001),0))</f>
        <v>79452</v>
      </c>
    </row>
    <row r="12" spans="1:15" ht="15" customHeight="1" x14ac:dyDescent="0.3">
      <c r="A12" s="15" t="s">
        <v>10</v>
      </c>
      <c r="D12" s="18">
        <f>IF($D$9="All",KPI!B5,COUNTIFS(Clean_Data!$H$2:$H$1001,$D$9,Clean_Data!$Q$2:$Q$1001,"Yes")/COUNTIF(Clean_Data!$H$2:$H$1001,$D$9))</f>
        <v>0.17599999999999999</v>
      </c>
    </row>
  </sheetData>
  <mergeCells count="11">
    <mergeCell ref="A5:C6"/>
    <mergeCell ref="D5:F6"/>
    <mergeCell ref="G5:I6"/>
    <mergeCell ref="J5:L6"/>
    <mergeCell ref="M5:O6"/>
    <mergeCell ref="A1:O2"/>
    <mergeCell ref="A4:C4"/>
    <mergeCell ref="D4:F4"/>
    <mergeCell ref="G4:I4"/>
    <mergeCell ref="J4:L4"/>
    <mergeCell ref="M4:O4"/>
  </mergeCells>
  <dataValidations count="1">
    <dataValidation type="list" error="Choose a department from the list" prompt="Pick a department to filter the KPIs below" sqref="D9" xr:uid="{00000000-0002-0000-0000-000000000000}">
      <formula1>"All,Engineering,Finance,HR,Operations,Sales"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1"/>
  <sheetViews>
    <sheetView tabSelected="1" zoomScaleNormal="100" workbookViewId="0">
      <pane ySplit="1" topLeftCell="A14" activePane="bottomLeft" state="frozen"/>
      <selection pane="bottomLeft" activeCell="W3" sqref="W3"/>
    </sheetView>
  </sheetViews>
  <sheetFormatPr defaultColWidth="8.6640625" defaultRowHeight="14.4" x14ac:dyDescent="0.3"/>
  <cols>
    <col min="1" max="1" width="22.33203125" customWidth="1"/>
    <col min="2" max="2" width="22" customWidth="1"/>
    <col min="3" max="3" width="19.33203125" customWidth="1"/>
    <col min="4" max="4" width="12.5546875" customWidth="1"/>
    <col min="5" max="5" width="14" style="37" customWidth="1"/>
    <col min="6" max="7" width="16.33203125" customWidth="1"/>
    <col min="8" max="8" width="19" customWidth="1"/>
    <col min="9" max="9" width="21.44140625" customWidth="1"/>
    <col min="10" max="10" width="28.6640625" customWidth="1"/>
    <col min="11" max="11" width="20.33203125" style="37" customWidth="1"/>
    <col min="12" max="12" width="22.77734375" customWidth="1"/>
    <col min="13" max="13" width="22.44140625" customWidth="1"/>
    <col min="14" max="14" width="22.21875" customWidth="1"/>
    <col min="15" max="15" width="19" customWidth="1"/>
    <col min="16" max="16" width="25.33203125" customWidth="1"/>
    <col min="17" max="17" width="18.33203125" customWidth="1"/>
    <col min="18" max="18" width="17.5546875" style="37" customWidth="1"/>
    <col min="19" max="19" width="21" style="37" customWidth="1"/>
    <col min="20" max="20" width="22.88671875" customWidth="1"/>
    <col min="21" max="21" width="19.44140625" customWidth="1"/>
    <col min="22" max="22" width="23.33203125" customWidth="1"/>
  </cols>
  <sheetData>
    <row r="1" spans="1:22" ht="15" customHeight="1" x14ac:dyDescent="0.3">
      <c r="A1" s="19" t="s">
        <v>11</v>
      </c>
      <c r="B1" s="19" t="s">
        <v>12</v>
      </c>
      <c r="C1" s="19" t="s">
        <v>13</v>
      </c>
      <c r="D1" s="19" t="s">
        <v>14</v>
      </c>
      <c r="E1" s="19" t="s">
        <v>15</v>
      </c>
      <c r="F1" s="19" t="s">
        <v>16</v>
      </c>
      <c r="G1" s="19" t="s">
        <v>17</v>
      </c>
      <c r="H1" s="19" t="s">
        <v>18</v>
      </c>
      <c r="I1" s="19" t="s">
        <v>19</v>
      </c>
      <c r="J1" s="19" t="s">
        <v>20</v>
      </c>
      <c r="K1" s="19" t="s">
        <v>21</v>
      </c>
      <c r="L1" s="19" t="s">
        <v>22</v>
      </c>
      <c r="M1" s="19" t="s">
        <v>23</v>
      </c>
      <c r="N1" s="19" t="s">
        <v>24</v>
      </c>
      <c r="O1" s="19" t="s">
        <v>25</v>
      </c>
      <c r="P1" s="19" t="s">
        <v>26</v>
      </c>
      <c r="Q1" s="19" t="s">
        <v>27</v>
      </c>
      <c r="R1" s="19" t="s">
        <v>28</v>
      </c>
      <c r="S1" s="19" t="s">
        <v>29</v>
      </c>
      <c r="T1" s="19" t="s">
        <v>30</v>
      </c>
      <c r="U1" s="19" t="s">
        <v>31</v>
      </c>
      <c r="V1" s="19" t="s">
        <v>32</v>
      </c>
    </row>
    <row r="2" spans="1:22" ht="15" customHeight="1" x14ac:dyDescent="0.3">
      <c r="A2" t="s">
        <v>33</v>
      </c>
      <c r="B2" s="20">
        <v>45669</v>
      </c>
      <c r="C2" t="s">
        <v>34</v>
      </c>
      <c r="D2" t="s">
        <v>35</v>
      </c>
      <c r="E2" s="37">
        <v>29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s="37">
        <v>10</v>
      </c>
      <c r="L2" t="s">
        <v>41</v>
      </c>
      <c r="M2" s="21">
        <v>38100</v>
      </c>
      <c r="N2" s="21">
        <v>530352</v>
      </c>
      <c r="O2" s="21">
        <v>73152</v>
      </c>
      <c r="P2">
        <v>1</v>
      </c>
      <c r="Q2" t="s">
        <v>42</v>
      </c>
      <c r="R2" s="37">
        <v>11</v>
      </c>
      <c r="S2" s="37">
        <v>29</v>
      </c>
      <c r="T2" t="s">
        <v>43</v>
      </c>
      <c r="U2" t="s">
        <v>44</v>
      </c>
      <c r="V2" t="s">
        <v>45</v>
      </c>
    </row>
    <row r="3" spans="1:22" ht="15" customHeight="1" x14ac:dyDescent="0.3">
      <c r="A3" t="s">
        <v>46</v>
      </c>
      <c r="B3" s="20">
        <v>45939</v>
      </c>
      <c r="C3" t="s">
        <v>47</v>
      </c>
      <c r="D3" t="s">
        <v>48</v>
      </c>
      <c r="E3" s="37">
        <v>48</v>
      </c>
      <c r="F3" t="s">
        <v>49</v>
      </c>
      <c r="G3" t="s">
        <v>50</v>
      </c>
      <c r="H3" t="s">
        <v>38</v>
      </c>
      <c r="I3" t="s">
        <v>51</v>
      </c>
      <c r="J3" t="s">
        <v>40</v>
      </c>
      <c r="K3" s="37">
        <v>11</v>
      </c>
      <c r="L3" t="s">
        <v>52</v>
      </c>
      <c r="M3" s="21">
        <v>228200</v>
      </c>
      <c r="N3" s="21">
        <v>2902704</v>
      </c>
      <c r="O3" s="21">
        <v>164304</v>
      </c>
      <c r="P3">
        <v>4</v>
      </c>
      <c r="Q3" t="s">
        <v>42</v>
      </c>
      <c r="R3" s="37">
        <v>6</v>
      </c>
      <c r="S3" s="37">
        <v>17</v>
      </c>
      <c r="T3" t="s">
        <v>53</v>
      </c>
      <c r="U3" t="s">
        <v>54</v>
      </c>
      <c r="V3" t="s">
        <v>45</v>
      </c>
    </row>
    <row r="4" spans="1:22" ht="15" customHeight="1" x14ac:dyDescent="0.3">
      <c r="A4" t="s">
        <v>55</v>
      </c>
      <c r="B4" s="20">
        <v>45761</v>
      </c>
      <c r="C4" t="s">
        <v>56</v>
      </c>
      <c r="D4" t="s">
        <v>35</v>
      </c>
      <c r="E4" s="37">
        <v>49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 s="37">
        <v>13</v>
      </c>
      <c r="L4" t="s">
        <v>52</v>
      </c>
      <c r="M4" s="21">
        <v>110300</v>
      </c>
      <c r="N4" s="21">
        <v>1535376</v>
      </c>
      <c r="O4" s="21">
        <v>211776</v>
      </c>
      <c r="P4">
        <v>3</v>
      </c>
      <c r="Q4" t="s">
        <v>42</v>
      </c>
      <c r="R4" s="37">
        <v>3</v>
      </c>
      <c r="S4" s="37">
        <v>28</v>
      </c>
      <c r="T4" t="s">
        <v>62</v>
      </c>
      <c r="U4" t="s">
        <v>63</v>
      </c>
      <c r="V4" t="s">
        <v>45</v>
      </c>
    </row>
    <row r="5" spans="1:22" ht="15" customHeight="1" x14ac:dyDescent="0.3">
      <c r="A5" t="s">
        <v>64</v>
      </c>
      <c r="B5" s="20">
        <v>45669</v>
      </c>
      <c r="C5" t="s">
        <v>65</v>
      </c>
      <c r="D5" t="s">
        <v>48</v>
      </c>
      <c r="E5" s="37">
        <v>35</v>
      </c>
      <c r="F5" t="s">
        <v>57</v>
      </c>
      <c r="G5" t="s">
        <v>58</v>
      </c>
      <c r="H5" t="s">
        <v>66</v>
      </c>
      <c r="I5" t="s">
        <v>51</v>
      </c>
      <c r="J5" t="s">
        <v>67</v>
      </c>
      <c r="K5" s="37">
        <v>15</v>
      </c>
      <c r="L5" t="s">
        <v>52</v>
      </c>
      <c r="M5" s="21">
        <v>257400</v>
      </c>
      <c r="N5" s="21">
        <v>3521232</v>
      </c>
      <c r="O5" s="21">
        <v>432432</v>
      </c>
      <c r="P5">
        <v>5</v>
      </c>
      <c r="Q5" t="s">
        <v>42</v>
      </c>
      <c r="R5" s="37">
        <v>12</v>
      </c>
      <c r="S5" s="37">
        <v>40</v>
      </c>
      <c r="T5" t="s">
        <v>68</v>
      </c>
      <c r="U5" t="s">
        <v>44</v>
      </c>
      <c r="V5" t="s">
        <v>69</v>
      </c>
    </row>
    <row r="6" spans="1:22" ht="15" customHeight="1" x14ac:dyDescent="0.3">
      <c r="A6" t="s">
        <v>70</v>
      </c>
      <c r="B6" s="20">
        <v>45835</v>
      </c>
      <c r="C6" t="s">
        <v>71</v>
      </c>
      <c r="D6" t="s">
        <v>35</v>
      </c>
      <c r="E6" s="37">
        <v>38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s="37">
        <v>9</v>
      </c>
      <c r="L6" t="s">
        <v>52</v>
      </c>
      <c r="M6" s="21">
        <v>82200</v>
      </c>
      <c r="N6" s="21">
        <v>1163952</v>
      </c>
      <c r="O6" s="21">
        <v>177552</v>
      </c>
      <c r="P6">
        <v>4</v>
      </c>
      <c r="Q6" t="s">
        <v>42</v>
      </c>
      <c r="R6" s="37">
        <v>15</v>
      </c>
      <c r="S6" s="37">
        <v>22</v>
      </c>
      <c r="T6" t="s">
        <v>77</v>
      </c>
      <c r="U6" t="s">
        <v>63</v>
      </c>
      <c r="V6" t="s">
        <v>45</v>
      </c>
    </row>
    <row r="7" spans="1:22" ht="15" customHeight="1" x14ac:dyDescent="0.3">
      <c r="A7" t="s">
        <v>78</v>
      </c>
      <c r="B7" s="20">
        <v>45965</v>
      </c>
      <c r="C7" t="s">
        <v>79</v>
      </c>
      <c r="D7" t="s">
        <v>48</v>
      </c>
      <c r="E7" s="37">
        <v>35</v>
      </c>
      <c r="F7" t="s">
        <v>80</v>
      </c>
      <c r="G7" t="s">
        <v>81</v>
      </c>
      <c r="H7" t="s">
        <v>74</v>
      </c>
      <c r="I7" t="s">
        <v>82</v>
      </c>
      <c r="J7" t="s">
        <v>83</v>
      </c>
      <c r="K7" s="37">
        <v>8</v>
      </c>
      <c r="L7" t="s">
        <v>52</v>
      </c>
      <c r="M7" s="21">
        <v>53100</v>
      </c>
      <c r="N7" s="21">
        <v>713664</v>
      </c>
      <c r="O7" s="21">
        <v>76464</v>
      </c>
      <c r="P7">
        <v>3</v>
      </c>
      <c r="Q7" t="s">
        <v>42</v>
      </c>
      <c r="R7" s="37">
        <v>16</v>
      </c>
      <c r="S7" s="37">
        <v>31</v>
      </c>
      <c r="T7" t="s">
        <v>53</v>
      </c>
      <c r="U7" t="s">
        <v>54</v>
      </c>
      <c r="V7" t="s">
        <v>69</v>
      </c>
    </row>
    <row r="8" spans="1:22" ht="15" customHeight="1" x14ac:dyDescent="0.3">
      <c r="A8" t="s">
        <v>84</v>
      </c>
      <c r="B8" s="20">
        <v>45760</v>
      </c>
      <c r="C8" t="s">
        <v>85</v>
      </c>
      <c r="D8" t="s">
        <v>48</v>
      </c>
      <c r="E8" s="37">
        <v>43</v>
      </c>
      <c r="F8" t="s">
        <v>86</v>
      </c>
      <c r="G8" t="s">
        <v>87</v>
      </c>
      <c r="H8" t="s">
        <v>59</v>
      </c>
      <c r="I8" t="s">
        <v>39</v>
      </c>
      <c r="J8" t="s">
        <v>88</v>
      </c>
      <c r="K8" s="37">
        <v>5</v>
      </c>
      <c r="L8" t="s">
        <v>52</v>
      </c>
      <c r="M8" s="21">
        <v>30100</v>
      </c>
      <c r="N8" s="21">
        <v>400932</v>
      </c>
      <c r="O8" s="21">
        <v>39732</v>
      </c>
      <c r="P8">
        <v>5</v>
      </c>
      <c r="Q8" t="s">
        <v>42</v>
      </c>
      <c r="R8" s="37">
        <v>6</v>
      </c>
      <c r="S8" s="37">
        <v>32</v>
      </c>
      <c r="T8" t="s">
        <v>68</v>
      </c>
      <c r="U8" t="s">
        <v>44</v>
      </c>
      <c r="V8" t="s">
        <v>69</v>
      </c>
    </row>
    <row r="9" spans="1:22" ht="15" customHeight="1" x14ac:dyDescent="0.3">
      <c r="A9" t="s">
        <v>89</v>
      </c>
      <c r="B9" s="20">
        <v>45681</v>
      </c>
      <c r="C9" t="s">
        <v>90</v>
      </c>
      <c r="D9" t="s">
        <v>48</v>
      </c>
      <c r="E9" s="37">
        <v>29</v>
      </c>
      <c r="F9" t="s">
        <v>91</v>
      </c>
      <c r="G9" t="s">
        <v>92</v>
      </c>
      <c r="H9" t="s">
        <v>66</v>
      </c>
      <c r="I9" t="s">
        <v>75</v>
      </c>
      <c r="J9" t="s">
        <v>93</v>
      </c>
      <c r="K9" s="37">
        <v>11</v>
      </c>
      <c r="L9" t="s">
        <v>52</v>
      </c>
      <c r="M9" s="21">
        <v>89600</v>
      </c>
      <c r="N9" s="21">
        <v>1161216</v>
      </c>
      <c r="O9" s="21">
        <v>86016</v>
      </c>
      <c r="P9">
        <v>4</v>
      </c>
      <c r="Q9" t="s">
        <v>42</v>
      </c>
      <c r="R9" s="37">
        <v>16</v>
      </c>
      <c r="S9" s="37">
        <v>11</v>
      </c>
      <c r="T9" t="s">
        <v>94</v>
      </c>
      <c r="U9" t="s">
        <v>63</v>
      </c>
      <c r="V9" t="s">
        <v>69</v>
      </c>
    </row>
    <row r="10" spans="1:22" ht="15" customHeight="1" x14ac:dyDescent="0.3">
      <c r="A10" t="s">
        <v>95</v>
      </c>
      <c r="B10" s="20">
        <v>45830</v>
      </c>
      <c r="C10" t="s">
        <v>96</v>
      </c>
      <c r="D10" t="s">
        <v>35</v>
      </c>
      <c r="E10" s="37">
        <v>23</v>
      </c>
      <c r="F10" t="s">
        <v>97</v>
      </c>
      <c r="G10" t="s">
        <v>98</v>
      </c>
      <c r="H10" t="s">
        <v>38</v>
      </c>
      <c r="I10" t="s">
        <v>82</v>
      </c>
      <c r="J10" t="s">
        <v>99</v>
      </c>
      <c r="K10" s="37">
        <v>18</v>
      </c>
      <c r="L10" t="s">
        <v>52</v>
      </c>
      <c r="M10" s="21">
        <v>58400</v>
      </c>
      <c r="N10" s="21">
        <v>784896</v>
      </c>
      <c r="O10" s="21">
        <v>84096</v>
      </c>
      <c r="P10">
        <v>4</v>
      </c>
      <c r="Q10" t="s">
        <v>42</v>
      </c>
      <c r="R10" s="37">
        <v>10</v>
      </c>
      <c r="S10" s="37">
        <v>16</v>
      </c>
      <c r="T10" t="s">
        <v>43</v>
      </c>
      <c r="U10" t="s">
        <v>44</v>
      </c>
      <c r="V10" t="s">
        <v>45</v>
      </c>
    </row>
    <row r="11" spans="1:22" ht="15" customHeight="1" x14ac:dyDescent="0.3">
      <c r="A11" t="s">
        <v>100</v>
      </c>
      <c r="B11" s="20">
        <v>45870</v>
      </c>
      <c r="C11" t="s">
        <v>101</v>
      </c>
      <c r="D11" t="s">
        <v>35</v>
      </c>
      <c r="E11" s="37">
        <v>54</v>
      </c>
      <c r="F11" t="s">
        <v>91</v>
      </c>
      <c r="G11" t="s">
        <v>92</v>
      </c>
      <c r="H11" t="s">
        <v>66</v>
      </c>
      <c r="I11" t="s">
        <v>39</v>
      </c>
      <c r="J11" t="s">
        <v>67</v>
      </c>
      <c r="K11" s="37">
        <v>2</v>
      </c>
      <c r="L11" t="s">
        <v>52</v>
      </c>
      <c r="M11" s="21">
        <v>45100</v>
      </c>
      <c r="N11" s="21">
        <v>568260</v>
      </c>
      <c r="O11" s="21">
        <v>27060</v>
      </c>
      <c r="P11">
        <v>4</v>
      </c>
      <c r="Q11" t="s">
        <v>42</v>
      </c>
      <c r="R11" s="37">
        <v>6</v>
      </c>
      <c r="S11" s="37">
        <v>40</v>
      </c>
      <c r="T11" t="s">
        <v>68</v>
      </c>
      <c r="U11" t="s">
        <v>44</v>
      </c>
      <c r="V11" t="s">
        <v>45</v>
      </c>
    </row>
    <row r="12" spans="1:22" ht="15" customHeight="1" x14ac:dyDescent="0.3">
      <c r="A12" t="s">
        <v>102</v>
      </c>
      <c r="B12" s="20">
        <v>45771</v>
      </c>
      <c r="C12" t="s">
        <v>103</v>
      </c>
      <c r="D12" t="s">
        <v>48</v>
      </c>
      <c r="E12" s="37">
        <v>56</v>
      </c>
      <c r="F12" t="s">
        <v>57</v>
      </c>
      <c r="G12" t="s">
        <v>58</v>
      </c>
      <c r="H12" t="s">
        <v>59</v>
      </c>
      <c r="I12" t="s">
        <v>75</v>
      </c>
      <c r="J12" t="s">
        <v>104</v>
      </c>
      <c r="K12" s="37">
        <v>19</v>
      </c>
      <c r="L12" t="s">
        <v>52</v>
      </c>
      <c r="M12" s="21">
        <v>74000</v>
      </c>
      <c r="N12" s="21">
        <v>941280</v>
      </c>
      <c r="O12" s="21">
        <v>53280</v>
      </c>
      <c r="P12">
        <v>5</v>
      </c>
      <c r="Q12" t="s">
        <v>42</v>
      </c>
      <c r="R12" s="37">
        <v>8</v>
      </c>
      <c r="S12" s="37">
        <v>40</v>
      </c>
      <c r="T12" t="s">
        <v>105</v>
      </c>
      <c r="U12" t="s">
        <v>63</v>
      </c>
      <c r="V12" t="s">
        <v>45</v>
      </c>
    </row>
    <row r="13" spans="1:22" ht="15" customHeight="1" x14ac:dyDescent="0.3">
      <c r="A13" t="s">
        <v>106</v>
      </c>
      <c r="B13" s="20">
        <v>45748</v>
      </c>
      <c r="C13" t="s">
        <v>107</v>
      </c>
      <c r="D13" t="s">
        <v>35</v>
      </c>
      <c r="E13" s="37">
        <v>32</v>
      </c>
      <c r="F13" t="s">
        <v>108</v>
      </c>
      <c r="G13" t="s">
        <v>109</v>
      </c>
      <c r="H13" t="s">
        <v>38</v>
      </c>
      <c r="I13" t="s">
        <v>60</v>
      </c>
      <c r="J13" t="s">
        <v>110</v>
      </c>
      <c r="K13" s="37">
        <v>29</v>
      </c>
      <c r="L13" t="s">
        <v>52</v>
      </c>
      <c r="M13" s="21">
        <v>115700</v>
      </c>
      <c r="N13" s="21">
        <v>1596659</v>
      </c>
      <c r="O13" s="21">
        <v>208260</v>
      </c>
      <c r="P13">
        <v>1</v>
      </c>
      <c r="Q13" t="s">
        <v>42</v>
      </c>
      <c r="R13" s="37">
        <v>17</v>
      </c>
      <c r="S13" s="37">
        <v>1</v>
      </c>
      <c r="T13" t="s">
        <v>43</v>
      </c>
      <c r="U13" t="s">
        <v>44</v>
      </c>
      <c r="V13" t="s">
        <v>45</v>
      </c>
    </row>
    <row r="14" spans="1:22" ht="15" customHeight="1" x14ac:dyDescent="0.3">
      <c r="A14" t="s">
        <v>111</v>
      </c>
      <c r="B14" s="20">
        <v>45662</v>
      </c>
      <c r="C14" t="s">
        <v>112</v>
      </c>
      <c r="D14" t="s">
        <v>35</v>
      </c>
      <c r="E14" s="37">
        <v>41</v>
      </c>
      <c r="F14" t="s">
        <v>72</v>
      </c>
      <c r="G14" t="s">
        <v>73</v>
      </c>
      <c r="H14" t="s">
        <v>59</v>
      </c>
      <c r="I14" t="s">
        <v>60</v>
      </c>
      <c r="J14" t="s">
        <v>104</v>
      </c>
      <c r="K14" s="37">
        <v>0</v>
      </c>
      <c r="L14" t="s">
        <v>52</v>
      </c>
      <c r="M14" s="21">
        <v>126000</v>
      </c>
      <c r="N14" s="21">
        <v>1738799</v>
      </c>
      <c r="O14" s="21">
        <v>226800</v>
      </c>
      <c r="P14">
        <v>3</v>
      </c>
      <c r="Q14" t="s">
        <v>42</v>
      </c>
      <c r="R14" s="37">
        <v>5</v>
      </c>
      <c r="S14" s="37">
        <v>7</v>
      </c>
      <c r="T14" t="s">
        <v>62</v>
      </c>
      <c r="U14" t="s">
        <v>44</v>
      </c>
      <c r="V14" t="s">
        <v>45</v>
      </c>
    </row>
    <row r="15" spans="1:22" ht="15" customHeight="1" x14ac:dyDescent="0.3">
      <c r="A15" t="s">
        <v>113</v>
      </c>
      <c r="B15" s="20">
        <v>45800</v>
      </c>
      <c r="C15" t="s">
        <v>114</v>
      </c>
      <c r="D15" t="s">
        <v>35</v>
      </c>
      <c r="E15" s="37">
        <v>25</v>
      </c>
      <c r="F15" t="s">
        <v>80</v>
      </c>
      <c r="G15" t="s">
        <v>81</v>
      </c>
      <c r="H15" t="s">
        <v>74</v>
      </c>
      <c r="I15" t="s">
        <v>39</v>
      </c>
      <c r="J15" t="s">
        <v>115</v>
      </c>
      <c r="K15" s="37">
        <v>27</v>
      </c>
      <c r="L15" t="s">
        <v>52</v>
      </c>
      <c r="M15" s="21">
        <v>36300</v>
      </c>
      <c r="N15" s="21">
        <v>514008</v>
      </c>
      <c r="O15" s="21">
        <v>78408</v>
      </c>
      <c r="P15">
        <v>4</v>
      </c>
      <c r="Q15" t="s">
        <v>42</v>
      </c>
      <c r="R15" s="37">
        <v>16</v>
      </c>
      <c r="S15" s="37">
        <v>30</v>
      </c>
      <c r="T15" t="s">
        <v>105</v>
      </c>
      <c r="U15" t="s">
        <v>54</v>
      </c>
      <c r="V15" t="s">
        <v>69</v>
      </c>
    </row>
    <row r="16" spans="1:22" ht="15" customHeight="1" x14ac:dyDescent="0.3">
      <c r="A16" t="s">
        <v>116</v>
      </c>
      <c r="B16" s="20">
        <v>45864</v>
      </c>
      <c r="C16" t="s">
        <v>117</v>
      </c>
      <c r="D16" t="s">
        <v>35</v>
      </c>
      <c r="E16" s="37">
        <v>46</v>
      </c>
      <c r="F16" t="s">
        <v>49</v>
      </c>
      <c r="G16" t="s">
        <v>50</v>
      </c>
      <c r="H16" t="s">
        <v>118</v>
      </c>
      <c r="I16" t="s">
        <v>75</v>
      </c>
      <c r="J16" t="s">
        <v>119</v>
      </c>
      <c r="K16" s="37">
        <v>14</v>
      </c>
      <c r="L16" t="s">
        <v>120</v>
      </c>
      <c r="M16" s="21">
        <v>73100</v>
      </c>
      <c r="N16" s="21">
        <v>991235</v>
      </c>
      <c r="O16" s="21">
        <v>114036</v>
      </c>
      <c r="P16">
        <v>5</v>
      </c>
      <c r="Q16" t="s">
        <v>42</v>
      </c>
      <c r="R16" s="37">
        <v>0</v>
      </c>
      <c r="S16" s="37">
        <v>8</v>
      </c>
      <c r="T16" t="s">
        <v>43</v>
      </c>
      <c r="U16" t="s">
        <v>44</v>
      </c>
      <c r="V16" t="s">
        <v>69</v>
      </c>
    </row>
    <row r="17" spans="1:22" ht="15" customHeight="1" x14ac:dyDescent="0.3">
      <c r="A17" t="s">
        <v>121</v>
      </c>
      <c r="B17" s="20">
        <v>45890</v>
      </c>
      <c r="C17" t="s">
        <v>122</v>
      </c>
      <c r="D17" t="s">
        <v>48</v>
      </c>
      <c r="E17" s="37">
        <v>57</v>
      </c>
      <c r="F17" t="s">
        <v>123</v>
      </c>
      <c r="G17" t="s">
        <v>124</v>
      </c>
      <c r="H17" t="s">
        <v>59</v>
      </c>
      <c r="I17" t="s">
        <v>75</v>
      </c>
      <c r="J17" t="s">
        <v>125</v>
      </c>
      <c r="K17" s="37">
        <v>18</v>
      </c>
      <c r="L17" t="s">
        <v>52</v>
      </c>
      <c r="M17" s="21">
        <v>78200</v>
      </c>
      <c r="N17" s="21">
        <v>994704</v>
      </c>
      <c r="O17" s="21">
        <v>56304</v>
      </c>
      <c r="P17">
        <v>4</v>
      </c>
      <c r="Q17" t="s">
        <v>126</v>
      </c>
      <c r="R17" s="37">
        <v>16</v>
      </c>
      <c r="S17" s="37">
        <v>5</v>
      </c>
      <c r="T17" t="s">
        <v>43</v>
      </c>
      <c r="U17" t="s">
        <v>63</v>
      </c>
      <c r="V17" t="s">
        <v>69</v>
      </c>
    </row>
    <row r="18" spans="1:22" ht="15" customHeight="1" x14ac:dyDescent="0.3">
      <c r="A18" t="s">
        <v>127</v>
      </c>
      <c r="B18" s="20">
        <v>45800</v>
      </c>
      <c r="C18" t="s">
        <v>128</v>
      </c>
      <c r="D18" t="s">
        <v>35</v>
      </c>
      <c r="E18" s="37">
        <v>25</v>
      </c>
      <c r="F18" t="s">
        <v>97</v>
      </c>
      <c r="G18" t="s">
        <v>98</v>
      </c>
      <c r="H18" t="s">
        <v>38</v>
      </c>
      <c r="I18" t="s">
        <v>82</v>
      </c>
      <c r="J18" t="s">
        <v>40</v>
      </c>
      <c r="K18" s="37">
        <v>22</v>
      </c>
      <c r="L18" t="s">
        <v>52</v>
      </c>
      <c r="M18" s="21">
        <v>49600</v>
      </c>
      <c r="N18" s="21">
        <v>714240</v>
      </c>
      <c r="O18" s="21">
        <v>119040</v>
      </c>
      <c r="P18">
        <v>4</v>
      </c>
      <c r="Q18" t="s">
        <v>126</v>
      </c>
      <c r="R18" s="37">
        <v>18</v>
      </c>
      <c r="S18" s="37">
        <v>27</v>
      </c>
      <c r="T18" t="s">
        <v>129</v>
      </c>
      <c r="U18" t="s">
        <v>44</v>
      </c>
      <c r="V18" t="s">
        <v>69</v>
      </c>
    </row>
    <row r="19" spans="1:22" ht="15" customHeight="1" x14ac:dyDescent="0.3">
      <c r="A19" t="s">
        <v>130</v>
      </c>
      <c r="B19" s="20">
        <v>45914</v>
      </c>
      <c r="C19" t="s">
        <v>131</v>
      </c>
      <c r="D19" t="s">
        <v>35</v>
      </c>
      <c r="E19" s="37">
        <v>22</v>
      </c>
      <c r="F19" t="s">
        <v>86</v>
      </c>
      <c r="G19" t="s">
        <v>87</v>
      </c>
      <c r="H19" t="s">
        <v>38</v>
      </c>
      <c r="I19" t="s">
        <v>39</v>
      </c>
      <c r="J19" t="s">
        <v>99</v>
      </c>
      <c r="K19" s="37">
        <v>7</v>
      </c>
      <c r="L19" t="s">
        <v>120</v>
      </c>
      <c r="M19" s="21">
        <v>38600</v>
      </c>
      <c r="N19" s="21">
        <v>523415</v>
      </c>
      <c r="O19" s="21">
        <v>60216</v>
      </c>
      <c r="P19">
        <v>4</v>
      </c>
      <c r="Q19" t="s">
        <v>42</v>
      </c>
      <c r="R19" s="37">
        <v>2</v>
      </c>
      <c r="S19" s="37">
        <v>11</v>
      </c>
      <c r="T19" t="s">
        <v>129</v>
      </c>
      <c r="U19" t="s">
        <v>44</v>
      </c>
      <c r="V19" t="s">
        <v>45</v>
      </c>
    </row>
    <row r="20" spans="1:22" ht="15" customHeight="1" x14ac:dyDescent="0.3">
      <c r="A20" t="s">
        <v>132</v>
      </c>
      <c r="B20" s="20">
        <v>45742</v>
      </c>
      <c r="C20" t="s">
        <v>133</v>
      </c>
      <c r="D20" t="s">
        <v>35</v>
      </c>
      <c r="E20" s="37">
        <v>51</v>
      </c>
      <c r="F20" t="s">
        <v>123</v>
      </c>
      <c r="G20" t="s">
        <v>124</v>
      </c>
      <c r="H20" t="s">
        <v>38</v>
      </c>
      <c r="I20" t="s">
        <v>39</v>
      </c>
      <c r="J20" t="s">
        <v>134</v>
      </c>
      <c r="K20" s="37">
        <v>15</v>
      </c>
      <c r="L20" t="s">
        <v>52</v>
      </c>
      <c r="M20" s="21">
        <v>34500</v>
      </c>
      <c r="N20" s="21">
        <v>463680</v>
      </c>
      <c r="O20" s="21">
        <v>49680</v>
      </c>
      <c r="P20">
        <v>4</v>
      </c>
      <c r="Q20" t="s">
        <v>126</v>
      </c>
      <c r="R20" s="37">
        <v>4</v>
      </c>
      <c r="S20" s="37">
        <v>35</v>
      </c>
      <c r="T20" t="s">
        <v>62</v>
      </c>
      <c r="U20" t="s">
        <v>44</v>
      </c>
      <c r="V20" t="s">
        <v>69</v>
      </c>
    </row>
    <row r="21" spans="1:22" ht="15" customHeight="1" x14ac:dyDescent="0.3">
      <c r="A21" t="s">
        <v>135</v>
      </c>
      <c r="B21" s="20">
        <v>45973</v>
      </c>
      <c r="C21" t="s">
        <v>136</v>
      </c>
      <c r="D21" t="s">
        <v>35</v>
      </c>
      <c r="E21" s="37">
        <v>25</v>
      </c>
      <c r="F21" t="s">
        <v>72</v>
      </c>
      <c r="G21" t="s">
        <v>73</v>
      </c>
      <c r="H21" t="s">
        <v>118</v>
      </c>
      <c r="I21" t="s">
        <v>51</v>
      </c>
      <c r="J21" t="s">
        <v>137</v>
      </c>
      <c r="K21" s="37">
        <v>26</v>
      </c>
      <c r="L21" t="s">
        <v>52</v>
      </c>
      <c r="M21" s="21">
        <v>223600</v>
      </c>
      <c r="N21" s="21">
        <v>3058848</v>
      </c>
      <c r="O21" s="21">
        <v>375648</v>
      </c>
      <c r="P21">
        <v>2</v>
      </c>
      <c r="Q21" t="s">
        <v>42</v>
      </c>
      <c r="R21" s="37">
        <v>10</v>
      </c>
      <c r="S21" s="37">
        <v>36</v>
      </c>
      <c r="T21" t="s">
        <v>105</v>
      </c>
      <c r="U21" t="s">
        <v>138</v>
      </c>
      <c r="V21" t="s">
        <v>45</v>
      </c>
    </row>
    <row r="22" spans="1:22" ht="15" customHeight="1" x14ac:dyDescent="0.3">
      <c r="A22" t="s">
        <v>139</v>
      </c>
      <c r="B22" s="20">
        <v>45904</v>
      </c>
      <c r="C22" t="s">
        <v>140</v>
      </c>
      <c r="D22" t="s">
        <v>35</v>
      </c>
      <c r="E22" s="37">
        <v>23</v>
      </c>
      <c r="F22" t="s">
        <v>80</v>
      </c>
      <c r="G22" t="s">
        <v>81</v>
      </c>
      <c r="H22" t="s">
        <v>59</v>
      </c>
      <c r="I22" t="s">
        <v>82</v>
      </c>
      <c r="J22" t="s">
        <v>141</v>
      </c>
      <c r="K22" s="37">
        <v>7</v>
      </c>
      <c r="L22" t="s">
        <v>52</v>
      </c>
      <c r="M22" s="21">
        <v>56800</v>
      </c>
      <c r="N22" s="21">
        <v>749760</v>
      </c>
      <c r="O22" s="21">
        <v>68160</v>
      </c>
      <c r="P22">
        <v>3</v>
      </c>
      <c r="Q22" t="s">
        <v>42</v>
      </c>
      <c r="R22" s="37">
        <v>20</v>
      </c>
      <c r="S22" s="37">
        <v>10</v>
      </c>
      <c r="T22" t="s">
        <v>77</v>
      </c>
      <c r="U22" t="s">
        <v>63</v>
      </c>
      <c r="V22" t="s">
        <v>45</v>
      </c>
    </row>
    <row r="23" spans="1:22" ht="15" customHeight="1" x14ac:dyDescent="0.3">
      <c r="A23" t="s">
        <v>142</v>
      </c>
      <c r="B23" s="20">
        <v>45759</v>
      </c>
      <c r="C23" t="s">
        <v>143</v>
      </c>
      <c r="D23" t="s">
        <v>35</v>
      </c>
      <c r="E23" s="37">
        <v>56</v>
      </c>
      <c r="F23" t="s">
        <v>123</v>
      </c>
      <c r="G23" t="s">
        <v>124</v>
      </c>
      <c r="H23" t="s">
        <v>66</v>
      </c>
      <c r="I23" t="s">
        <v>75</v>
      </c>
      <c r="J23" t="s">
        <v>67</v>
      </c>
      <c r="K23" s="37">
        <v>11</v>
      </c>
      <c r="L23" t="s">
        <v>52</v>
      </c>
      <c r="M23" s="21">
        <v>112400</v>
      </c>
      <c r="N23" s="21">
        <v>1564608</v>
      </c>
      <c r="O23" s="21">
        <v>215808</v>
      </c>
      <c r="P23">
        <v>2</v>
      </c>
      <c r="Q23" t="s">
        <v>42</v>
      </c>
      <c r="R23" s="37">
        <v>19</v>
      </c>
      <c r="S23" s="37">
        <v>24</v>
      </c>
      <c r="T23" t="s">
        <v>43</v>
      </c>
      <c r="U23" t="s">
        <v>44</v>
      </c>
      <c r="V23" t="s">
        <v>69</v>
      </c>
    </row>
    <row r="24" spans="1:22" ht="15" customHeight="1" x14ac:dyDescent="0.3">
      <c r="A24" t="s">
        <v>144</v>
      </c>
      <c r="B24" s="20">
        <v>45787</v>
      </c>
      <c r="C24" t="s">
        <v>145</v>
      </c>
      <c r="D24" t="s">
        <v>48</v>
      </c>
      <c r="E24" s="37">
        <v>30</v>
      </c>
      <c r="F24" t="s">
        <v>57</v>
      </c>
      <c r="G24" t="s">
        <v>58</v>
      </c>
      <c r="H24" t="s">
        <v>118</v>
      </c>
      <c r="I24" t="s">
        <v>75</v>
      </c>
      <c r="J24" t="s">
        <v>137</v>
      </c>
      <c r="K24" s="37">
        <v>18</v>
      </c>
      <c r="L24" t="s">
        <v>52</v>
      </c>
      <c r="M24" s="21">
        <v>71300</v>
      </c>
      <c r="N24" s="21">
        <v>906936</v>
      </c>
      <c r="O24" s="21">
        <v>51336</v>
      </c>
      <c r="P24">
        <v>4</v>
      </c>
      <c r="Q24" t="s">
        <v>42</v>
      </c>
      <c r="R24" s="37">
        <v>20</v>
      </c>
      <c r="S24" s="37">
        <v>35</v>
      </c>
      <c r="T24" t="s">
        <v>146</v>
      </c>
      <c r="U24" t="s">
        <v>63</v>
      </c>
      <c r="V24" t="s">
        <v>45</v>
      </c>
    </row>
    <row r="25" spans="1:22" ht="15" customHeight="1" x14ac:dyDescent="0.3">
      <c r="A25" t="s">
        <v>147</v>
      </c>
      <c r="B25" s="20">
        <v>45783</v>
      </c>
      <c r="C25" t="s">
        <v>148</v>
      </c>
      <c r="D25" t="s">
        <v>48</v>
      </c>
      <c r="E25" s="37">
        <v>56</v>
      </c>
      <c r="F25" t="s">
        <v>57</v>
      </c>
      <c r="G25" t="s">
        <v>58</v>
      </c>
      <c r="H25" t="s">
        <v>66</v>
      </c>
      <c r="I25" t="s">
        <v>75</v>
      </c>
      <c r="J25" t="s">
        <v>149</v>
      </c>
      <c r="K25" s="37">
        <v>8</v>
      </c>
      <c r="L25" t="s">
        <v>52</v>
      </c>
      <c r="M25" s="21">
        <v>107200</v>
      </c>
      <c r="N25" s="21">
        <v>1376448</v>
      </c>
      <c r="O25" s="21">
        <v>90048</v>
      </c>
      <c r="P25">
        <v>2</v>
      </c>
      <c r="Q25" t="s">
        <v>42</v>
      </c>
      <c r="R25" s="37">
        <v>9</v>
      </c>
      <c r="S25" s="37">
        <v>8</v>
      </c>
      <c r="T25" t="s">
        <v>62</v>
      </c>
      <c r="U25" t="s">
        <v>54</v>
      </c>
      <c r="V25" t="s">
        <v>69</v>
      </c>
    </row>
    <row r="26" spans="1:22" ht="15" customHeight="1" x14ac:dyDescent="0.3">
      <c r="A26" t="s">
        <v>150</v>
      </c>
      <c r="B26" s="20">
        <v>45714</v>
      </c>
      <c r="C26" t="s">
        <v>151</v>
      </c>
      <c r="D26" t="s">
        <v>48</v>
      </c>
      <c r="E26" s="37">
        <v>22</v>
      </c>
      <c r="F26" t="s">
        <v>97</v>
      </c>
      <c r="G26" t="s">
        <v>98</v>
      </c>
      <c r="H26" t="s">
        <v>74</v>
      </c>
      <c r="I26" t="s">
        <v>51</v>
      </c>
      <c r="J26" t="s">
        <v>152</v>
      </c>
      <c r="K26" s="37">
        <v>12</v>
      </c>
      <c r="L26" t="s">
        <v>52</v>
      </c>
      <c r="M26" s="21">
        <v>226900</v>
      </c>
      <c r="N26" s="21">
        <v>2886168</v>
      </c>
      <c r="O26" s="21">
        <v>163368</v>
      </c>
      <c r="P26">
        <v>4</v>
      </c>
      <c r="Q26" t="s">
        <v>42</v>
      </c>
      <c r="R26" s="37">
        <v>9</v>
      </c>
      <c r="S26" s="37">
        <v>25</v>
      </c>
      <c r="T26" t="s">
        <v>105</v>
      </c>
      <c r="U26" t="s">
        <v>44</v>
      </c>
      <c r="V26" t="s">
        <v>45</v>
      </c>
    </row>
    <row r="27" spans="1:22" ht="15" customHeight="1" x14ac:dyDescent="0.3">
      <c r="A27" t="s">
        <v>153</v>
      </c>
      <c r="B27" s="20">
        <v>45750</v>
      </c>
      <c r="C27" t="s">
        <v>154</v>
      </c>
      <c r="D27" t="s">
        <v>48</v>
      </c>
      <c r="E27" s="37">
        <v>22</v>
      </c>
      <c r="F27" t="s">
        <v>80</v>
      </c>
      <c r="G27" t="s">
        <v>81</v>
      </c>
      <c r="H27" t="s">
        <v>59</v>
      </c>
      <c r="I27" t="s">
        <v>51</v>
      </c>
      <c r="J27" t="s">
        <v>125</v>
      </c>
      <c r="K27" s="37">
        <v>16</v>
      </c>
      <c r="L27" t="s">
        <v>52</v>
      </c>
      <c r="M27" s="21">
        <v>205000</v>
      </c>
      <c r="N27" s="21">
        <v>2755200</v>
      </c>
      <c r="O27" s="21">
        <v>295200</v>
      </c>
      <c r="P27">
        <v>4</v>
      </c>
      <c r="Q27" t="s">
        <v>42</v>
      </c>
      <c r="R27" s="37">
        <v>12</v>
      </c>
      <c r="S27" s="37">
        <v>20</v>
      </c>
      <c r="T27" t="s">
        <v>43</v>
      </c>
      <c r="U27" t="s">
        <v>54</v>
      </c>
      <c r="V27" t="s">
        <v>45</v>
      </c>
    </row>
    <row r="28" spans="1:22" ht="15" customHeight="1" x14ac:dyDescent="0.3">
      <c r="A28" t="s">
        <v>155</v>
      </c>
      <c r="B28" s="20">
        <v>45693</v>
      </c>
      <c r="C28" t="s">
        <v>156</v>
      </c>
      <c r="D28" t="s">
        <v>48</v>
      </c>
      <c r="E28" s="37">
        <v>35</v>
      </c>
      <c r="F28" t="s">
        <v>108</v>
      </c>
      <c r="G28" t="s">
        <v>109</v>
      </c>
      <c r="H28" t="s">
        <v>59</v>
      </c>
      <c r="I28" t="s">
        <v>82</v>
      </c>
      <c r="J28" t="s">
        <v>104</v>
      </c>
      <c r="K28" s="37">
        <v>10</v>
      </c>
      <c r="L28" t="s">
        <v>52</v>
      </c>
      <c r="M28" s="21">
        <v>62200</v>
      </c>
      <c r="N28" s="21">
        <v>880752</v>
      </c>
      <c r="O28" s="21">
        <v>134352</v>
      </c>
      <c r="P28">
        <v>4</v>
      </c>
      <c r="Q28" t="s">
        <v>42</v>
      </c>
      <c r="R28" s="37">
        <v>7</v>
      </c>
      <c r="S28" s="37">
        <v>27</v>
      </c>
      <c r="T28" t="s">
        <v>53</v>
      </c>
      <c r="U28" t="s">
        <v>63</v>
      </c>
      <c r="V28" t="s">
        <v>69</v>
      </c>
    </row>
    <row r="29" spans="1:22" ht="15" customHeight="1" x14ac:dyDescent="0.3">
      <c r="A29" t="s">
        <v>157</v>
      </c>
      <c r="B29" s="20">
        <v>45800</v>
      </c>
      <c r="C29" t="s">
        <v>158</v>
      </c>
      <c r="D29" t="s">
        <v>48</v>
      </c>
      <c r="E29" s="37">
        <v>54</v>
      </c>
      <c r="F29" t="s">
        <v>36</v>
      </c>
      <c r="G29" t="s">
        <v>37</v>
      </c>
      <c r="H29" t="s">
        <v>74</v>
      </c>
      <c r="I29" t="s">
        <v>75</v>
      </c>
      <c r="J29" t="s">
        <v>76</v>
      </c>
      <c r="K29" s="37">
        <v>12</v>
      </c>
      <c r="L29" t="s">
        <v>41</v>
      </c>
      <c r="M29" s="21">
        <v>108200</v>
      </c>
      <c r="N29" s="21">
        <v>1545096</v>
      </c>
      <c r="O29" s="21">
        <v>246696</v>
      </c>
      <c r="P29">
        <v>4</v>
      </c>
      <c r="Q29" t="s">
        <v>42</v>
      </c>
      <c r="R29" s="37">
        <v>1</v>
      </c>
      <c r="S29" s="37">
        <v>9</v>
      </c>
      <c r="T29" t="s">
        <v>77</v>
      </c>
      <c r="U29" t="s">
        <v>54</v>
      </c>
      <c r="V29" t="s">
        <v>45</v>
      </c>
    </row>
    <row r="30" spans="1:22" ht="15" customHeight="1" x14ac:dyDescent="0.3">
      <c r="A30" t="s">
        <v>159</v>
      </c>
      <c r="B30" s="20">
        <v>45737</v>
      </c>
      <c r="C30" t="s">
        <v>160</v>
      </c>
      <c r="D30" t="s">
        <v>35</v>
      </c>
      <c r="E30" s="37">
        <v>53</v>
      </c>
      <c r="F30" t="s">
        <v>108</v>
      </c>
      <c r="G30" t="s">
        <v>109</v>
      </c>
      <c r="H30" t="s">
        <v>66</v>
      </c>
      <c r="I30" t="s">
        <v>75</v>
      </c>
      <c r="J30" t="s">
        <v>161</v>
      </c>
      <c r="K30" s="37">
        <v>21</v>
      </c>
      <c r="L30" t="s">
        <v>41</v>
      </c>
      <c r="M30" s="21">
        <v>105300</v>
      </c>
      <c r="N30" s="21">
        <v>1339416</v>
      </c>
      <c r="O30" s="21">
        <v>75816</v>
      </c>
      <c r="P30">
        <v>2</v>
      </c>
      <c r="Q30" t="s">
        <v>126</v>
      </c>
      <c r="R30" s="37">
        <v>20</v>
      </c>
      <c r="S30" s="37">
        <v>5</v>
      </c>
      <c r="T30" t="s">
        <v>68</v>
      </c>
      <c r="U30" t="s">
        <v>63</v>
      </c>
      <c r="V30" t="s">
        <v>45</v>
      </c>
    </row>
    <row r="31" spans="1:22" ht="15" customHeight="1" x14ac:dyDescent="0.3">
      <c r="A31" t="s">
        <v>162</v>
      </c>
      <c r="B31" s="20">
        <v>45743</v>
      </c>
      <c r="C31" t="s">
        <v>163</v>
      </c>
      <c r="D31" t="s">
        <v>48</v>
      </c>
      <c r="E31" s="37">
        <v>31</v>
      </c>
      <c r="F31" t="s">
        <v>80</v>
      </c>
      <c r="G31" t="s">
        <v>81</v>
      </c>
      <c r="H31" t="s">
        <v>38</v>
      </c>
      <c r="I31" t="s">
        <v>82</v>
      </c>
      <c r="J31" t="s">
        <v>99</v>
      </c>
      <c r="K31" s="37">
        <v>18</v>
      </c>
      <c r="L31" t="s">
        <v>52</v>
      </c>
      <c r="M31" s="21">
        <v>51300</v>
      </c>
      <c r="N31" s="21">
        <v>726408</v>
      </c>
      <c r="O31" s="21">
        <v>110808</v>
      </c>
      <c r="P31">
        <v>4</v>
      </c>
      <c r="Q31" t="s">
        <v>126</v>
      </c>
      <c r="R31" s="37">
        <v>7</v>
      </c>
      <c r="S31" s="37">
        <v>38</v>
      </c>
      <c r="T31" t="s">
        <v>129</v>
      </c>
      <c r="U31" t="s">
        <v>63</v>
      </c>
      <c r="V31" t="s">
        <v>69</v>
      </c>
    </row>
    <row r="32" spans="1:22" ht="15" customHeight="1" x14ac:dyDescent="0.3">
      <c r="A32" t="s">
        <v>164</v>
      </c>
      <c r="B32" s="20">
        <v>45708</v>
      </c>
      <c r="C32" t="s">
        <v>165</v>
      </c>
      <c r="D32" t="s">
        <v>35</v>
      </c>
      <c r="E32" s="37">
        <v>26</v>
      </c>
      <c r="F32" t="s">
        <v>91</v>
      </c>
      <c r="G32" t="s">
        <v>92</v>
      </c>
      <c r="H32" t="s">
        <v>59</v>
      </c>
      <c r="I32" t="s">
        <v>82</v>
      </c>
      <c r="J32" t="s">
        <v>88</v>
      </c>
      <c r="K32" s="37">
        <v>20</v>
      </c>
      <c r="L32" t="s">
        <v>52</v>
      </c>
      <c r="M32" s="21">
        <v>59300</v>
      </c>
      <c r="N32" s="21">
        <v>846804</v>
      </c>
      <c r="O32" s="21">
        <v>135204</v>
      </c>
      <c r="P32">
        <v>4</v>
      </c>
      <c r="Q32" t="s">
        <v>42</v>
      </c>
      <c r="R32" s="37">
        <v>17</v>
      </c>
      <c r="S32" s="37">
        <v>33</v>
      </c>
      <c r="T32" t="s">
        <v>62</v>
      </c>
      <c r="U32" t="s">
        <v>44</v>
      </c>
      <c r="V32" t="s">
        <v>69</v>
      </c>
    </row>
    <row r="33" spans="1:22" ht="15" customHeight="1" x14ac:dyDescent="0.3">
      <c r="A33" t="s">
        <v>166</v>
      </c>
      <c r="B33" s="20">
        <v>45983</v>
      </c>
      <c r="C33" t="s">
        <v>167</v>
      </c>
      <c r="D33" t="s">
        <v>35</v>
      </c>
      <c r="E33" s="37">
        <v>51</v>
      </c>
      <c r="F33" t="s">
        <v>57</v>
      </c>
      <c r="G33" t="s">
        <v>58</v>
      </c>
      <c r="H33" t="s">
        <v>66</v>
      </c>
      <c r="I33" t="s">
        <v>75</v>
      </c>
      <c r="J33" t="s">
        <v>67</v>
      </c>
      <c r="K33" s="37">
        <v>3</v>
      </c>
      <c r="L33" t="s">
        <v>52</v>
      </c>
      <c r="M33" s="21">
        <v>116000</v>
      </c>
      <c r="N33" s="21">
        <v>1628640</v>
      </c>
      <c r="O33" s="21">
        <v>236640</v>
      </c>
      <c r="P33">
        <v>2</v>
      </c>
      <c r="Q33" t="s">
        <v>126</v>
      </c>
      <c r="R33" s="37">
        <v>5</v>
      </c>
      <c r="S33" s="37">
        <v>1</v>
      </c>
      <c r="T33" t="s">
        <v>105</v>
      </c>
      <c r="U33" t="s">
        <v>63</v>
      </c>
      <c r="V33" t="s">
        <v>69</v>
      </c>
    </row>
    <row r="34" spans="1:22" ht="15" customHeight="1" x14ac:dyDescent="0.3">
      <c r="A34" t="s">
        <v>168</v>
      </c>
      <c r="B34" s="20">
        <v>46017</v>
      </c>
      <c r="C34" t="s">
        <v>169</v>
      </c>
      <c r="D34" t="s">
        <v>48</v>
      </c>
      <c r="E34" s="37">
        <v>25</v>
      </c>
      <c r="F34" t="s">
        <v>72</v>
      </c>
      <c r="G34" t="s">
        <v>73</v>
      </c>
      <c r="H34" t="s">
        <v>66</v>
      </c>
      <c r="I34" t="s">
        <v>60</v>
      </c>
      <c r="J34" t="s">
        <v>170</v>
      </c>
      <c r="K34" s="37">
        <v>28</v>
      </c>
      <c r="L34" t="s">
        <v>120</v>
      </c>
      <c r="M34" s="21">
        <v>163000</v>
      </c>
      <c r="N34" s="21">
        <v>2112480</v>
      </c>
      <c r="O34" s="21">
        <v>156480</v>
      </c>
      <c r="P34">
        <v>4</v>
      </c>
      <c r="Q34" t="s">
        <v>42</v>
      </c>
      <c r="R34" s="37">
        <v>9</v>
      </c>
      <c r="S34" s="37">
        <v>21</v>
      </c>
      <c r="T34" t="s">
        <v>146</v>
      </c>
      <c r="U34" t="s">
        <v>63</v>
      </c>
      <c r="V34" t="s">
        <v>45</v>
      </c>
    </row>
    <row r="35" spans="1:22" ht="15" customHeight="1" x14ac:dyDescent="0.3">
      <c r="A35" t="s">
        <v>171</v>
      </c>
      <c r="B35" s="20">
        <v>45852</v>
      </c>
      <c r="C35" t="s">
        <v>172</v>
      </c>
      <c r="D35" t="s">
        <v>48</v>
      </c>
      <c r="E35" s="37">
        <v>47</v>
      </c>
      <c r="F35" t="s">
        <v>91</v>
      </c>
      <c r="G35" t="s">
        <v>92</v>
      </c>
      <c r="H35" t="s">
        <v>38</v>
      </c>
      <c r="I35" t="s">
        <v>82</v>
      </c>
      <c r="J35" t="s">
        <v>40</v>
      </c>
      <c r="K35" s="37">
        <v>30</v>
      </c>
      <c r="L35" t="s">
        <v>52</v>
      </c>
      <c r="M35" s="21">
        <v>46800</v>
      </c>
      <c r="N35" s="21">
        <v>662688</v>
      </c>
      <c r="O35" s="21">
        <v>101088</v>
      </c>
      <c r="P35">
        <v>2</v>
      </c>
      <c r="Q35" t="s">
        <v>42</v>
      </c>
      <c r="R35" s="37">
        <v>19</v>
      </c>
      <c r="S35" s="37">
        <v>14</v>
      </c>
      <c r="T35" t="s">
        <v>77</v>
      </c>
      <c r="U35" t="s">
        <v>63</v>
      </c>
      <c r="V35" t="s">
        <v>45</v>
      </c>
    </row>
    <row r="36" spans="1:22" ht="15" customHeight="1" x14ac:dyDescent="0.3">
      <c r="A36" t="s">
        <v>173</v>
      </c>
      <c r="B36" s="20">
        <v>46016</v>
      </c>
      <c r="C36" t="s">
        <v>174</v>
      </c>
      <c r="D36" t="s">
        <v>35</v>
      </c>
      <c r="E36" s="37">
        <v>28</v>
      </c>
      <c r="F36" t="s">
        <v>80</v>
      </c>
      <c r="G36" t="s">
        <v>81</v>
      </c>
      <c r="H36" t="s">
        <v>118</v>
      </c>
      <c r="I36" t="s">
        <v>82</v>
      </c>
      <c r="J36" t="s">
        <v>137</v>
      </c>
      <c r="K36" s="37">
        <v>12</v>
      </c>
      <c r="L36" t="s">
        <v>41</v>
      </c>
      <c r="M36" s="21">
        <v>51800</v>
      </c>
      <c r="N36" s="21">
        <v>689976</v>
      </c>
      <c r="O36" s="21">
        <v>68376</v>
      </c>
      <c r="P36">
        <v>2</v>
      </c>
      <c r="Q36" t="s">
        <v>42</v>
      </c>
      <c r="R36" s="37">
        <v>9</v>
      </c>
      <c r="S36" s="37">
        <v>38</v>
      </c>
      <c r="T36" t="s">
        <v>175</v>
      </c>
      <c r="U36" t="s">
        <v>138</v>
      </c>
      <c r="V36" t="s">
        <v>69</v>
      </c>
    </row>
    <row r="37" spans="1:22" ht="15" customHeight="1" x14ac:dyDescent="0.3">
      <c r="A37" t="s">
        <v>176</v>
      </c>
      <c r="B37" s="20">
        <v>45896</v>
      </c>
      <c r="C37" t="s">
        <v>177</v>
      </c>
      <c r="D37" t="s">
        <v>48</v>
      </c>
      <c r="E37" s="37">
        <v>31</v>
      </c>
      <c r="F37" t="s">
        <v>80</v>
      </c>
      <c r="G37" t="s">
        <v>81</v>
      </c>
      <c r="H37" t="s">
        <v>59</v>
      </c>
      <c r="I37" t="s">
        <v>82</v>
      </c>
      <c r="J37" t="s">
        <v>125</v>
      </c>
      <c r="K37" s="37">
        <v>14</v>
      </c>
      <c r="L37" t="s">
        <v>52</v>
      </c>
      <c r="M37" s="21">
        <v>54200</v>
      </c>
      <c r="N37" s="21">
        <v>741456</v>
      </c>
      <c r="O37" s="21">
        <v>91056</v>
      </c>
      <c r="P37">
        <v>4</v>
      </c>
      <c r="Q37" t="s">
        <v>42</v>
      </c>
      <c r="R37" s="37">
        <v>4</v>
      </c>
      <c r="S37" s="37">
        <v>5</v>
      </c>
      <c r="T37" t="s">
        <v>53</v>
      </c>
      <c r="U37" t="s">
        <v>63</v>
      </c>
      <c r="V37" t="s">
        <v>45</v>
      </c>
    </row>
    <row r="38" spans="1:22" ht="15" customHeight="1" x14ac:dyDescent="0.3">
      <c r="A38" t="s">
        <v>178</v>
      </c>
      <c r="B38" s="20">
        <v>45810</v>
      </c>
      <c r="C38" t="s">
        <v>179</v>
      </c>
      <c r="D38" t="s">
        <v>48</v>
      </c>
      <c r="E38" s="37">
        <v>43</v>
      </c>
      <c r="F38" t="s">
        <v>36</v>
      </c>
      <c r="G38" t="s">
        <v>37</v>
      </c>
      <c r="H38" t="s">
        <v>38</v>
      </c>
      <c r="I38" t="s">
        <v>39</v>
      </c>
      <c r="J38" t="s">
        <v>110</v>
      </c>
      <c r="K38" s="37">
        <v>29</v>
      </c>
      <c r="L38" t="s">
        <v>52</v>
      </c>
      <c r="M38" s="21">
        <v>33700</v>
      </c>
      <c r="N38" s="21">
        <v>436752</v>
      </c>
      <c r="O38" s="21">
        <v>32352</v>
      </c>
      <c r="P38">
        <v>5</v>
      </c>
      <c r="Q38" t="s">
        <v>126</v>
      </c>
      <c r="R38" s="37">
        <v>18</v>
      </c>
      <c r="S38" s="37">
        <v>30</v>
      </c>
      <c r="T38" t="s">
        <v>77</v>
      </c>
      <c r="U38" t="s">
        <v>63</v>
      </c>
      <c r="V38" t="s">
        <v>45</v>
      </c>
    </row>
    <row r="39" spans="1:22" ht="15" customHeight="1" x14ac:dyDescent="0.3">
      <c r="A39" t="s">
        <v>180</v>
      </c>
      <c r="B39" s="20">
        <v>45764</v>
      </c>
      <c r="C39" t="s">
        <v>181</v>
      </c>
      <c r="D39" t="s">
        <v>48</v>
      </c>
      <c r="E39" s="37">
        <v>36</v>
      </c>
      <c r="F39" t="s">
        <v>97</v>
      </c>
      <c r="G39" t="s">
        <v>98</v>
      </c>
      <c r="H39" t="s">
        <v>118</v>
      </c>
      <c r="I39" t="s">
        <v>82</v>
      </c>
      <c r="J39" t="s">
        <v>182</v>
      </c>
      <c r="K39" s="37">
        <v>29</v>
      </c>
      <c r="L39" t="s">
        <v>120</v>
      </c>
      <c r="M39" s="21">
        <v>56000</v>
      </c>
      <c r="N39" s="21">
        <v>766080</v>
      </c>
      <c r="O39" s="21">
        <v>94080</v>
      </c>
      <c r="P39">
        <v>3</v>
      </c>
      <c r="Q39" t="s">
        <v>42</v>
      </c>
      <c r="R39" s="37">
        <v>5</v>
      </c>
      <c r="S39" s="37">
        <v>25</v>
      </c>
      <c r="T39" t="s">
        <v>43</v>
      </c>
      <c r="U39" t="s">
        <v>63</v>
      </c>
      <c r="V39" t="s">
        <v>69</v>
      </c>
    </row>
    <row r="40" spans="1:22" ht="15" customHeight="1" x14ac:dyDescent="0.3">
      <c r="A40" t="s">
        <v>183</v>
      </c>
      <c r="B40" s="20">
        <v>45875</v>
      </c>
      <c r="C40" t="s">
        <v>184</v>
      </c>
      <c r="D40" t="s">
        <v>35</v>
      </c>
      <c r="E40" s="37">
        <v>58</v>
      </c>
      <c r="F40" t="s">
        <v>123</v>
      </c>
      <c r="G40" t="s">
        <v>124</v>
      </c>
      <c r="H40" t="s">
        <v>66</v>
      </c>
      <c r="I40" t="s">
        <v>82</v>
      </c>
      <c r="J40" t="s">
        <v>93</v>
      </c>
      <c r="K40" s="37">
        <v>23</v>
      </c>
      <c r="L40" t="s">
        <v>52</v>
      </c>
      <c r="M40" s="21">
        <v>55300</v>
      </c>
      <c r="N40" s="21">
        <v>796320</v>
      </c>
      <c r="O40" s="21">
        <v>132720</v>
      </c>
      <c r="P40">
        <v>3</v>
      </c>
      <c r="Q40" t="s">
        <v>42</v>
      </c>
      <c r="R40" s="37">
        <v>0</v>
      </c>
      <c r="S40" s="37">
        <v>36</v>
      </c>
      <c r="T40" t="s">
        <v>175</v>
      </c>
      <c r="U40" t="s">
        <v>63</v>
      </c>
      <c r="V40" t="s">
        <v>45</v>
      </c>
    </row>
    <row r="41" spans="1:22" ht="15" customHeight="1" x14ac:dyDescent="0.3">
      <c r="A41" t="s">
        <v>185</v>
      </c>
      <c r="B41" s="20">
        <v>45975</v>
      </c>
      <c r="C41" t="s">
        <v>186</v>
      </c>
      <c r="D41" t="s">
        <v>35</v>
      </c>
      <c r="E41" s="37">
        <v>35</v>
      </c>
      <c r="F41" t="s">
        <v>36</v>
      </c>
      <c r="G41" t="s">
        <v>37</v>
      </c>
      <c r="H41" t="s">
        <v>74</v>
      </c>
      <c r="I41" t="s">
        <v>60</v>
      </c>
      <c r="J41" t="s">
        <v>115</v>
      </c>
      <c r="K41" s="37">
        <v>2</v>
      </c>
      <c r="L41" t="s">
        <v>52</v>
      </c>
      <c r="M41" s="21">
        <v>160900</v>
      </c>
      <c r="N41" s="21">
        <v>2201112</v>
      </c>
      <c r="O41" s="21">
        <v>270312</v>
      </c>
      <c r="P41">
        <v>5</v>
      </c>
      <c r="Q41" t="s">
        <v>126</v>
      </c>
      <c r="R41" s="37">
        <v>8</v>
      </c>
      <c r="S41" s="37">
        <v>36</v>
      </c>
      <c r="T41" t="s">
        <v>105</v>
      </c>
      <c r="U41" t="s">
        <v>44</v>
      </c>
      <c r="V41" t="s">
        <v>45</v>
      </c>
    </row>
    <row r="42" spans="1:22" ht="15" customHeight="1" x14ac:dyDescent="0.3">
      <c r="A42" t="s">
        <v>187</v>
      </c>
      <c r="B42" s="20">
        <v>45722</v>
      </c>
      <c r="C42" t="s">
        <v>188</v>
      </c>
      <c r="D42" t="s">
        <v>35</v>
      </c>
      <c r="E42" s="37">
        <v>46</v>
      </c>
      <c r="F42" t="s">
        <v>86</v>
      </c>
      <c r="G42" t="s">
        <v>87</v>
      </c>
      <c r="H42" t="s">
        <v>74</v>
      </c>
      <c r="I42" t="s">
        <v>82</v>
      </c>
      <c r="J42" t="s">
        <v>83</v>
      </c>
      <c r="K42" s="37">
        <v>28</v>
      </c>
      <c r="L42" t="s">
        <v>52</v>
      </c>
      <c r="M42" s="21">
        <v>68200</v>
      </c>
      <c r="N42" s="21">
        <v>924791</v>
      </c>
      <c r="O42" s="21">
        <v>106392</v>
      </c>
      <c r="P42">
        <v>3</v>
      </c>
      <c r="Q42" t="s">
        <v>42</v>
      </c>
      <c r="R42" s="37">
        <v>1</v>
      </c>
      <c r="S42" s="37">
        <v>13</v>
      </c>
      <c r="T42" t="s">
        <v>146</v>
      </c>
      <c r="U42" t="s">
        <v>54</v>
      </c>
      <c r="V42" t="s">
        <v>45</v>
      </c>
    </row>
    <row r="43" spans="1:22" ht="15" customHeight="1" x14ac:dyDescent="0.3">
      <c r="A43" t="s">
        <v>189</v>
      </c>
      <c r="B43" s="20">
        <v>45698</v>
      </c>
      <c r="C43" t="s">
        <v>85</v>
      </c>
      <c r="D43" t="s">
        <v>48</v>
      </c>
      <c r="E43" s="37">
        <v>29</v>
      </c>
      <c r="F43" t="s">
        <v>49</v>
      </c>
      <c r="G43" t="s">
        <v>50</v>
      </c>
      <c r="H43" t="s">
        <v>38</v>
      </c>
      <c r="I43" t="s">
        <v>75</v>
      </c>
      <c r="J43" t="s">
        <v>190</v>
      </c>
      <c r="K43" s="37">
        <v>0</v>
      </c>
      <c r="L43" t="s">
        <v>52</v>
      </c>
      <c r="M43" s="21">
        <v>102600</v>
      </c>
      <c r="N43" s="21">
        <v>1440504</v>
      </c>
      <c r="O43" s="21">
        <v>209304</v>
      </c>
      <c r="P43">
        <v>3</v>
      </c>
      <c r="Q43" t="s">
        <v>42</v>
      </c>
      <c r="R43" s="37">
        <v>4</v>
      </c>
      <c r="S43" s="37">
        <v>26</v>
      </c>
      <c r="T43" t="s">
        <v>94</v>
      </c>
      <c r="U43" t="s">
        <v>44</v>
      </c>
      <c r="V43" t="s">
        <v>69</v>
      </c>
    </row>
    <row r="44" spans="1:22" ht="15" customHeight="1" x14ac:dyDescent="0.3">
      <c r="A44" t="s">
        <v>191</v>
      </c>
      <c r="B44" s="20">
        <v>45758</v>
      </c>
      <c r="C44" t="s">
        <v>192</v>
      </c>
      <c r="D44" t="s">
        <v>35</v>
      </c>
      <c r="E44" s="37">
        <v>34</v>
      </c>
      <c r="F44" t="s">
        <v>123</v>
      </c>
      <c r="G44" t="s">
        <v>124</v>
      </c>
      <c r="H44" t="s">
        <v>66</v>
      </c>
      <c r="I44" t="s">
        <v>75</v>
      </c>
      <c r="J44" t="s">
        <v>67</v>
      </c>
      <c r="K44" s="37">
        <v>7</v>
      </c>
      <c r="L44" t="s">
        <v>52</v>
      </c>
      <c r="M44" s="21">
        <v>92000</v>
      </c>
      <c r="N44" s="21">
        <v>1280640</v>
      </c>
      <c r="O44" s="21">
        <v>176640</v>
      </c>
      <c r="P44">
        <v>4</v>
      </c>
      <c r="Q44" t="s">
        <v>42</v>
      </c>
      <c r="R44" s="37">
        <v>18</v>
      </c>
      <c r="S44" s="37">
        <v>35</v>
      </c>
      <c r="T44" t="s">
        <v>53</v>
      </c>
      <c r="U44" t="s">
        <v>63</v>
      </c>
      <c r="V44" t="s">
        <v>45</v>
      </c>
    </row>
    <row r="45" spans="1:22" ht="15" customHeight="1" x14ac:dyDescent="0.3">
      <c r="A45" t="s">
        <v>193</v>
      </c>
      <c r="B45" s="20">
        <v>45785</v>
      </c>
      <c r="C45" t="s">
        <v>194</v>
      </c>
      <c r="D45" t="s">
        <v>48</v>
      </c>
      <c r="E45" s="37">
        <v>27</v>
      </c>
      <c r="F45" t="s">
        <v>72</v>
      </c>
      <c r="G45" t="s">
        <v>73</v>
      </c>
      <c r="H45" t="s">
        <v>66</v>
      </c>
      <c r="I45" t="s">
        <v>39</v>
      </c>
      <c r="J45" t="s">
        <v>170</v>
      </c>
      <c r="K45" s="37">
        <v>11</v>
      </c>
      <c r="L45" t="s">
        <v>41</v>
      </c>
      <c r="M45" s="21">
        <v>36400</v>
      </c>
      <c r="N45" s="21">
        <v>467376</v>
      </c>
      <c r="O45" s="21">
        <v>30576</v>
      </c>
      <c r="P45">
        <v>3</v>
      </c>
      <c r="Q45" t="s">
        <v>42</v>
      </c>
      <c r="R45" s="37">
        <v>10</v>
      </c>
      <c r="S45" s="37">
        <v>11</v>
      </c>
      <c r="T45" t="s">
        <v>53</v>
      </c>
      <c r="U45" t="s">
        <v>54</v>
      </c>
      <c r="V45" t="s">
        <v>45</v>
      </c>
    </row>
    <row r="46" spans="1:22" ht="15" customHeight="1" x14ac:dyDescent="0.3">
      <c r="A46" t="s">
        <v>195</v>
      </c>
      <c r="B46" s="20">
        <v>45950</v>
      </c>
      <c r="C46" t="s">
        <v>158</v>
      </c>
      <c r="D46" t="s">
        <v>48</v>
      </c>
      <c r="E46" s="37">
        <v>50</v>
      </c>
      <c r="F46" t="s">
        <v>72</v>
      </c>
      <c r="G46" t="s">
        <v>73</v>
      </c>
      <c r="H46" t="s">
        <v>74</v>
      </c>
      <c r="I46" t="s">
        <v>60</v>
      </c>
      <c r="J46" t="s">
        <v>152</v>
      </c>
      <c r="K46" s="37">
        <v>13</v>
      </c>
      <c r="L46" t="s">
        <v>52</v>
      </c>
      <c r="M46" s="21">
        <v>128600</v>
      </c>
      <c r="N46" s="21">
        <v>1666656</v>
      </c>
      <c r="O46" s="21">
        <v>123456</v>
      </c>
      <c r="P46">
        <v>5</v>
      </c>
      <c r="Q46" t="s">
        <v>42</v>
      </c>
      <c r="R46" s="37">
        <v>18</v>
      </c>
      <c r="S46" s="37">
        <v>39</v>
      </c>
      <c r="T46" t="s">
        <v>146</v>
      </c>
      <c r="U46" t="s">
        <v>44</v>
      </c>
      <c r="V46" t="s">
        <v>45</v>
      </c>
    </row>
    <row r="47" spans="1:22" ht="15" customHeight="1" x14ac:dyDescent="0.3">
      <c r="A47" t="s">
        <v>196</v>
      </c>
      <c r="B47" s="20">
        <v>45983</v>
      </c>
      <c r="C47" t="s">
        <v>197</v>
      </c>
      <c r="D47" t="s">
        <v>48</v>
      </c>
      <c r="E47" s="37">
        <v>46</v>
      </c>
      <c r="F47" t="s">
        <v>49</v>
      </c>
      <c r="G47" t="s">
        <v>50</v>
      </c>
      <c r="H47" t="s">
        <v>118</v>
      </c>
      <c r="I47" t="s">
        <v>82</v>
      </c>
      <c r="J47" t="s">
        <v>119</v>
      </c>
      <c r="K47" s="37">
        <v>26</v>
      </c>
      <c r="L47" t="s">
        <v>52</v>
      </c>
      <c r="M47" s="21">
        <v>53800</v>
      </c>
      <c r="N47" s="21">
        <v>697248</v>
      </c>
      <c r="O47" s="21">
        <v>51648</v>
      </c>
      <c r="P47">
        <v>4</v>
      </c>
      <c r="Q47" t="s">
        <v>126</v>
      </c>
      <c r="R47" s="37">
        <v>6</v>
      </c>
      <c r="S47" s="37">
        <v>5</v>
      </c>
      <c r="T47" t="s">
        <v>146</v>
      </c>
      <c r="U47" t="s">
        <v>54</v>
      </c>
      <c r="V47" t="s">
        <v>69</v>
      </c>
    </row>
    <row r="48" spans="1:22" ht="15" customHeight="1" x14ac:dyDescent="0.3">
      <c r="A48" t="s">
        <v>198</v>
      </c>
      <c r="B48" s="20">
        <v>45888</v>
      </c>
      <c r="C48" t="s">
        <v>199</v>
      </c>
      <c r="D48" t="s">
        <v>35</v>
      </c>
      <c r="E48" s="37">
        <v>28</v>
      </c>
      <c r="F48" t="s">
        <v>108</v>
      </c>
      <c r="G48" t="s">
        <v>109</v>
      </c>
      <c r="H48" t="s">
        <v>118</v>
      </c>
      <c r="I48" t="s">
        <v>39</v>
      </c>
      <c r="J48" t="s">
        <v>137</v>
      </c>
      <c r="K48" s="37">
        <v>30</v>
      </c>
      <c r="L48" t="s">
        <v>120</v>
      </c>
      <c r="M48" s="21">
        <v>34900</v>
      </c>
      <c r="N48" s="21">
        <v>477432</v>
      </c>
      <c r="O48" s="21">
        <v>58632</v>
      </c>
      <c r="P48">
        <v>2</v>
      </c>
      <c r="Q48" t="s">
        <v>42</v>
      </c>
      <c r="R48" s="37">
        <v>18</v>
      </c>
      <c r="S48" s="37">
        <v>31</v>
      </c>
      <c r="T48" t="s">
        <v>68</v>
      </c>
      <c r="U48" t="s">
        <v>44</v>
      </c>
      <c r="V48" t="s">
        <v>69</v>
      </c>
    </row>
    <row r="49" spans="1:22" ht="15" customHeight="1" x14ac:dyDescent="0.3">
      <c r="A49" t="s">
        <v>200</v>
      </c>
      <c r="B49" s="20">
        <v>45695</v>
      </c>
      <c r="C49" t="s">
        <v>201</v>
      </c>
      <c r="D49" t="s">
        <v>35</v>
      </c>
      <c r="E49" s="37">
        <v>23</v>
      </c>
      <c r="F49" t="s">
        <v>97</v>
      </c>
      <c r="G49" t="s">
        <v>98</v>
      </c>
      <c r="H49" t="s">
        <v>66</v>
      </c>
      <c r="I49" t="s">
        <v>82</v>
      </c>
      <c r="J49" t="s">
        <v>170</v>
      </c>
      <c r="K49" s="37">
        <v>30</v>
      </c>
      <c r="L49" t="s">
        <v>52</v>
      </c>
      <c r="M49" s="21">
        <v>62200</v>
      </c>
      <c r="N49" s="21">
        <v>791184</v>
      </c>
      <c r="O49" s="21">
        <v>44784</v>
      </c>
      <c r="P49">
        <v>4</v>
      </c>
      <c r="Q49" t="s">
        <v>42</v>
      </c>
      <c r="R49" s="37">
        <v>18</v>
      </c>
      <c r="S49" s="37">
        <v>33</v>
      </c>
      <c r="T49" t="s">
        <v>68</v>
      </c>
      <c r="U49" t="s">
        <v>44</v>
      </c>
      <c r="V49" t="s">
        <v>69</v>
      </c>
    </row>
    <row r="50" spans="1:22" ht="15" customHeight="1" x14ac:dyDescent="0.3">
      <c r="A50" t="s">
        <v>202</v>
      </c>
      <c r="B50" s="20">
        <v>45752</v>
      </c>
      <c r="C50" t="s">
        <v>203</v>
      </c>
      <c r="D50" t="s">
        <v>48</v>
      </c>
      <c r="E50" s="37">
        <v>45</v>
      </c>
      <c r="F50" t="s">
        <v>57</v>
      </c>
      <c r="G50" t="s">
        <v>58</v>
      </c>
      <c r="H50" t="s">
        <v>59</v>
      </c>
      <c r="I50" t="s">
        <v>39</v>
      </c>
      <c r="J50" t="s">
        <v>104</v>
      </c>
      <c r="K50" s="37">
        <v>14</v>
      </c>
      <c r="L50" t="s">
        <v>52</v>
      </c>
      <c r="M50" s="21">
        <v>38800</v>
      </c>
      <c r="N50" s="21">
        <v>526128</v>
      </c>
      <c r="O50" s="21">
        <v>60528</v>
      </c>
      <c r="P50">
        <v>4</v>
      </c>
      <c r="Q50" t="s">
        <v>42</v>
      </c>
      <c r="R50" s="37">
        <v>13</v>
      </c>
      <c r="S50" s="37">
        <v>31</v>
      </c>
      <c r="T50" t="s">
        <v>77</v>
      </c>
      <c r="U50" t="s">
        <v>138</v>
      </c>
      <c r="V50" t="s">
        <v>45</v>
      </c>
    </row>
    <row r="51" spans="1:22" ht="15" customHeight="1" x14ac:dyDescent="0.3">
      <c r="A51" t="s">
        <v>204</v>
      </c>
      <c r="B51" s="20">
        <v>45850</v>
      </c>
      <c r="C51" t="s">
        <v>112</v>
      </c>
      <c r="D51" t="s">
        <v>35</v>
      </c>
      <c r="E51" s="37">
        <v>39</v>
      </c>
      <c r="F51" t="s">
        <v>57</v>
      </c>
      <c r="G51" t="s">
        <v>58</v>
      </c>
      <c r="H51" t="s">
        <v>59</v>
      </c>
      <c r="I51" t="s">
        <v>75</v>
      </c>
      <c r="J51" t="s">
        <v>88</v>
      </c>
      <c r="K51" s="37">
        <v>18</v>
      </c>
      <c r="L51" t="s">
        <v>52</v>
      </c>
      <c r="M51" s="21">
        <v>93800</v>
      </c>
      <c r="N51" s="21">
        <v>1294440</v>
      </c>
      <c r="O51" s="21">
        <v>168840</v>
      </c>
      <c r="P51">
        <v>4</v>
      </c>
      <c r="Q51" t="s">
        <v>42</v>
      </c>
      <c r="R51" s="37">
        <v>4</v>
      </c>
      <c r="S51" s="37">
        <v>19</v>
      </c>
      <c r="T51" t="s">
        <v>129</v>
      </c>
      <c r="U51" t="s">
        <v>138</v>
      </c>
      <c r="V51" t="s">
        <v>69</v>
      </c>
    </row>
    <row r="52" spans="1:22" ht="15" customHeight="1" x14ac:dyDescent="0.3">
      <c r="A52" t="s">
        <v>205</v>
      </c>
      <c r="B52" s="20">
        <v>45847</v>
      </c>
      <c r="C52" t="s">
        <v>206</v>
      </c>
      <c r="D52" t="s">
        <v>48</v>
      </c>
      <c r="E52" s="37">
        <v>51</v>
      </c>
      <c r="F52" t="s">
        <v>91</v>
      </c>
      <c r="G52" t="s">
        <v>92</v>
      </c>
      <c r="H52" t="s">
        <v>66</v>
      </c>
      <c r="I52" t="s">
        <v>39</v>
      </c>
      <c r="J52" t="s">
        <v>149</v>
      </c>
      <c r="K52" s="37">
        <v>25</v>
      </c>
      <c r="L52" t="s">
        <v>52</v>
      </c>
      <c r="M52" s="21">
        <v>36400</v>
      </c>
      <c r="N52" s="21">
        <v>515424</v>
      </c>
      <c r="O52" s="21">
        <v>78624</v>
      </c>
      <c r="P52">
        <v>4</v>
      </c>
      <c r="Q52" t="s">
        <v>42</v>
      </c>
      <c r="R52" s="37">
        <v>16</v>
      </c>
      <c r="S52" s="37">
        <v>16</v>
      </c>
      <c r="T52" t="s">
        <v>175</v>
      </c>
      <c r="U52" t="s">
        <v>63</v>
      </c>
      <c r="V52" t="s">
        <v>45</v>
      </c>
    </row>
    <row r="53" spans="1:22" ht="15" customHeight="1" x14ac:dyDescent="0.3">
      <c r="A53" t="s">
        <v>207</v>
      </c>
      <c r="B53" s="20">
        <v>45952</v>
      </c>
      <c r="C53" t="s">
        <v>208</v>
      </c>
      <c r="D53" t="s">
        <v>35</v>
      </c>
      <c r="E53" s="37">
        <v>25</v>
      </c>
      <c r="F53" t="s">
        <v>49</v>
      </c>
      <c r="G53" t="s">
        <v>50</v>
      </c>
      <c r="H53" t="s">
        <v>66</v>
      </c>
      <c r="I53" t="s">
        <v>39</v>
      </c>
      <c r="J53" t="s">
        <v>67</v>
      </c>
      <c r="K53" s="37">
        <v>10</v>
      </c>
      <c r="L53" t="s">
        <v>41</v>
      </c>
      <c r="M53" s="21">
        <v>42700</v>
      </c>
      <c r="N53" s="21">
        <v>599508</v>
      </c>
      <c r="O53" s="21">
        <v>87108</v>
      </c>
      <c r="P53">
        <v>4</v>
      </c>
      <c r="Q53" t="s">
        <v>126</v>
      </c>
      <c r="R53" s="37">
        <v>4</v>
      </c>
      <c r="S53" s="37">
        <v>24</v>
      </c>
      <c r="T53" t="s">
        <v>43</v>
      </c>
      <c r="U53" t="s">
        <v>138</v>
      </c>
      <c r="V53" t="s">
        <v>69</v>
      </c>
    </row>
    <row r="54" spans="1:22" ht="15" customHeight="1" x14ac:dyDescent="0.3">
      <c r="A54" t="s">
        <v>209</v>
      </c>
      <c r="B54" s="20">
        <v>45880</v>
      </c>
      <c r="C54" t="s">
        <v>210</v>
      </c>
      <c r="D54" t="s">
        <v>35</v>
      </c>
      <c r="E54" s="37">
        <v>55</v>
      </c>
      <c r="F54" t="s">
        <v>91</v>
      </c>
      <c r="G54" t="s">
        <v>92</v>
      </c>
      <c r="H54" t="s">
        <v>66</v>
      </c>
      <c r="I54" t="s">
        <v>82</v>
      </c>
      <c r="J54" t="s">
        <v>161</v>
      </c>
      <c r="K54" s="37">
        <v>25</v>
      </c>
      <c r="L54" t="s">
        <v>52</v>
      </c>
      <c r="M54" s="21">
        <v>73200</v>
      </c>
      <c r="N54" s="21">
        <v>975024</v>
      </c>
      <c r="O54" s="21">
        <v>96624</v>
      </c>
      <c r="P54">
        <v>3</v>
      </c>
      <c r="Q54" t="s">
        <v>42</v>
      </c>
      <c r="R54" s="37">
        <v>0</v>
      </c>
      <c r="S54" s="37">
        <v>35</v>
      </c>
      <c r="T54" t="s">
        <v>105</v>
      </c>
      <c r="U54" t="s">
        <v>44</v>
      </c>
      <c r="V54" t="s">
        <v>69</v>
      </c>
    </row>
    <row r="55" spans="1:22" ht="15" customHeight="1" x14ac:dyDescent="0.3">
      <c r="A55" t="s">
        <v>211</v>
      </c>
      <c r="B55" s="20">
        <v>45908</v>
      </c>
      <c r="C55" t="s">
        <v>212</v>
      </c>
      <c r="D55" t="s">
        <v>35</v>
      </c>
      <c r="E55" s="37">
        <v>56</v>
      </c>
      <c r="F55" t="s">
        <v>97</v>
      </c>
      <c r="G55" t="s">
        <v>98</v>
      </c>
      <c r="H55" t="s">
        <v>66</v>
      </c>
      <c r="I55" t="s">
        <v>75</v>
      </c>
      <c r="J55" t="s">
        <v>67</v>
      </c>
      <c r="K55" s="37">
        <v>23</v>
      </c>
      <c r="L55" t="s">
        <v>52</v>
      </c>
      <c r="M55" s="21">
        <v>84300</v>
      </c>
      <c r="N55" s="21">
        <v>1102644</v>
      </c>
      <c r="O55" s="21">
        <v>91044</v>
      </c>
      <c r="P55">
        <v>4</v>
      </c>
      <c r="Q55" t="s">
        <v>126</v>
      </c>
      <c r="R55" s="37">
        <v>12</v>
      </c>
      <c r="S55" s="37">
        <v>33</v>
      </c>
      <c r="T55" t="s">
        <v>175</v>
      </c>
      <c r="U55" t="s">
        <v>63</v>
      </c>
      <c r="V55" t="s">
        <v>69</v>
      </c>
    </row>
    <row r="56" spans="1:22" ht="15" customHeight="1" x14ac:dyDescent="0.3">
      <c r="A56" t="s">
        <v>213</v>
      </c>
      <c r="B56" s="20">
        <v>46007</v>
      </c>
      <c r="C56" t="s">
        <v>214</v>
      </c>
      <c r="D56" t="s">
        <v>48</v>
      </c>
      <c r="E56" s="37">
        <v>46</v>
      </c>
      <c r="F56" t="s">
        <v>57</v>
      </c>
      <c r="G56" t="s">
        <v>58</v>
      </c>
      <c r="H56" t="s">
        <v>38</v>
      </c>
      <c r="I56" t="s">
        <v>39</v>
      </c>
      <c r="J56" t="s">
        <v>110</v>
      </c>
      <c r="K56" s="37">
        <v>11</v>
      </c>
      <c r="L56" t="s">
        <v>120</v>
      </c>
      <c r="M56" s="21">
        <v>29800</v>
      </c>
      <c r="N56" s="21">
        <v>382632</v>
      </c>
      <c r="O56" s="21">
        <v>25032</v>
      </c>
      <c r="P56">
        <v>3</v>
      </c>
      <c r="Q56" t="s">
        <v>42</v>
      </c>
      <c r="R56" s="37">
        <v>16</v>
      </c>
      <c r="S56" s="37">
        <v>16</v>
      </c>
      <c r="T56" t="s">
        <v>129</v>
      </c>
      <c r="U56" t="s">
        <v>63</v>
      </c>
      <c r="V56" t="s">
        <v>45</v>
      </c>
    </row>
    <row r="57" spans="1:22" ht="15" customHeight="1" x14ac:dyDescent="0.3">
      <c r="A57" t="s">
        <v>215</v>
      </c>
      <c r="B57" s="20">
        <v>45834</v>
      </c>
      <c r="C57" t="s">
        <v>216</v>
      </c>
      <c r="D57" t="s">
        <v>48</v>
      </c>
      <c r="E57" s="37">
        <v>44</v>
      </c>
      <c r="F57" t="s">
        <v>36</v>
      </c>
      <c r="G57" t="s">
        <v>37</v>
      </c>
      <c r="H57" t="s">
        <v>59</v>
      </c>
      <c r="I57" t="s">
        <v>60</v>
      </c>
      <c r="J57" t="s">
        <v>104</v>
      </c>
      <c r="K57" s="37">
        <v>17</v>
      </c>
      <c r="L57" t="s">
        <v>52</v>
      </c>
      <c r="M57" s="21">
        <v>112200</v>
      </c>
      <c r="N57" s="21">
        <v>1615680</v>
      </c>
      <c r="O57" s="21">
        <v>269280</v>
      </c>
      <c r="P57">
        <v>5</v>
      </c>
      <c r="Q57" t="s">
        <v>126</v>
      </c>
      <c r="R57" s="37">
        <v>9</v>
      </c>
      <c r="S57" s="37">
        <v>15</v>
      </c>
      <c r="T57" t="s">
        <v>94</v>
      </c>
      <c r="U57" t="s">
        <v>54</v>
      </c>
      <c r="V57" t="s">
        <v>45</v>
      </c>
    </row>
    <row r="58" spans="1:22" ht="15" customHeight="1" x14ac:dyDescent="0.3">
      <c r="A58" t="s">
        <v>217</v>
      </c>
      <c r="B58" s="20">
        <v>45691</v>
      </c>
      <c r="C58" t="s">
        <v>218</v>
      </c>
      <c r="D58" t="s">
        <v>35</v>
      </c>
      <c r="E58" s="37">
        <v>30</v>
      </c>
      <c r="F58" t="s">
        <v>80</v>
      </c>
      <c r="G58" t="s">
        <v>81</v>
      </c>
      <c r="H58" t="s">
        <v>118</v>
      </c>
      <c r="I58" t="s">
        <v>51</v>
      </c>
      <c r="J58" t="s">
        <v>219</v>
      </c>
      <c r="K58" s="37">
        <v>17</v>
      </c>
      <c r="L58" t="s">
        <v>52</v>
      </c>
      <c r="M58" s="21">
        <v>173900</v>
      </c>
      <c r="N58" s="21">
        <v>2337216</v>
      </c>
      <c r="O58" s="21">
        <v>250416</v>
      </c>
      <c r="P58">
        <v>4</v>
      </c>
      <c r="Q58" t="s">
        <v>42</v>
      </c>
      <c r="R58" s="37">
        <v>13</v>
      </c>
      <c r="S58" s="37">
        <v>30</v>
      </c>
      <c r="T58" t="s">
        <v>77</v>
      </c>
      <c r="U58" t="s">
        <v>44</v>
      </c>
      <c r="V58" t="s">
        <v>69</v>
      </c>
    </row>
    <row r="59" spans="1:22" ht="15" customHeight="1" x14ac:dyDescent="0.3">
      <c r="A59" t="s">
        <v>220</v>
      </c>
      <c r="B59" s="20">
        <v>45743</v>
      </c>
      <c r="C59" t="s">
        <v>221</v>
      </c>
      <c r="D59" t="s">
        <v>48</v>
      </c>
      <c r="E59" s="37">
        <v>36</v>
      </c>
      <c r="F59" t="s">
        <v>72</v>
      </c>
      <c r="G59" t="s">
        <v>73</v>
      </c>
      <c r="H59" t="s">
        <v>66</v>
      </c>
      <c r="I59" t="s">
        <v>75</v>
      </c>
      <c r="J59" t="s">
        <v>161</v>
      </c>
      <c r="K59" s="37">
        <v>12</v>
      </c>
      <c r="L59" t="s">
        <v>52</v>
      </c>
      <c r="M59" s="21">
        <v>117700</v>
      </c>
      <c r="N59" s="21">
        <v>1610136</v>
      </c>
      <c r="O59" s="21">
        <v>197736</v>
      </c>
      <c r="P59">
        <v>3</v>
      </c>
      <c r="Q59" t="s">
        <v>126</v>
      </c>
      <c r="R59" s="37">
        <v>9</v>
      </c>
      <c r="S59" s="37">
        <v>33</v>
      </c>
      <c r="T59" t="s">
        <v>94</v>
      </c>
      <c r="U59" t="s">
        <v>44</v>
      </c>
      <c r="V59" t="s">
        <v>69</v>
      </c>
    </row>
    <row r="60" spans="1:22" ht="15" customHeight="1" x14ac:dyDescent="0.3">
      <c r="A60" t="s">
        <v>222</v>
      </c>
      <c r="B60" s="20">
        <v>45802</v>
      </c>
      <c r="C60" t="s">
        <v>223</v>
      </c>
      <c r="D60" t="s">
        <v>48</v>
      </c>
      <c r="E60" s="37">
        <v>50</v>
      </c>
      <c r="F60" t="s">
        <v>36</v>
      </c>
      <c r="G60" t="s">
        <v>37</v>
      </c>
      <c r="H60" t="s">
        <v>66</v>
      </c>
      <c r="I60" t="s">
        <v>82</v>
      </c>
      <c r="J60" t="s">
        <v>149</v>
      </c>
      <c r="K60" s="37">
        <v>14</v>
      </c>
      <c r="L60" t="s">
        <v>52</v>
      </c>
      <c r="M60" s="21">
        <v>56000</v>
      </c>
      <c r="N60" s="21">
        <v>739200</v>
      </c>
      <c r="O60" s="21">
        <v>67200</v>
      </c>
      <c r="P60">
        <v>4</v>
      </c>
      <c r="Q60" t="s">
        <v>42</v>
      </c>
      <c r="R60" s="37">
        <v>16</v>
      </c>
      <c r="S60" s="37">
        <v>2</v>
      </c>
      <c r="T60" t="s">
        <v>77</v>
      </c>
      <c r="U60" t="s">
        <v>44</v>
      </c>
      <c r="V60" t="s">
        <v>69</v>
      </c>
    </row>
    <row r="61" spans="1:22" ht="15" customHeight="1" x14ac:dyDescent="0.3">
      <c r="A61" t="s">
        <v>224</v>
      </c>
      <c r="B61" s="20">
        <v>45969</v>
      </c>
      <c r="C61" t="s">
        <v>225</v>
      </c>
      <c r="D61" t="s">
        <v>35</v>
      </c>
      <c r="E61" s="37">
        <v>30</v>
      </c>
      <c r="F61" t="s">
        <v>108</v>
      </c>
      <c r="G61" t="s">
        <v>109</v>
      </c>
      <c r="H61" t="s">
        <v>66</v>
      </c>
      <c r="I61" t="s">
        <v>39</v>
      </c>
      <c r="J61" t="s">
        <v>170</v>
      </c>
      <c r="K61" s="37">
        <v>25</v>
      </c>
      <c r="L61" t="s">
        <v>52</v>
      </c>
      <c r="M61" s="21">
        <v>38300</v>
      </c>
      <c r="N61" s="21">
        <v>523944</v>
      </c>
      <c r="O61" s="21">
        <v>64344</v>
      </c>
      <c r="P61">
        <v>5</v>
      </c>
      <c r="Q61" t="s">
        <v>42</v>
      </c>
      <c r="R61" s="37">
        <v>10</v>
      </c>
      <c r="S61" s="37">
        <v>12</v>
      </c>
      <c r="T61" t="s">
        <v>62</v>
      </c>
      <c r="U61" t="s">
        <v>44</v>
      </c>
      <c r="V61" t="s">
        <v>45</v>
      </c>
    </row>
    <row r="62" spans="1:22" ht="15" customHeight="1" x14ac:dyDescent="0.3">
      <c r="A62" t="s">
        <v>226</v>
      </c>
      <c r="B62" s="20">
        <v>45719</v>
      </c>
      <c r="C62" t="s">
        <v>227</v>
      </c>
      <c r="D62" t="s">
        <v>48</v>
      </c>
      <c r="E62" s="37">
        <v>31</v>
      </c>
      <c r="F62" t="s">
        <v>86</v>
      </c>
      <c r="G62" t="s">
        <v>87</v>
      </c>
      <c r="H62" t="s">
        <v>66</v>
      </c>
      <c r="I62" t="s">
        <v>39</v>
      </c>
      <c r="J62" t="s">
        <v>93</v>
      </c>
      <c r="K62" s="37">
        <v>2</v>
      </c>
      <c r="L62" t="s">
        <v>41</v>
      </c>
      <c r="M62" s="21">
        <v>47100</v>
      </c>
      <c r="N62" s="21">
        <v>644328</v>
      </c>
      <c r="O62" s="21">
        <v>79128</v>
      </c>
      <c r="P62">
        <v>3</v>
      </c>
      <c r="Q62" t="s">
        <v>42</v>
      </c>
      <c r="R62" s="37">
        <v>19</v>
      </c>
      <c r="S62" s="37">
        <v>34</v>
      </c>
      <c r="T62" t="s">
        <v>62</v>
      </c>
      <c r="U62" t="s">
        <v>63</v>
      </c>
      <c r="V62" t="s">
        <v>45</v>
      </c>
    </row>
    <row r="63" spans="1:22" ht="15" customHeight="1" x14ac:dyDescent="0.3">
      <c r="A63" t="s">
        <v>228</v>
      </c>
      <c r="B63" s="20">
        <v>46006</v>
      </c>
      <c r="C63" t="s">
        <v>229</v>
      </c>
      <c r="D63" t="s">
        <v>35</v>
      </c>
      <c r="E63" s="37">
        <v>25</v>
      </c>
      <c r="F63" t="s">
        <v>36</v>
      </c>
      <c r="G63" t="s">
        <v>37</v>
      </c>
      <c r="H63" t="s">
        <v>38</v>
      </c>
      <c r="I63" t="s">
        <v>60</v>
      </c>
      <c r="J63" t="s">
        <v>40</v>
      </c>
      <c r="K63" s="37">
        <v>26</v>
      </c>
      <c r="L63" t="s">
        <v>52</v>
      </c>
      <c r="M63" s="21">
        <v>156700</v>
      </c>
      <c r="N63" s="21">
        <v>2237676</v>
      </c>
      <c r="O63" s="21">
        <v>357276</v>
      </c>
      <c r="P63">
        <v>5</v>
      </c>
      <c r="Q63" t="s">
        <v>42</v>
      </c>
      <c r="R63" s="37">
        <v>7</v>
      </c>
      <c r="S63" s="37">
        <v>24</v>
      </c>
      <c r="T63" t="s">
        <v>146</v>
      </c>
      <c r="U63" t="s">
        <v>63</v>
      </c>
      <c r="V63" t="s">
        <v>69</v>
      </c>
    </row>
    <row r="64" spans="1:22" ht="15" customHeight="1" x14ac:dyDescent="0.3">
      <c r="A64" t="s">
        <v>230</v>
      </c>
      <c r="B64" s="20">
        <v>45663</v>
      </c>
      <c r="C64" t="s">
        <v>231</v>
      </c>
      <c r="D64" t="s">
        <v>35</v>
      </c>
      <c r="E64" s="37">
        <v>47</v>
      </c>
      <c r="F64" t="s">
        <v>86</v>
      </c>
      <c r="G64" t="s">
        <v>87</v>
      </c>
      <c r="H64" t="s">
        <v>38</v>
      </c>
      <c r="I64" t="s">
        <v>39</v>
      </c>
      <c r="J64" t="s">
        <v>190</v>
      </c>
      <c r="K64" s="37">
        <v>27</v>
      </c>
      <c r="L64" t="s">
        <v>52</v>
      </c>
      <c r="M64" s="21">
        <v>41600</v>
      </c>
      <c r="N64" s="21">
        <v>559104</v>
      </c>
      <c r="O64" s="21">
        <v>59904</v>
      </c>
      <c r="P64">
        <v>4</v>
      </c>
      <c r="Q64" t="s">
        <v>42</v>
      </c>
      <c r="R64" s="37">
        <v>2</v>
      </c>
      <c r="S64" s="37">
        <v>39</v>
      </c>
      <c r="T64" t="s">
        <v>62</v>
      </c>
      <c r="U64" t="s">
        <v>63</v>
      </c>
      <c r="V64" t="s">
        <v>45</v>
      </c>
    </row>
    <row r="65" spans="1:22" ht="15" customHeight="1" x14ac:dyDescent="0.3">
      <c r="A65" t="s">
        <v>232</v>
      </c>
      <c r="B65" s="20">
        <v>45784</v>
      </c>
      <c r="C65" t="s">
        <v>233</v>
      </c>
      <c r="D65" t="s">
        <v>35</v>
      </c>
      <c r="E65" s="37">
        <v>49</v>
      </c>
      <c r="F65" t="s">
        <v>108</v>
      </c>
      <c r="G65" t="s">
        <v>109</v>
      </c>
      <c r="H65" t="s">
        <v>38</v>
      </c>
      <c r="I65" t="s">
        <v>39</v>
      </c>
      <c r="J65" t="s">
        <v>190</v>
      </c>
      <c r="K65" s="37">
        <v>10</v>
      </c>
      <c r="L65" t="s">
        <v>52</v>
      </c>
      <c r="M65" s="21">
        <v>42700</v>
      </c>
      <c r="N65" s="21">
        <v>548268</v>
      </c>
      <c r="O65" s="21">
        <v>35868</v>
      </c>
      <c r="P65">
        <v>4</v>
      </c>
      <c r="Q65" t="s">
        <v>42</v>
      </c>
      <c r="R65" s="37">
        <v>4</v>
      </c>
      <c r="S65" s="37">
        <v>30</v>
      </c>
      <c r="T65" t="s">
        <v>94</v>
      </c>
      <c r="U65" t="s">
        <v>44</v>
      </c>
      <c r="V65" t="s">
        <v>45</v>
      </c>
    </row>
    <row r="66" spans="1:22" ht="15" customHeight="1" x14ac:dyDescent="0.3">
      <c r="A66" t="s">
        <v>234</v>
      </c>
      <c r="B66" s="20">
        <v>45703</v>
      </c>
      <c r="C66" t="s">
        <v>235</v>
      </c>
      <c r="D66" t="s">
        <v>35</v>
      </c>
      <c r="E66" s="37">
        <v>35</v>
      </c>
      <c r="F66" t="s">
        <v>57</v>
      </c>
      <c r="G66" t="s">
        <v>58</v>
      </c>
      <c r="H66" t="s">
        <v>38</v>
      </c>
      <c r="I66" t="s">
        <v>39</v>
      </c>
      <c r="J66" t="s">
        <v>40</v>
      </c>
      <c r="K66" s="37">
        <v>16</v>
      </c>
      <c r="L66" t="s">
        <v>52</v>
      </c>
      <c r="M66" s="21">
        <v>31300</v>
      </c>
      <c r="N66" s="21">
        <v>416916</v>
      </c>
      <c r="O66" s="21">
        <v>41316</v>
      </c>
      <c r="P66">
        <v>1</v>
      </c>
      <c r="Q66" t="s">
        <v>42</v>
      </c>
      <c r="R66" s="37">
        <v>15</v>
      </c>
      <c r="S66" s="37">
        <v>5</v>
      </c>
      <c r="T66" t="s">
        <v>105</v>
      </c>
      <c r="U66" t="s">
        <v>63</v>
      </c>
      <c r="V66" t="s">
        <v>45</v>
      </c>
    </row>
    <row r="67" spans="1:22" ht="15" customHeight="1" x14ac:dyDescent="0.3">
      <c r="A67" t="s">
        <v>236</v>
      </c>
      <c r="B67" s="20">
        <v>45998</v>
      </c>
      <c r="C67" t="s">
        <v>237</v>
      </c>
      <c r="D67" t="s">
        <v>48</v>
      </c>
      <c r="E67" s="37">
        <v>53</v>
      </c>
      <c r="F67" t="s">
        <v>123</v>
      </c>
      <c r="G67" t="s">
        <v>124</v>
      </c>
      <c r="H67" t="s">
        <v>38</v>
      </c>
      <c r="I67" t="s">
        <v>39</v>
      </c>
      <c r="J67" t="s">
        <v>99</v>
      </c>
      <c r="K67" s="37">
        <v>11</v>
      </c>
      <c r="L67" t="s">
        <v>52</v>
      </c>
      <c r="M67" s="21">
        <v>37900</v>
      </c>
      <c r="N67" s="21">
        <v>500280</v>
      </c>
      <c r="O67" s="21">
        <v>45480</v>
      </c>
      <c r="P67">
        <v>4</v>
      </c>
      <c r="Q67" t="s">
        <v>126</v>
      </c>
      <c r="R67" s="37">
        <v>17</v>
      </c>
      <c r="S67" s="37">
        <v>13</v>
      </c>
      <c r="T67" t="s">
        <v>53</v>
      </c>
      <c r="U67" t="s">
        <v>63</v>
      </c>
      <c r="V67" t="s">
        <v>45</v>
      </c>
    </row>
    <row r="68" spans="1:22" ht="15" customHeight="1" x14ac:dyDescent="0.3">
      <c r="A68" t="s">
        <v>238</v>
      </c>
      <c r="B68" s="20">
        <v>45988</v>
      </c>
      <c r="C68" t="s">
        <v>239</v>
      </c>
      <c r="D68" t="s">
        <v>35</v>
      </c>
      <c r="E68" s="37">
        <v>36</v>
      </c>
      <c r="F68" t="s">
        <v>80</v>
      </c>
      <c r="G68" t="s">
        <v>81</v>
      </c>
      <c r="H68" t="s">
        <v>38</v>
      </c>
      <c r="I68" t="s">
        <v>39</v>
      </c>
      <c r="J68" t="s">
        <v>134</v>
      </c>
      <c r="K68" s="37">
        <v>13</v>
      </c>
      <c r="L68" t="s">
        <v>52</v>
      </c>
      <c r="M68" s="21">
        <v>42900</v>
      </c>
      <c r="N68" s="21">
        <v>550836</v>
      </c>
      <c r="O68" s="21">
        <v>36036</v>
      </c>
      <c r="P68">
        <v>5</v>
      </c>
      <c r="Q68" t="s">
        <v>42</v>
      </c>
      <c r="R68" s="37">
        <v>10</v>
      </c>
      <c r="S68" s="37">
        <v>31</v>
      </c>
      <c r="T68" t="s">
        <v>62</v>
      </c>
      <c r="U68" t="s">
        <v>63</v>
      </c>
      <c r="V68" t="s">
        <v>69</v>
      </c>
    </row>
    <row r="69" spans="1:22" ht="15" customHeight="1" x14ac:dyDescent="0.3">
      <c r="A69" t="s">
        <v>240</v>
      </c>
      <c r="B69" s="20">
        <v>45969</v>
      </c>
      <c r="C69" t="s">
        <v>241</v>
      </c>
      <c r="D69" t="s">
        <v>48</v>
      </c>
      <c r="E69" s="37">
        <v>37</v>
      </c>
      <c r="F69" t="s">
        <v>36</v>
      </c>
      <c r="G69" t="s">
        <v>37</v>
      </c>
      <c r="H69" t="s">
        <v>59</v>
      </c>
      <c r="I69" t="s">
        <v>82</v>
      </c>
      <c r="J69" t="s">
        <v>104</v>
      </c>
      <c r="K69" s="37">
        <v>4</v>
      </c>
      <c r="L69" t="s">
        <v>120</v>
      </c>
      <c r="M69" s="21">
        <v>51200</v>
      </c>
      <c r="N69" s="21">
        <v>724992</v>
      </c>
      <c r="O69" s="21">
        <v>110592</v>
      </c>
      <c r="P69">
        <v>3</v>
      </c>
      <c r="Q69" t="s">
        <v>42</v>
      </c>
      <c r="R69" s="37">
        <v>16</v>
      </c>
      <c r="S69" s="37">
        <v>24</v>
      </c>
      <c r="T69" t="s">
        <v>77</v>
      </c>
      <c r="U69" t="s">
        <v>44</v>
      </c>
      <c r="V69" t="s">
        <v>45</v>
      </c>
    </row>
    <row r="70" spans="1:22" ht="15" customHeight="1" x14ac:dyDescent="0.3">
      <c r="A70" t="s">
        <v>242</v>
      </c>
      <c r="B70" s="20">
        <v>45922</v>
      </c>
      <c r="C70" t="s">
        <v>243</v>
      </c>
      <c r="D70" t="s">
        <v>35</v>
      </c>
      <c r="E70" s="37">
        <v>36</v>
      </c>
      <c r="F70" t="s">
        <v>86</v>
      </c>
      <c r="G70" t="s">
        <v>87</v>
      </c>
      <c r="H70" t="s">
        <v>74</v>
      </c>
      <c r="I70" t="s">
        <v>75</v>
      </c>
      <c r="J70" t="s">
        <v>115</v>
      </c>
      <c r="K70" s="37">
        <v>20</v>
      </c>
      <c r="L70" t="s">
        <v>41</v>
      </c>
      <c r="M70" s="21">
        <v>113500</v>
      </c>
      <c r="N70" s="21">
        <v>1470960</v>
      </c>
      <c r="O70" s="21">
        <v>108960</v>
      </c>
      <c r="P70">
        <v>4</v>
      </c>
      <c r="Q70" t="s">
        <v>126</v>
      </c>
      <c r="R70" s="37">
        <v>6</v>
      </c>
      <c r="S70" s="37">
        <v>16</v>
      </c>
      <c r="T70" t="s">
        <v>53</v>
      </c>
      <c r="U70" t="s">
        <v>44</v>
      </c>
      <c r="V70" t="s">
        <v>69</v>
      </c>
    </row>
    <row r="71" spans="1:22" ht="15" customHeight="1" x14ac:dyDescent="0.3">
      <c r="A71" t="s">
        <v>244</v>
      </c>
      <c r="B71" s="20">
        <v>46016</v>
      </c>
      <c r="C71" t="s">
        <v>245</v>
      </c>
      <c r="D71" t="s">
        <v>48</v>
      </c>
      <c r="E71" s="37">
        <v>32</v>
      </c>
      <c r="F71" t="s">
        <v>108</v>
      </c>
      <c r="G71" t="s">
        <v>109</v>
      </c>
      <c r="H71" t="s">
        <v>38</v>
      </c>
      <c r="I71" t="s">
        <v>39</v>
      </c>
      <c r="J71" t="s">
        <v>134</v>
      </c>
      <c r="K71" s="37">
        <v>13</v>
      </c>
      <c r="L71" t="s">
        <v>120</v>
      </c>
      <c r="M71" s="21">
        <v>39800</v>
      </c>
      <c r="N71" s="21">
        <v>549240</v>
      </c>
      <c r="O71" s="21">
        <v>71640</v>
      </c>
      <c r="P71">
        <v>4</v>
      </c>
      <c r="Q71" t="s">
        <v>42</v>
      </c>
      <c r="R71" s="37">
        <v>8</v>
      </c>
      <c r="S71" s="37">
        <v>7</v>
      </c>
      <c r="T71" t="s">
        <v>43</v>
      </c>
      <c r="U71" t="s">
        <v>63</v>
      </c>
      <c r="V71" t="s">
        <v>69</v>
      </c>
    </row>
    <row r="72" spans="1:22" ht="15" customHeight="1" x14ac:dyDescent="0.3">
      <c r="A72" t="s">
        <v>246</v>
      </c>
      <c r="B72" s="20">
        <v>45703</v>
      </c>
      <c r="C72" t="s">
        <v>247</v>
      </c>
      <c r="D72" t="s">
        <v>48</v>
      </c>
      <c r="E72" s="37">
        <v>43</v>
      </c>
      <c r="F72" t="s">
        <v>123</v>
      </c>
      <c r="G72" t="s">
        <v>124</v>
      </c>
      <c r="H72" t="s">
        <v>66</v>
      </c>
      <c r="I72" t="s">
        <v>75</v>
      </c>
      <c r="J72" t="s">
        <v>93</v>
      </c>
      <c r="K72" s="37">
        <v>27</v>
      </c>
      <c r="L72" t="s">
        <v>52</v>
      </c>
      <c r="M72" s="21">
        <v>103900</v>
      </c>
      <c r="N72" s="21">
        <v>1471224</v>
      </c>
      <c r="O72" s="21">
        <v>224424</v>
      </c>
      <c r="P72">
        <v>2</v>
      </c>
      <c r="Q72" t="s">
        <v>42</v>
      </c>
      <c r="R72" s="37">
        <v>6</v>
      </c>
      <c r="S72" s="37">
        <v>1</v>
      </c>
      <c r="T72" t="s">
        <v>43</v>
      </c>
      <c r="U72" t="s">
        <v>63</v>
      </c>
      <c r="V72" t="s">
        <v>45</v>
      </c>
    </row>
    <row r="73" spans="1:22" ht="15" customHeight="1" x14ac:dyDescent="0.3">
      <c r="A73" t="s">
        <v>248</v>
      </c>
      <c r="B73" s="20">
        <v>45834</v>
      </c>
      <c r="C73" t="s">
        <v>249</v>
      </c>
      <c r="D73" t="s">
        <v>35</v>
      </c>
      <c r="E73" s="37">
        <v>32</v>
      </c>
      <c r="F73" t="s">
        <v>80</v>
      </c>
      <c r="G73" t="s">
        <v>81</v>
      </c>
      <c r="H73" t="s">
        <v>118</v>
      </c>
      <c r="I73" t="s">
        <v>82</v>
      </c>
      <c r="J73" t="s">
        <v>250</v>
      </c>
      <c r="K73" s="37">
        <v>6</v>
      </c>
      <c r="L73" t="s">
        <v>52</v>
      </c>
      <c r="M73" s="21">
        <v>50600</v>
      </c>
      <c r="N73" s="21">
        <v>722568</v>
      </c>
      <c r="O73" s="21">
        <v>115368</v>
      </c>
      <c r="P73">
        <v>5</v>
      </c>
      <c r="Q73" t="s">
        <v>42</v>
      </c>
      <c r="R73" s="37">
        <v>19</v>
      </c>
      <c r="S73" s="37">
        <v>6</v>
      </c>
      <c r="T73" t="s">
        <v>53</v>
      </c>
      <c r="U73" t="s">
        <v>63</v>
      </c>
      <c r="V73" t="s">
        <v>45</v>
      </c>
    </row>
    <row r="74" spans="1:22" ht="15" customHeight="1" x14ac:dyDescent="0.3">
      <c r="A74" t="s">
        <v>251</v>
      </c>
      <c r="B74" s="20">
        <v>45738</v>
      </c>
      <c r="C74" t="s">
        <v>252</v>
      </c>
      <c r="D74" t="s">
        <v>35</v>
      </c>
      <c r="E74" s="37">
        <v>35</v>
      </c>
      <c r="F74" t="s">
        <v>86</v>
      </c>
      <c r="G74" t="s">
        <v>87</v>
      </c>
      <c r="H74" t="s">
        <v>38</v>
      </c>
      <c r="I74" t="s">
        <v>39</v>
      </c>
      <c r="J74" t="s">
        <v>190</v>
      </c>
      <c r="K74" s="37">
        <v>24</v>
      </c>
      <c r="L74" t="s">
        <v>41</v>
      </c>
      <c r="M74" s="21">
        <v>32800</v>
      </c>
      <c r="N74" s="21">
        <v>472320</v>
      </c>
      <c r="O74" s="21">
        <v>78720</v>
      </c>
      <c r="P74">
        <v>3</v>
      </c>
      <c r="Q74" t="s">
        <v>42</v>
      </c>
      <c r="R74" s="37">
        <v>20</v>
      </c>
      <c r="S74" s="37">
        <v>31</v>
      </c>
      <c r="T74" t="s">
        <v>105</v>
      </c>
      <c r="U74" t="s">
        <v>44</v>
      </c>
      <c r="V74" t="s">
        <v>69</v>
      </c>
    </row>
    <row r="75" spans="1:22" ht="15" customHeight="1" x14ac:dyDescent="0.3">
      <c r="A75" t="s">
        <v>253</v>
      </c>
      <c r="B75" s="20">
        <v>45725</v>
      </c>
      <c r="C75" t="s">
        <v>143</v>
      </c>
      <c r="D75" t="s">
        <v>35</v>
      </c>
      <c r="E75" s="37">
        <v>49</v>
      </c>
      <c r="F75" t="s">
        <v>49</v>
      </c>
      <c r="G75" t="s">
        <v>50</v>
      </c>
      <c r="H75" t="s">
        <v>66</v>
      </c>
      <c r="I75" t="s">
        <v>39</v>
      </c>
      <c r="J75" t="s">
        <v>161</v>
      </c>
      <c r="K75" s="37">
        <v>6</v>
      </c>
      <c r="L75" t="s">
        <v>52</v>
      </c>
      <c r="M75" s="21">
        <v>48100</v>
      </c>
      <c r="N75" s="21">
        <v>669552</v>
      </c>
      <c r="O75" s="21">
        <v>92352</v>
      </c>
      <c r="P75">
        <v>4</v>
      </c>
      <c r="Q75" t="s">
        <v>42</v>
      </c>
      <c r="R75" s="37">
        <v>3</v>
      </c>
      <c r="S75" s="37">
        <v>27</v>
      </c>
      <c r="T75" t="s">
        <v>53</v>
      </c>
      <c r="U75" t="s">
        <v>63</v>
      </c>
      <c r="V75" t="s">
        <v>45</v>
      </c>
    </row>
    <row r="76" spans="1:22" ht="15" customHeight="1" x14ac:dyDescent="0.3">
      <c r="A76" t="s">
        <v>254</v>
      </c>
      <c r="B76" s="20">
        <v>45848</v>
      </c>
      <c r="C76" t="s">
        <v>255</v>
      </c>
      <c r="D76" t="s">
        <v>35</v>
      </c>
      <c r="E76" s="37">
        <v>23</v>
      </c>
      <c r="F76" t="s">
        <v>86</v>
      </c>
      <c r="G76" t="s">
        <v>87</v>
      </c>
      <c r="H76" t="s">
        <v>74</v>
      </c>
      <c r="I76" t="s">
        <v>75</v>
      </c>
      <c r="J76" t="s">
        <v>83</v>
      </c>
      <c r="K76" s="37">
        <v>18</v>
      </c>
      <c r="L76" t="s">
        <v>52</v>
      </c>
      <c r="M76" s="21">
        <v>91200</v>
      </c>
      <c r="N76" s="21">
        <v>1214784</v>
      </c>
      <c r="O76" s="21">
        <v>120384</v>
      </c>
      <c r="P76">
        <v>4</v>
      </c>
      <c r="Q76" t="s">
        <v>42</v>
      </c>
      <c r="R76" s="37">
        <v>0</v>
      </c>
      <c r="S76" s="37">
        <v>34</v>
      </c>
      <c r="T76" t="s">
        <v>129</v>
      </c>
      <c r="U76" t="s">
        <v>63</v>
      </c>
      <c r="V76" t="s">
        <v>45</v>
      </c>
    </row>
    <row r="77" spans="1:22" ht="15" customHeight="1" x14ac:dyDescent="0.3">
      <c r="A77" t="s">
        <v>256</v>
      </c>
      <c r="B77" s="20">
        <v>46015</v>
      </c>
      <c r="C77" t="s">
        <v>257</v>
      </c>
      <c r="D77" t="s">
        <v>35</v>
      </c>
      <c r="E77" s="37">
        <v>58</v>
      </c>
      <c r="F77" t="s">
        <v>36</v>
      </c>
      <c r="G77" t="s">
        <v>37</v>
      </c>
      <c r="H77" t="s">
        <v>38</v>
      </c>
      <c r="I77" t="s">
        <v>82</v>
      </c>
      <c r="J77" t="s">
        <v>110</v>
      </c>
      <c r="K77" s="37">
        <v>28</v>
      </c>
      <c r="L77" t="s">
        <v>52</v>
      </c>
      <c r="M77" s="21">
        <v>58000</v>
      </c>
      <c r="N77" s="21">
        <v>765600</v>
      </c>
      <c r="O77" s="21">
        <v>69600</v>
      </c>
      <c r="P77">
        <v>4</v>
      </c>
      <c r="Q77" t="s">
        <v>42</v>
      </c>
      <c r="R77" s="37">
        <v>1</v>
      </c>
      <c r="S77" s="37">
        <v>34</v>
      </c>
      <c r="T77" t="s">
        <v>146</v>
      </c>
      <c r="U77" t="s">
        <v>44</v>
      </c>
      <c r="V77" t="s">
        <v>45</v>
      </c>
    </row>
    <row r="78" spans="1:22" ht="15" customHeight="1" x14ac:dyDescent="0.3">
      <c r="A78" t="s">
        <v>258</v>
      </c>
      <c r="B78" s="20">
        <v>45996</v>
      </c>
      <c r="C78" t="s">
        <v>34</v>
      </c>
      <c r="D78" t="s">
        <v>35</v>
      </c>
      <c r="E78" s="37">
        <v>31</v>
      </c>
      <c r="F78" t="s">
        <v>80</v>
      </c>
      <c r="G78" t="s">
        <v>81</v>
      </c>
      <c r="H78" t="s">
        <v>66</v>
      </c>
      <c r="I78" t="s">
        <v>82</v>
      </c>
      <c r="J78" t="s">
        <v>67</v>
      </c>
      <c r="K78" s="37">
        <v>9</v>
      </c>
      <c r="L78" t="s">
        <v>52</v>
      </c>
      <c r="M78" s="21">
        <v>57400</v>
      </c>
      <c r="N78" s="21">
        <v>771456</v>
      </c>
      <c r="O78" s="21">
        <v>82656</v>
      </c>
      <c r="P78">
        <v>4</v>
      </c>
      <c r="Q78" t="s">
        <v>42</v>
      </c>
      <c r="R78" s="37">
        <v>19</v>
      </c>
      <c r="S78" s="37">
        <v>27</v>
      </c>
      <c r="T78" t="s">
        <v>175</v>
      </c>
      <c r="U78" t="s">
        <v>63</v>
      </c>
      <c r="V78" t="s">
        <v>69</v>
      </c>
    </row>
    <row r="79" spans="1:22" ht="15" customHeight="1" x14ac:dyDescent="0.3">
      <c r="A79" t="s">
        <v>259</v>
      </c>
      <c r="B79" s="20">
        <v>45730</v>
      </c>
      <c r="C79" t="s">
        <v>241</v>
      </c>
      <c r="D79" t="s">
        <v>48</v>
      </c>
      <c r="E79" s="37">
        <v>36</v>
      </c>
      <c r="F79" t="s">
        <v>97</v>
      </c>
      <c r="G79" t="s">
        <v>98</v>
      </c>
      <c r="H79" t="s">
        <v>38</v>
      </c>
      <c r="I79" t="s">
        <v>39</v>
      </c>
      <c r="J79" t="s">
        <v>134</v>
      </c>
      <c r="K79" s="37">
        <v>13</v>
      </c>
      <c r="L79" t="s">
        <v>52</v>
      </c>
      <c r="M79" s="21">
        <v>37100</v>
      </c>
      <c r="N79" s="21">
        <v>529788</v>
      </c>
      <c r="O79" s="21">
        <v>84588</v>
      </c>
      <c r="P79">
        <v>2</v>
      </c>
      <c r="Q79" t="s">
        <v>126</v>
      </c>
      <c r="R79" s="37">
        <v>5</v>
      </c>
      <c r="S79" s="37">
        <v>36</v>
      </c>
      <c r="T79" t="s">
        <v>146</v>
      </c>
      <c r="U79" t="s">
        <v>44</v>
      </c>
      <c r="V79" t="s">
        <v>69</v>
      </c>
    </row>
    <row r="80" spans="1:22" ht="15" customHeight="1" x14ac:dyDescent="0.3">
      <c r="A80" t="s">
        <v>260</v>
      </c>
      <c r="B80" s="20">
        <v>45813</v>
      </c>
      <c r="C80" t="s">
        <v>261</v>
      </c>
      <c r="D80" t="s">
        <v>48</v>
      </c>
      <c r="E80" s="37">
        <v>45</v>
      </c>
      <c r="F80" t="s">
        <v>86</v>
      </c>
      <c r="G80" t="s">
        <v>87</v>
      </c>
      <c r="H80" t="s">
        <v>66</v>
      </c>
      <c r="I80" t="s">
        <v>51</v>
      </c>
      <c r="J80" t="s">
        <v>170</v>
      </c>
      <c r="K80" s="37">
        <v>17</v>
      </c>
      <c r="L80" t="s">
        <v>52</v>
      </c>
      <c r="M80" s="21">
        <v>256600</v>
      </c>
      <c r="N80" s="21">
        <v>3294744</v>
      </c>
      <c r="O80" s="21">
        <v>215544</v>
      </c>
      <c r="P80">
        <v>3</v>
      </c>
      <c r="Q80" t="s">
        <v>126</v>
      </c>
      <c r="R80" s="37">
        <v>17</v>
      </c>
      <c r="S80" s="37">
        <v>7</v>
      </c>
      <c r="T80" t="s">
        <v>62</v>
      </c>
      <c r="U80" t="s">
        <v>44</v>
      </c>
      <c r="V80" t="s">
        <v>45</v>
      </c>
    </row>
    <row r="81" spans="1:22" ht="15" customHeight="1" x14ac:dyDescent="0.3">
      <c r="A81" t="s">
        <v>262</v>
      </c>
      <c r="B81" s="20">
        <v>45793</v>
      </c>
      <c r="C81" t="s">
        <v>263</v>
      </c>
      <c r="D81" t="s">
        <v>48</v>
      </c>
      <c r="E81" s="37">
        <v>22</v>
      </c>
      <c r="F81" t="s">
        <v>57</v>
      </c>
      <c r="G81" t="s">
        <v>58</v>
      </c>
      <c r="H81" t="s">
        <v>118</v>
      </c>
      <c r="I81" t="s">
        <v>82</v>
      </c>
      <c r="J81" t="s">
        <v>119</v>
      </c>
      <c r="K81" s="37">
        <v>17</v>
      </c>
      <c r="L81" t="s">
        <v>52</v>
      </c>
      <c r="M81" s="21">
        <v>62500</v>
      </c>
      <c r="N81" s="21">
        <v>855000</v>
      </c>
      <c r="O81" s="21">
        <v>105000</v>
      </c>
      <c r="P81">
        <v>2</v>
      </c>
      <c r="Q81" t="s">
        <v>42</v>
      </c>
      <c r="R81" s="37">
        <v>13</v>
      </c>
      <c r="S81" s="37">
        <v>3</v>
      </c>
      <c r="T81" t="s">
        <v>68</v>
      </c>
      <c r="U81" t="s">
        <v>63</v>
      </c>
      <c r="V81" t="s">
        <v>45</v>
      </c>
    </row>
    <row r="82" spans="1:22" ht="15" customHeight="1" x14ac:dyDescent="0.3">
      <c r="A82" t="s">
        <v>264</v>
      </c>
      <c r="B82" s="20">
        <v>45923</v>
      </c>
      <c r="C82" t="s">
        <v>265</v>
      </c>
      <c r="D82" t="s">
        <v>48</v>
      </c>
      <c r="E82" s="37">
        <v>27</v>
      </c>
      <c r="F82" t="s">
        <v>91</v>
      </c>
      <c r="G82" t="s">
        <v>92</v>
      </c>
      <c r="H82" t="s">
        <v>118</v>
      </c>
      <c r="I82" t="s">
        <v>51</v>
      </c>
      <c r="J82" t="s">
        <v>219</v>
      </c>
      <c r="K82" s="37">
        <v>8</v>
      </c>
      <c r="L82" t="s">
        <v>52</v>
      </c>
      <c r="M82" s="21">
        <v>192600</v>
      </c>
      <c r="N82" s="21">
        <v>2472984</v>
      </c>
      <c r="O82" s="21">
        <v>161784</v>
      </c>
      <c r="P82">
        <v>4</v>
      </c>
      <c r="Q82" t="s">
        <v>42</v>
      </c>
      <c r="R82" s="37">
        <v>3</v>
      </c>
      <c r="S82" s="37">
        <v>37</v>
      </c>
      <c r="T82" t="s">
        <v>105</v>
      </c>
      <c r="U82" t="s">
        <v>138</v>
      </c>
      <c r="V82" t="s">
        <v>45</v>
      </c>
    </row>
    <row r="83" spans="1:22" ht="15" customHeight="1" x14ac:dyDescent="0.3">
      <c r="A83" t="s">
        <v>266</v>
      </c>
      <c r="B83" s="20">
        <v>45932</v>
      </c>
      <c r="C83" t="s">
        <v>267</v>
      </c>
      <c r="D83" t="s">
        <v>35</v>
      </c>
      <c r="E83" s="37">
        <v>45</v>
      </c>
      <c r="F83" t="s">
        <v>97</v>
      </c>
      <c r="G83" t="s">
        <v>98</v>
      </c>
      <c r="H83" t="s">
        <v>59</v>
      </c>
      <c r="I83" t="s">
        <v>82</v>
      </c>
      <c r="J83" t="s">
        <v>104</v>
      </c>
      <c r="K83" s="37">
        <v>11</v>
      </c>
      <c r="L83" t="s">
        <v>52</v>
      </c>
      <c r="M83" s="21">
        <v>54400</v>
      </c>
      <c r="N83" s="21">
        <v>724608</v>
      </c>
      <c r="O83" s="21">
        <v>71808</v>
      </c>
      <c r="P83">
        <v>4</v>
      </c>
      <c r="Q83" t="s">
        <v>42</v>
      </c>
      <c r="R83" s="37">
        <v>16</v>
      </c>
      <c r="S83" s="37">
        <v>34</v>
      </c>
      <c r="T83" t="s">
        <v>43</v>
      </c>
      <c r="U83" t="s">
        <v>44</v>
      </c>
      <c r="V83" t="s">
        <v>45</v>
      </c>
    </row>
    <row r="84" spans="1:22" ht="15" customHeight="1" x14ac:dyDescent="0.3">
      <c r="A84" t="s">
        <v>268</v>
      </c>
      <c r="B84" s="20">
        <v>45792</v>
      </c>
      <c r="C84" t="s">
        <v>269</v>
      </c>
      <c r="D84" t="s">
        <v>35</v>
      </c>
      <c r="E84" s="37">
        <v>23</v>
      </c>
      <c r="F84" t="s">
        <v>97</v>
      </c>
      <c r="G84" t="s">
        <v>98</v>
      </c>
      <c r="H84" t="s">
        <v>118</v>
      </c>
      <c r="I84" t="s">
        <v>75</v>
      </c>
      <c r="J84" t="s">
        <v>250</v>
      </c>
      <c r="K84" s="37">
        <v>11</v>
      </c>
      <c r="L84" t="s">
        <v>52</v>
      </c>
      <c r="M84" s="21">
        <v>85600</v>
      </c>
      <c r="N84" s="21">
        <v>1119648</v>
      </c>
      <c r="O84" s="21">
        <v>92448</v>
      </c>
      <c r="P84">
        <v>4</v>
      </c>
      <c r="Q84" t="s">
        <v>42</v>
      </c>
      <c r="R84" s="37">
        <v>5</v>
      </c>
      <c r="S84" s="37">
        <v>20</v>
      </c>
      <c r="T84" t="s">
        <v>94</v>
      </c>
      <c r="U84" t="s">
        <v>44</v>
      </c>
      <c r="V84" t="s">
        <v>45</v>
      </c>
    </row>
    <row r="85" spans="1:22" ht="15" customHeight="1" x14ac:dyDescent="0.3">
      <c r="A85" t="s">
        <v>270</v>
      </c>
      <c r="B85" s="20">
        <v>45670</v>
      </c>
      <c r="C85" t="s">
        <v>71</v>
      </c>
      <c r="D85" t="s">
        <v>35</v>
      </c>
      <c r="E85" s="37">
        <v>36</v>
      </c>
      <c r="F85" t="s">
        <v>123</v>
      </c>
      <c r="G85" t="s">
        <v>124</v>
      </c>
      <c r="H85" t="s">
        <v>118</v>
      </c>
      <c r="I85" t="s">
        <v>82</v>
      </c>
      <c r="J85" t="s">
        <v>119</v>
      </c>
      <c r="K85" s="37">
        <v>13</v>
      </c>
      <c r="L85" t="s">
        <v>52</v>
      </c>
      <c r="M85" s="21">
        <v>49700</v>
      </c>
      <c r="N85" s="21">
        <v>650076</v>
      </c>
      <c r="O85" s="21">
        <v>53676</v>
      </c>
      <c r="P85">
        <v>3</v>
      </c>
      <c r="Q85" t="s">
        <v>42</v>
      </c>
      <c r="R85" s="37">
        <v>2</v>
      </c>
      <c r="S85" s="37">
        <v>7</v>
      </c>
      <c r="T85" t="s">
        <v>129</v>
      </c>
      <c r="U85" t="s">
        <v>63</v>
      </c>
      <c r="V85" t="s">
        <v>45</v>
      </c>
    </row>
    <row r="86" spans="1:22" ht="15" customHeight="1" x14ac:dyDescent="0.3">
      <c r="A86" t="s">
        <v>271</v>
      </c>
      <c r="B86" s="20">
        <v>46000</v>
      </c>
      <c r="C86" t="s">
        <v>272</v>
      </c>
      <c r="D86" t="s">
        <v>35</v>
      </c>
      <c r="E86" s="37">
        <v>52</v>
      </c>
      <c r="F86" t="s">
        <v>49</v>
      </c>
      <c r="G86" t="s">
        <v>50</v>
      </c>
      <c r="H86" t="s">
        <v>74</v>
      </c>
      <c r="I86" t="s">
        <v>39</v>
      </c>
      <c r="J86" t="s">
        <v>152</v>
      </c>
      <c r="K86" s="37">
        <v>9</v>
      </c>
      <c r="L86" t="s">
        <v>52</v>
      </c>
      <c r="M86" s="21">
        <v>46000</v>
      </c>
      <c r="N86" s="21">
        <v>612720</v>
      </c>
      <c r="O86" s="21">
        <v>60720</v>
      </c>
      <c r="P86">
        <v>2</v>
      </c>
      <c r="Q86" t="s">
        <v>42</v>
      </c>
      <c r="R86" s="37">
        <v>11</v>
      </c>
      <c r="S86" s="37">
        <v>12</v>
      </c>
      <c r="T86" t="s">
        <v>94</v>
      </c>
      <c r="U86" t="s">
        <v>63</v>
      </c>
      <c r="V86" t="s">
        <v>45</v>
      </c>
    </row>
    <row r="87" spans="1:22" ht="15" customHeight="1" x14ac:dyDescent="0.3">
      <c r="A87" t="s">
        <v>273</v>
      </c>
      <c r="B87" s="20">
        <v>45792</v>
      </c>
      <c r="C87" t="s">
        <v>274</v>
      </c>
      <c r="D87" t="s">
        <v>48</v>
      </c>
      <c r="E87" s="37">
        <v>45</v>
      </c>
      <c r="F87" t="s">
        <v>49</v>
      </c>
      <c r="G87" t="s">
        <v>50</v>
      </c>
      <c r="H87" t="s">
        <v>66</v>
      </c>
      <c r="I87" t="s">
        <v>60</v>
      </c>
      <c r="J87" t="s">
        <v>161</v>
      </c>
      <c r="K87" s="37">
        <v>25</v>
      </c>
      <c r="L87" t="s">
        <v>52</v>
      </c>
      <c r="M87" s="21">
        <v>145100</v>
      </c>
      <c r="N87" s="21">
        <v>2019791</v>
      </c>
      <c r="O87" s="21">
        <v>278592</v>
      </c>
      <c r="P87">
        <v>5</v>
      </c>
      <c r="Q87" t="s">
        <v>42</v>
      </c>
      <c r="R87" s="37">
        <v>17</v>
      </c>
      <c r="S87" s="37">
        <v>18</v>
      </c>
      <c r="T87" t="s">
        <v>53</v>
      </c>
      <c r="U87" t="s">
        <v>44</v>
      </c>
      <c r="V87" t="s">
        <v>69</v>
      </c>
    </row>
    <row r="88" spans="1:22" ht="15" customHeight="1" x14ac:dyDescent="0.3">
      <c r="A88" t="s">
        <v>275</v>
      </c>
      <c r="B88" s="20">
        <v>45815</v>
      </c>
      <c r="C88" t="s">
        <v>276</v>
      </c>
      <c r="D88" t="s">
        <v>35</v>
      </c>
      <c r="E88" s="37">
        <v>54</v>
      </c>
      <c r="F88" t="s">
        <v>57</v>
      </c>
      <c r="G88" t="s">
        <v>58</v>
      </c>
      <c r="H88" t="s">
        <v>66</v>
      </c>
      <c r="I88" t="s">
        <v>39</v>
      </c>
      <c r="J88" t="s">
        <v>67</v>
      </c>
      <c r="K88" s="37">
        <v>14</v>
      </c>
      <c r="L88" t="s">
        <v>52</v>
      </c>
      <c r="M88" s="21">
        <v>37500</v>
      </c>
      <c r="N88" s="21">
        <v>517499</v>
      </c>
      <c r="O88" s="21">
        <v>67500</v>
      </c>
      <c r="P88">
        <v>3</v>
      </c>
      <c r="Q88" t="s">
        <v>42</v>
      </c>
      <c r="R88" s="37">
        <v>1</v>
      </c>
      <c r="S88" s="37">
        <v>34</v>
      </c>
      <c r="T88" t="s">
        <v>94</v>
      </c>
      <c r="U88" t="s">
        <v>63</v>
      </c>
      <c r="V88" t="s">
        <v>69</v>
      </c>
    </row>
    <row r="89" spans="1:22" ht="15" customHeight="1" x14ac:dyDescent="0.3">
      <c r="A89" t="s">
        <v>277</v>
      </c>
      <c r="B89" s="20">
        <v>45693</v>
      </c>
      <c r="C89" t="s">
        <v>278</v>
      </c>
      <c r="D89" t="s">
        <v>48</v>
      </c>
      <c r="E89" s="37">
        <v>45</v>
      </c>
      <c r="F89" t="s">
        <v>80</v>
      </c>
      <c r="G89" t="s">
        <v>81</v>
      </c>
      <c r="H89" t="s">
        <v>59</v>
      </c>
      <c r="I89" t="s">
        <v>82</v>
      </c>
      <c r="J89" t="s">
        <v>88</v>
      </c>
      <c r="K89" s="37">
        <v>13</v>
      </c>
      <c r="L89" t="s">
        <v>52</v>
      </c>
      <c r="M89" s="21">
        <v>56000</v>
      </c>
      <c r="N89" s="21">
        <v>766080</v>
      </c>
      <c r="O89" s="21">
        <v>94080</v>
      </c>
      <c r="P89">
        <v>3</v>
      </c>
      <c r="Q89" t="s">
        <v>42</v>
      </c>
      <c r="R89" s="37">
        <v>5</v>
      </c>
      <c r="S89" s="37">
        <v>40</v>
      </c>
      <c r="T89" t="s">
        <v>94</v>
      </c>
      <c r="U89" t="s">
        <v>44</v>
      </c>
      <c r="V89" t="s">
        <v>45</v>
      </c>
    </row>
    <row r="90" spans="1:22" ht="15" customHeight="1" x14ac:dyDescent="0.3">
      <c r="A90" t="s">
        <v>279</v>
      </c>
      <c r="B90" s="20">
        <v>45923</v>
      </c>
      <c r="C90" t="s">
        <v>280</v>
      </c>
      <c r="D90" t="s">
        <v>35</v>
      </c>
      <c r="E90" s="37">
        <v>29</v>
      </c>
      <c r="F90" t="s">
        <v>86</v>
      </c>
      <c r="G90" t="s">
        <v>87</v>
      </c>
      <c r="H90" t="s">
        <v>59</v>
      </c>
      <c r="I90" t="s">
        <v>39</v>
      </c>
      <c r="J90" t="s">
        <v>141</v>
      </c>
      <c r="K90" s="37">
        <v>2</v>
      </c>
      <c r="L90" t="s">
        <v>52</v>
      </c>
      <c r="M90" s="21">
        <v>28000</v>
      </c>
      <c r="N90" s="21">
        <v>372960</v>
      </c>
      <c r="O90" s="21">
        <v>36960</v>
      </c>
      <c r="P90">
        <v>3</v>
      </c>
      <c r="Q90" t="s">
        <v>42</v>
      </c>
      <c r="R90" s="37">
        <v>19</v>
      </c>
      <c r="S90" s="37">
        <v>7</v>
      </c>
      <c r="T90" t="s">
        <v>43</v>
      </c>
      <c r="U90" t="s">
        <v>63</v>
      </c>
      <c r="V90" t="s">
        <v>45</v>
      </c>
    </row>
    <row r="91" spans="1:22" ht="15" customHeight="1" x14ac:dyDescent="0.3">
      <c r="A91" t="s">
        <v>281</v>
      </c>
      <c r="B91" s="20">
        <v>45678</v>
      </c>
      <c r="C91" t="s">
        <v>282</v>
      </c>
      <c r="D91" t="s">
        <v>35</v>
      </c>
      <c r="E91" s="37">
        <v>38</v>
      </c>
      <c r="F91" t="s">
        <v>72</v>
      </c>
      <c r="G91" t="s">
        <v>73</v>
      </c>
      <c r="H91" t="s">
        <v>74</v>
      </c>
      <c r="I91" t="s">
        <v>60</v>
      </c>
      <c r="J91" t="s">
        <v>76</v>
      </c>
      <c r="K91" s="37">
        <v>22</v>
      </c>
      <c r="L91" t="s">
        <v>52</v>
      </c>
      <c r="M91" s="21">
        <v>127800</v>
      </c>
      <c r="N91" s="21">
        <v>1840320</v>
      </c>
      <c r="O91" s="21">
        <v>306720</v>
      </c>
      <c r="P91">
        <v>5</v>
      </c>
      <c r="Q91" t="s">
        <v>42</v>
      </c>
      <c r="R91" s="37">
        <v>20</v>
      </c>
      <c r="S91" s="37">
        <v>19</v>
      </c>
      <c r="T91" t="s">
        <v>43</v>
      </c>
      <c r="U91" t="s">
        <v>44</v>
      </c>
      <c r="V91" t="s">
        <v>45</v>
      </c>
    </row>
    <row r="92" spans="1:22" ht="15" customHeight="1" x14ac:dyDescent="0.3">
      <c r="A92" t="s">
        <v>283</v>
      </c>
      <c r="B92" s="20">
        <v>45813</v>
      </c>
      <c r="C92" t="s">
        <v>284</v>
      </c>
      <c r="D92" t="s">
        <v>48</v>
      </c>
      <c r="E92" s="37">
        <v>55</v>
      </c>
      <c r="F92" t="s">
        <v>123</v>
      </c>
      <c r="G92" t="s">
        <v>124</v>
      </c>
      <c r="H92" t="s">
        <v>66</v>
      </c>
      <c r="I92" t="s">
        <v>39</v>
      </c>
      <c r="J92" t="s">
        <v>93</v>
      </c>
      <c r="K92" s="37">
        <v>8</v>
      </c>
      <c r="L92" t="s">
        <v>52</v>
      </c>
      <c r="M92" s="21">
        <v>49200</v>
      </c>
      <c r="N92" s="21">
        <v>667151</v>
      </c>
      <c r="O92" s="21">
        <v>76752</v>
      </c>
      <c r="P92">
        <v>3</v>
      </c>
      <c r="Q92" t="s">
        <v>42</v>
      </c>
      <c r="R92" s="37">
        <v>3</v>
      </c>
      <c r="S92" s="37">
        <v>17</v>
      </c>
      <c r="T92" t="s">
        <v>94</v>
      </c>
      <c r="U92" t="s">
        <v>44</v>
      </c>
      <c r="V92" t="s">
        <v>45</v>
      </c>
    </row>
    <row r="93" spans="1:22" ht="15" customHeight="1" x14ac:dyDescent="0.3">
      <c r="A93" t="s">
        <v>285</v>
      </c>
      <c r="B93" s="20">
        <v>45713</v>
      </c>
      <c r="C93" t="s">
        <v>286</v>
      </c>
      <c r="D93" t="s">
        <v>35</v>
      </c>
      <c r="E93" s="37">
        <v>39</v>
      </c>
      <c r="F93" t="s">
        <v>80</v>
      </c>
      <c r="G93" t="s">
        <v>81</v>
      </c>
      <c r="H93" t="s">
        <v>59</v>
      </c>
      <c r="I93" t="s">
        <v>82</v>
      </c>
      <c r="J93" t="s">
        <v>61</v>
      </c>
      <c r="K93" s="37">
        <v>15</v>
      </c>
      <c r="L93" t="s">
        <v>52</v>
      </c>
      <c r="M93" s="21">
        <v>59500</v>
      </c>
      <c r="N93" s="21">
        <v>785400</v>
      </c>
      <c r="O93" s="21">
        <v>71400</v>
      </c>
      <c r="P93">
        <v>1</v>
      </c>
      <c r="Q93" t="s">
        <v>126</v>
      </c>
      <c r="R93" s="37">
        <v>2</v>
      </c>
      <c r="S93" s="37">
        <v>17</v>
      </c>
      <c r="T93" t="s">
        <v>53</v>
      </c>
      <c r="U93" t="s">
        <v>63</v>
      </c>
      <c r="V93" t="s">
        <v>45</v>
      </c>
    </row>
    <row r="94" spans="1:22" ht="15" customHeight="1" x14ac:dyDescent="0.3">
      <c r="A94" t="s">
        <v>287</v>
      </c>
      <c r="B94" s="20">
        <v>46004</v>
      </c>
      <c r="C94" t="s">
        <v>288</v>
      </c>
      <c r="D94" t="s">
        <v>35</v>
      </c>
      <c r="E94" s="37">
        <v>52</v>
      </c>
      <c r="F94" t="s">
        <v>108</v>
      </c>
      <c r="G94" t="s">
        <v>109</v>
      </c>
      <c r="H94" t="s">
        <v>59</v>
      </c>
      <c r="I94" t="s">
        <v>75</v>
      </c>
      <c r="J94" t="s">
        <v>88</v>
      </c>
      <c r="K94" s="37">
        <v>19</v>
      </c>
      <c r="L94" t="s">
        <v>52</v>
      </c>
      <c r="M94" s="21">
        <v>78900</v>
      </c>
      <c r="N94" s="21">
        <v>1013076</v>
      </c>
      <c r="O94" s="21">
        <v>66276</v>
      </c>
      <c r="P94">
        <v>3</v>
      </c>
      <c r="Q94" t="s">
        <v>126</v>
      </c>
      <c r="R94" s="37">
        <v>1</v>
      </c>
      <c r="S94" s="37">
        <v>3</v>
      </c>
      <c r="T94" t="s">
        <v>175</v>
      </c>
      <c r="U94" t="s">
        <v>44</v>
      </c>
      <c r="V94" t="s">
        <v>69</v>
      </c>
    </row>
    <row r="95" spans="1:22" ht="15" customHeight="1" x14ac:dyDescent="0.3">
      <c r="A95" t="s">
        <v>289</v>
      </c>
      <c r="B95" s="20">
        <v>45903</v>
      </c>
      <c r="C95" t="s">
        <v>261</v>
      </c>
      <c r="D95" t="s">
        <v>48</v>
      </c>
      <c r="E95" s="37">
        <v>50</v>
      </c>
      <c r="F95" t="s">
        <v>97</v>
      </c>
      <c r="G95" t="s">
        <v>98</v>
      </c>
      <c r="H95" t="s">
        <v>38</v>
      </c>
      <c r="I95" t="s">
        <v>39</v>
      </c>
      <c r="J95" t="s">
        <v>134</v>
      </c>
      <c r="K95" s="37">
        <v>27</v>
      </c>
      <c r="L95" t="s">
        <v>52</v>
      </c>
      <c r="M95" s="21">
        <v>35100</v>
      </c>
      <c r="N95" s="21">
        <v>475955</v>
      </c>
      <c r="O95" s="21">
        <v>54756</v>
      </c>
      <c r="P95">
        <v>3</v>
      </c>
      <c r="Q95" t="s">
        <v>42</v>
      </c>
      <c r="R95" s="37">
        <v>10</v>
      </c>
      <c r="S95" s="37">
        <v>30</v>
      </c>
      <c r="T95" t="s">
        <v>77</v>
      </c>
      <c r="U95" t="s">
        <v>44</v>
      </c>
      <c r="V95" t="s">
        <v>69</v>
      </c>
    </row>
    <row r="96" spans="1:22" ht="15" customHeight="1" x14ac:dyDescent="0.3">
      <c r="A96" t="s">
        <v>290</v>
      </c>
      <c r="B96" s="20">
        <v>45843</v>
      </c>
      <c r="C96" t="s">
        <v>201</v>
      </c>
      <c r="D96" t="s">
        <v>35</v>
      </c>
      <c r="E96" s="37">
        <v>28</v>
      </c>
      <c r="F96" t="s">
        <v>108</v>
      </c>
      <c r="G96" t="s">
        <v>109</v>
      </c>
      <c r="H96" t="s">
        <v>66</v>
      </c>
      <c r="I96" t="s">
        <v>51</v>
      </c>
      <c r="J96" t="s">
        <v>161</v>
      </c>
      <c r="K96" s="37">
        <v>4</v>
      </c>
      <c r="L96" t="s">
        <v>52</v>
      </c>
      <c r="M96" s="21">
        <v>234800</v>
      </c>
      <c r="N96" s="21">
        <v>3212064</v>
      </c>
      <c r="O96" s="21">
        <v>394464</v>
      </c>
      <c r="P96">
        <v>4</v>
      </c>
      <c r="Q96" t="s">
        <v>42</v>
      </c>
      <c r="R96" s="37">
        <v>4</v>
      </c>
      <c r="S96" s="37">
        <v>34</v>
      </c>
      <c r="T96" t="s">
        <v>94</v>
      </c>
      <c r="U96" t="s">
        <v>63</v>
      </c>
      <c r="V96" t="s">
        <v>45</v>
      </c>
    </row>
    <row r="97" spans="1:22" ht="15" customHeight="1" x14ac:dyDescent="0.3">
      <c r="A97" t="s">
        <v>291</v>
      </c>
      <c r="B97" s="20">
        <v>45733</v>
      </c>
      <c r="C97" t="s">
        <v>292</v>
      </c>
      <c r="D97" t="s">
        <v>35</v>
      </c>
      <c r="E97" s="37">
        <v>48</v>
      </c>
      <c r="F97" t="s">
        <v>36</v>
      </c>
      <c r="G97" t="s">
        <v>37</v>
      </c>
      <c r="H97" t="s">
        <v>38</v>
      </c>
      <c r="I97" t="s">
        <v>39</v>
      </c>
      <c r="J97" t="s">
        <v>134</v>
      </c>
      <c r="K97" s="37">
        <v>22</v>
      </c>
      <c r="L97" t="s">
        <v>52</v>
      </c>
      <c r="M97" s="21">
        <v>37200</v>
      </c>
      <c r="N97" s="21">
        <v>482112</v>
      </c>
      <c r="O97" s="21">
        <v>35712</v>
      </c>
      <c r="P97">
        <v>1</v>
      </c>
      <c r="Q97" t="s">
        <v>42</v>
      </c>
      <c r="R97" s="37">
        <v>20</v>
      </c>
      <c r="S97" s="37">
        <v>17</v>
      </c>
      <c r="T97" t="s">
        <v>146</v>
      </c>
      <c r="U97" t="s">
        <v>54</v>
      </c>
      <c r="V97" t="s">
        <v>45</v>
      </c>
    </row>
    <row r="98" spans="1:22" ht="15" customHeight="1" x14ac:dyDescent="0.3">
      <c r="A98" t="s">
        <v>293</v>
      </c>
      <c r="B98" s="20">
        <v>45667</v>
      </c>
      <c r="C98" t="s">
        <v>294</v>
      </c>
      <c r="D98" t="s">
        <v>35</v>
      </c>
      <c r="E98" s="37">
        <v>55</v>
      </c>
      <c r="F98" t="s">
        <v>123</v>
      </c>
      <c r="G98" t="s">
        <v>124</v>
      </c>
      <c r="H98" t="s">
        <v>38</v>
      </c>
      <c r="I98" t="s">
        <v>75</v>
      </c>
      <c r="J98" t="s">
        <v>40</v>
      </c>
      <c r="K98" s="37">
        <v>8</v>
      </c>
      <c r="L98" t="s">
        <v>52</v>
      </c>
      <c r="M98" s="21">
        <v>101400</v>
      </c>
      <c r="N98" s="21">
        <v>1350648</v>
      </c>
      <c r="O98" s="21">
        <v>133848</v>
      </c>
      <c r="P98">
        <v>5</v>
      </c>
      <c r="Q98" t="s">
        <v>126</v>
      </c>
      <c r="R98" s="37">
        <v>16</v>
      </c>
      <c r="S98" s="37">
        <v>8</v>
      </c>
      <c r="T98" t="s">
        <v>175</v>
      </c>
      <c r="U98" t="s">
        <v>63</v>
      </c>
      <c r="V98" t="s">
        <v>69</v>
      </c>
    </row>
    <row r="99" spans="1:22" ht="15" customHeight="1" x14ac:dyDescent="0.3">
      <c r="A99" t="s">
        <v>295</v>
      </c>
      <c r="B99" s="20">
        <v>45740</v>
      </c>
      <c r="C99" t="s">
        <v>296</v>
      </c>
      <c r="D99" t="s">
        <v>48</v>
      </c>
      <c r="E99" s="37">
        <v>55</v>
      </c>
      <c r="F99" t="s">
        <v>72</v>
      </c>
      <c r="G99" t="s">
        <v>73</v>
      </c>
      <c r="H99" t="s">
        <v>118</v>
      </c>
      <c r="I99" t="s">
        <v>75</v>
      </c>
      <c r="J99" t="s">
        <v>250</v>
      </c>
      <c r="K99" s="37">
        <v>27</v>
      </c>
      <c r="L99" t="s">
        <v>52</v>
      </c>
      <c r="M99" s="21">
        <v>97100</v>
      </c>
      <c r="N99" s="21">
        <v>1246764</v>
      </c>
      <c r="O99" s="21">
        <v>81564</v>
      </c>
      <c r="P99">
        <v>5</v>
      </c>
      <c r="Q99" t="s">
        <v>42</v>
      </c>
      <c r="R99" s="37">
        <v>7</v>
      </c>
      <c r="S99" s="37">
        <v>12</v>
      </c>
      <c r="T99" t="s">
        <v>77</v>
      </c>
      <c r="U99" t="s">
        <v>44</v>
      </c>
      <c r="V99" t="s">
        <v>45</v>
      </c>
    </row>
    <row r="100" spans="1:22" ht="15" customHeight="1" x14ac:dyDescent="0.3">
      <c r="A100" t="s">
        <v>297</v>
      </c>
      <c r="B100" s="20">
        <v>45823</v>
      </c>
      <c r="C100" t="s">
        <v>186</v>
      </c>
      <c r="D100" t="s">
        <v>35</v>
      </c>
      <c r="E100" s="37">
        <v>41</v>
      </c>
      <c r="F100" t="s">
        <v>36</v>
      </c>
      <c r="G100" t="s">
        <v>37</v>
      </c>
      <c r="H100" t="s">
        <v>66</v>
      </c>
      <c r="I100" t="s">
        <v>82</v>
      </c>
      <c r="J100" t="s">
        <v>149</v>
      </c>
      <c r="K100" s="37">
        <v>10</v>
      </c>
      <c r="L100" t="s">
        <v>120</v>
      </c>
      <c r="M100" s="21">
        <v>77600</v>
      </c>
      <c r="N100" s="21">
        <v>1089504</v>
      </c>
      <c r="O100" s="21">
        <v>158304</v>
      </c>
      <c r="P100">
        <v>3</v>
      </c>
      <c r="Q100" t="s">
        <v>42</v>
      </c>
      <c r="R100" s="37">
        <v>4</v>
      </c>
      <c r="S100" s="37">
        <v>29</v>
      </c>
      <c r="T100" t="s">
        <v>43</v>
      </c>
      <c r="U100" t="s">
        <v>63</v>
      </c>
      <c r="V100" t="s">
        <v>69</v>
      </c>
    </row>
    <row r="101" spans="1:22" ht="15" customHeight="1" x14ac:dyDescent="0.3">
      <c r="A101" t="s">
        <v>298</v>
      </c>
      <c r="B101" s="20">
        <v>45710</v>
      </c>
      <c r="C101" t="s">
        <v>243</v>
      </c>
      <c r="D101" t="s">
        <v>35</v>
      </c>
      <c r="E101" s="37">
        <v>46</v>
      </c>
      <c r="F101" t="s">
        <v>91</v>
      </c>
      <c r="G101" t="s">
        <v>92</v>
      </c>
      <c r="H101" t="s">
        <v>66</v>
      </c>
      <c r="I101" t="s">
        <v>39</v>
      </c>
      <c r="J101" t="s">
        <v>161</v>
      </c>
      <c r="K101" s="37">
        <v>3</v>
      </c>
      <c r="L101" t="s">
        <v>52</v>
      </c>
      <c r="M101" s="21">
        <v>46600</v>
      </c>
      <c r="N101" s="21">
        <v>643080</v>
      </c>
      <c r="O101" s="21">
        <v>83880</v>
      </c>
      <c r="P101">
        <v>4</v>
      </c>
      <c r="Q101" t="s">
        <v>126</v>
      </c>
      <c r="R101" s="37">
        <v>17</v>
      </c>
      <c r="S101" s="37">
        <v>9</v>
      </c>
      <c r="T101" t="s">
        <v>146</v>
      </c>
      <c r="U101" t="s">
        <v>44</v>
      </c>
      <c r="V101" t="s">
        <v>69</v>
      </c>
    </row>
    <row r="102" spans="1:22" ht="15" customHeight="1" x14ac:dyDescent="0.3">
      <c r="A102" t="s">
        <v>299</v>
      </c>
      <c r="B102" s="20">
        <v>45742</v>
      </c>
      <c r="C102" t="s">
        <v>300</v>
      </c>
      <c r="D102" t="s">
        <v>35</v>
      </c>
      <c r="E102" s="37">
        <v>32</v>
      </c>
      <c r="F102" t="s">
        <v>49</v>
      </c>
      <c r="G102" t="s">
        <v>50</v>
      </c>
      <c r="H102" t="s">
        <v>66</v>
      </c>
      <c r="I102" t="s">
        <v>60</v>
      </c>
      <c r="J102" t="s">
        <v>161</v>
      </c>
      <c r="K102" s="37">
        <v>24</v>
      </c>
      <c r="L102" t="s">
        <v>52</v>
      </c>
      <c r="M102" s="21">
        <v>159900</v>
      </c>
      <c r="N102" s="21">
        <v>2129868</v>
      </c>
      <c r="O102" s="21">
        <v>211068</v>
      </c>
      <c r="P102">
        <v>3</v>
      </c>
      <c r="Q102" t="s">
        <v>42</v>
      </c>
      <c r="R102" s="37">
        <v>19</v>
      </c>
      <c r="S102" s="37">
        <v>20</v>
      </c>
      <c r="T102" t="s">
        <v>105</v>
      </c>
      <c r="U102" t="s">
        <v>54</v>
      </c>
      <c r="V102" t="s">
        <v>45</v>
      </c>
    </row>
    <row r="103" spans="1:22" ht="15" customHeight="1" x14ac:dyDescent="0.3">
      <c r="A103" t="s">
        <v>301</v>
      </c>
      <c r="B103" s="20">
        <v>45709</v>
      </c>
      <c r="C103" t="s">
        <v>302</v>
      </c>
      <c r="D103" t="s">
        <v>48</v>
      </c>
      <c r="E103" s="37">
        <v>33</v>
      </c>
      <c r="F103" t="s">
        <v>91</v>
      </c>
      <c r="G103" t="s">
        <v>92</v>
      </c>
      <c r="H103" t="s">
        <v>66</v>
      </c>
      <c r="I103" t="s">
        <v>75</v>
      </c>
      <c r="J103" t="s">
        <v>67</v>
      </c>
      <c r="K103" s="37">
        <v>29</v>
      </c>
      <c r="L103" t="s">
        <v>41</v>
      </c>
      <c r="M103" s="21">
        <v>111500</v>
      </c>
      <c r="N103" s="21">
        <v>1565460</v>
      </c>
      <c r="O103" s="21">
        <v>227460</v>
      </c>
      <c r="P103">
        <v>4</v>
      </c>
      <c r="Q103" t="s">
        <v>42</v>
      </c>
      <c r="R103" s="37">
        <v>10</v>
      </c>
      <c r="S103" s="37">
        <v>24</v>
      </c>
      <c r="T103" t="s">
        <v>43</v>
      </c>
      <c r="U103" t="s">
        <v>63</v>
      </c>
      <c r="V103" t="s">
        <v>45</v>
      </c>
    </row>
    <row r="104" spans="1:22" ht="15" customHeight="1" x14ac:dyDescent="0.3">
      <c r="A104" t="s">
        <v>303</v>
      </c>
      <c r="B104" s="20">
        <v>45870</v>
      </c>
      <c r="C104" t="s">
        <v>156</v>
      </c>
      <c r="D104" t="s">
        <v>48</v>
      </c>
      <c r="E104" s="37">
        <v>44</v>
      </c>
      <c r="F104" t="s">
        <v>72</v>
      </c>
      <c r="G104" t="s">
        <v>73</v>
      </c>
      <c r="H104" t="s">
        <v>66</v>
      </c>
      <c r="I104" t="s">
        <v>82</v>
      </c>
      <c r="J104" t="s">
        <v>67</v>
      </c>
      <c r="K104" s="37">
        <v>28</v>
      </c>
      <c r="L104" t="s">
        <v>52</v>
      </c>
      <c r="M104" s="21">
        <v>69200</v>
      </c>
      <c r="N104" s="21">
        <v>888528</v>
      </c>
      <c r="O104" s="21">
        <v>58128</v>
      </c>
      <c r="P104">
        <v>3</v>
      </c>
      <c r="Q104" t="s">
        <v>126</v>
      </c>
      <c r="R104" s="37">
        <v>11</v>
      </c>
      <c r="S104" s="37">
        <v>24</v>
      </c>
      <c r="T104" t="s">
        <v>146</v>
      </c>
      <c r="U104" t="s">
        <v>44</v>
      </c>
      <c r="V104" t="s">
        <v>69</v>
      </c>
    </row>
    <row r="105" spans="1:22" ht="15" customHeight="1" x14ac:dyDescent="0.3">
      <c r="A105" t="s">
        <v>304</v>
      </c>
      <c r="B105" s="20">
        <v>45956</v>
      </c>
      <c r="C105" t="s">
        <v>305</v>
      </c>
      <c r="D105" t="s">
        <v>48</v>
      </c>
      <c r="E105" s="37">
        <v>25</v>
      </c>
      <c r="F105" t="s">
        <v>72</v>
      </c>
      <c r="G105" t="s">
        <v>73</v>
      </c>
      <c r="H105" t="s">
        <v>38</v>
      </c>
      <c r="I105" t="s">
        <v>60</v>
      </c>
      <c r="J105" t="s">
        <v>134</v>
      </c>
      <c r="K105" s="37">
        <v>10</v>
      </c>
      <c r="L105" t="s">
        <v>52</v>
      </c>
      <c r="M105" s="21">
        <v>149100</v>
      </c>
      <c r="N105" s="21">
        <v>2093363</v>
      </c>
      <c r="O105" s="21">
        <v>304164</v>
      </c>
      <c r="P105">
        <v>4</v>
      </c>
      <c r="Q105" t="s">
        <v>42</v>
      </c>
      <c r="R105" s="37">
        <v>15</v>
      </c>
      <c r="S105" s="37">
        <v>12</v>
      </c>
      <c r="T105" t="s">
        <v>175</v>
      </c>
      <c r="U105" t="s">
        <v>63</v>
      </c>
      <c r="V105" t="s">
        <v>69</v>
      </c>
    </row>
    <row r="106" spans="1:22" ht="15" customHeight="1" x14ac:dyDescent="0.3">
      <c r="A106" t="s">
        <v>306</v>
      </c>
      <c r="B106" s="20">
        <v>45783</v>
      </c>
      <c r="C106" t="s">
        <v>307</v>
      </c>
      <c r="D106" t="s">
        <v>35</v>
      </c>
      <c r="E106" s="37">
        <v>35</v>
      </c>
      <c r="F106" t="s">
        <v>91</v>
      </c>
      <c r="G106" t="s">
        <v>92</v>
      </c>
      <c r="H106" t="s">
        <v>118</v>
      </c>
      <c r="I106" t="s">
        <v>82</v>
      </c>
      <c r="J106" t="s">
        <v>182</v>
      </c>
      <c r="K106" s="37">
        <v>15</v>
      </c>
      <c r="L106" t="s">
        <v>52</v>
      </c>
      <c r="M106" s="21">
        <v>50700</v>
      </c>
      <c r="N106" s="21">
        <v>717912</v>
      </c>
      <c r="O106" s="21">
        <v>109512</v>
      </c>
      <c r="P106">
        <v>5</v>
      </c>
      <c r="Q106" t="s">
        <v>42</v>
      </c>
      <c r="R106" s="37">
        <v>3</v>
      </c>
      <c r="S106" s="37">
        <v>19</v>
      </c>
      <c r="T106" t="s">
        <v>129</v>
      </c>
      <c r="U106" t="s">
        <v>54</v>
      </c>
      <c r="V106" t="s">
        <v>45</v>
      </c>
    </row>
    <row r="107" spans="1:22" ht="15" customHeight="1" x14ac:dyDescent="0.3">
      <c r="A107" t="s">
        <v>308</v>
      </c>
      <c r="B107" s="20">
        <v>45707</v>
      </c>
      <c r="C107" t="s">
        <v>309</v>
      </c>
      <c r="D107" t="s">
        <v>35</v>
      </c>
      <c r="E107" s="37">
        <v>42</v>
      </c>
      <c r="F107" t="s">
        <v>49</v>
      </c>
      <c r="G107" t="s">
        <v>50</v>
      </c>
      <c r="H107" t="s">
        <v>59</v>
      </c>
      <c r="I107" t="s">
        <v>82</v>
      </c>
      <c r="J107" t="s">
        <v>104</v>
      </c>
      <c r="K107" s="37">
        <v>12</v>
      </c>
      <c r="L107" t="s">
        <v>52</v>
      </c>
      <c r="M107" s="21">
        <v>54900</v>
      </c>
      <c r="N107" s="21">
        <v>737856</v>
      </c>
      <c r="O107" s="21">
        <v>79056</v>
      </c>
      <c r="P107">
        <v>4</v>
      </c>
      <c r="Q107" t="s">
        <v>126</v>
      </c>
      <c r="R107" s="37">
        <v>15</v>
      </c>
      <c r="S107" s="37">
        <v>3</v>
      </c>
      <c r="T107" t="s">
        <v>77</v>
      </c>
      <c r="U107" t="s">
        <v>63</v>
      </c>
      <c r="V107" t="s">
        <v>45</v>
      </c>
    </row>
    <row r="108" spans="1:22" ht="15" customHeight="1" x14ac:dyDescent="0.3">
      <c r="A108" t="s">
        <v>310</v>
      </c>
      <c r="B108" s="20">
        <v>46018</v>
      </c>
      <c r="C108" t="s">
        <v>311</v>
      </c>
      <c r="D108" t="s">
        <v>35</v>
      </c>
      <c r="E108" s="37">
        <v>40</v>
      </c>
      <c r="F108" t="s">
        <v>97</v>
      </c>
      <c r="G108" t="s">
        <v>98</v>
      </c>
      <c r="H108" t="s">
        <v>59</v>
      </c>
      <c r="I108" t="s">
        <v>75</v>
      </c>
      <c r="J108" t="s">
        <v>141</v>
      </c>
      <c r="K108" s="37">
        <v>5</v>
      </c>
      <c r="L108" t="s">
        <v>52</v>
      </c>
      <c r="M108" s="21">
        <v>92200</v>
      </c>
      <c r="N108" s="21">
        <v>1250231</v>
      </c>
      <c r="O108" s="21">
        <v>143832</v>
      </c>
      <c r="P108">
        <v>3</v>
      </c>
      <c r="Q108" t="s">
        <v>126</v>
      </c>
      <c r="R108" s="37">
        <v>16</v>
      </c>
      <c r="S108" s="37">
        <v>32</v>
      </c>
      <c r="T108" t="s">
        <v>62</v>
      </c>
      <c r="U108" t="s">
        <v>44</v>
      </c>
      <c r="V108" t="s">
        <v>69</v>
      </c>
    </row>
    <row r="109" spans="1:22" ht="15" customHeight="1" x14ac:dyDescent="0.3">
      <c r="A109" t="s">
        <v>312</v>
      </c>
      <c r="B109" s="20">
        <v>45821</v>
      </c>
      <c r="C109" t="s">
        <v>313</v>
      </c>
      <c r="D109" t="s">
        <v>48</v>
      </c>
      <c r="E109" s="37">
        <v>38</v>
      </c>
      <c r="F109" t="s">
        <v>97</v>
      </c>
      <c r="G109" t="s">
        <v>98</v>
      </c>
      <c r="H109" t="s">
        <v>59</v>
      </c>
      <c r="I109" t="s">
        <v>75</v>
      </c>
      <c r="J109" t="s">
        <v>61</v>
      </c>
      <c r="K109" s="37">
        <v>14</v>
      </c>
      <c r="L109" t="s">
        <v>52</v>
      </c>
      <c r="M109" s="21">
        <v>92700</v>
      </c>
      <c r="N109" s="21">
        <v>1234764</v>
      </c>
      <c r="O109" s="21">
        <v>122364</v>
      </c>
      <c r="P109">
        <v>4</v>
      </c>
      <c r="Q109" t="s">
        <v>42</v>
      </c>
      <c r="R109" s="37">
        <v>19</v>
      </c>
      <c r="S109" s="37">
        <v>9</v>
      </c>
      <c r="T109" t="s">
        <v>62</v>
      </c>
      <c r="U109" t="s">
        <v>44</v>
      </c>
      <c r="V109" t="s">
        <v>45</v>
      </c>
    </row>
    <row r="110" spans="1:22" ht="15" customHeight="1" x14ac:dyDescent="0.3">
      <c r="A110" t="s">
        <v>314</v>
      </c>
      <c r="B110" s="20">
        <v>45904</v>
      </c>
      <c r="C110" t="s">
        <v>315</v>
      </c>
      <c r="D110" t="s">
        <v>48</v>
      </c>
      <c r="E110" s="37">
        <v>40</v>
      </c>
      <c r="F110" t="s">
        <v>49</v>
      </c>
      <c r="G110" t="s">
        <v>50</v>
      </c>
      <c r="H110" t="s">
        <v>118</v>
      </c>
      <c r="I110" t="s">
        <v>39</v>
      </c>
      <c r="J110" t="s">
        <v>219</v>
      </c>
      <c r="K110" s="37">
        <v>28</v>
      </c>
      <c r="L110" t="s">
        <v>52</v>
      </c>
      <c r="M110" s="21">
        <v>34600</v>
      </c>
      <c r="N110" s="21">
        <v>465024</v>
      </c>
      <c r="O110" s="21">
        <v>49824</v>
      </c>
      <c r="P110">
        <v>5</v>
      </c>
      <c r="Q110" t="s">
        <v>42</v>
      </c>
      <c r="R110" s="37">
        <v>3</v>
      </c>
      <c r="S110" s="37">
        <v>38</v>
      </c>
      <c r="T110" t="s">
        <v>94</v>
      </c>
      <c r="U110" t="s">
        <v>63</v>
      </c>
      <c r="V110" t="s">
        <v>69</v>
      </c>
    </row>
    <row r="111" spans="1:22" ht="15" customHeight="1" x14ac:dyDescent="0.3">
      <c r="A111" t="s">
        <v>316</v>
      </c>
      <c r="B111" s="20">
        <v>45820</v>
      </c>
      <c r="C111" t="s">
        <v>317</v>
      </c>
      <c r="D111" t="s">
        <v>48</v>
      </c>
      <c r="E111" s="37">
        <v>52</v>
      </c>
      <c r="F111" t="s">
        <v>123</v>
      </c>
      <c r="G111" t="s">
        <v>124</v>
      </c>
      <c r="H111" t="s">
        <v>59</v>
      </c>
      <c r="I111" t="s">
        <v>51</v>
      </c>
      <c r="J111" t="s">
        <v>125</v>
      </c>
      <c r="K111" s="37">
        <v>9</v>
      </c>
      <c r="L111" t="s">
        <v>52</v>
      </c>
      <c r="M111" s="21">
        <v>184400</v>
      </c>
      <c r="N111" s="21">
        <v>2411952</v>
      </c>
      <c r="O111" s="21">
        <v>199152</v>
      </c>
      <c r="P111">
        <v>5</v>
      </c>
      <c r="Q111" t="s">
        <v>42</v>
      </c>
      <c r="R111" s="37">
        <v>15</v>
      </c>
      <c r="S111" s="37">
        <v>15</v>
      </c>
      <c r="T111" t="s">
        <v>43</v>
      </c>
      <c r="U111" t="s">
        <v>44</v>
      </c>
      <c r="V111" t="s">
        <v>45</v>
      </c>
    </row>
    <row r="112" spans="1:22" ht="15" customHeight="1" x14ac:dyDescent="0.3">
      <c r="A112" t="s">
        <v>318</v>
      </c>
      <c r="B112" s="20">
        <v>45883</v>
      </c>
      <c r="C112" t="s">
        <v>319</v>
      </c>
      <c r="D112" t="s">
        <v>35</v>
      </c>
      <c r="E112" s="37">
        <v>41</v>
      </c>
      <c r="F112" t="s">
        <v>86</v>
      </c>
      <c r="G112" t="s">
        <v>87</v>
      </c>
      <c r="H112" t="s">
        <v>118</v>
      </c>
      <c r="I112" t="s">
        <v>39</v>
      </c>
      <c r="J112" t="s">
        <v>137</v>
      </c>
      <c r="K112" s="37">
        <v>17</v>
      </c>
      <c r="L112" t="s">
        <v>52</v>
      </c>
      <c r="M112" s="21">
        <v>32800</v>
      </c>
      <c r="N112" s="21">
        <v>464448</v>
      </c>
      <c r="O112" s="21">
        <v>70848</v>
      </c>
      <c r="P112">
        <v>1</v>
      </c>
      <c r="Q112" t="s">
        <v>42</v>
      </c>
      <c r="R112" s="37">
        <v>19</v>
      </c>
      <c r="S112" s="37">
        <v>23</v>
      </c>
      <c r="T112" t="s">
        <v>94</v>
      </c>
      <c r="U112" t="s">
        <v>44</v>
      </c>
      <c r="V112" t="s">
        <v>45</v>
      </c>
    </row>
    <row r="113" spans="1:22" ht="15" customHeight="1" x14ac:dyDescent="0.3">
      <c r="A113" t="s">
        <v>320</v>
      </c>
      <c r="B113" s="20">
        <v>45714</v>
      </c>
      <c r="C113" t="s">
        <v>321</v>
      </c>
      <c r="D113" t="s">
        <v>48</v>
      </c>
      <c r="E113" s="37">
        <v>24</v>
      </c>
      <c r="F113" t="s">
        <v>57</v>
      </c>
      <c r="G113" t="s">
        <v>58</v>
      </c>
      <c r="H113" t="s">
        <v>38</v>
      </c>
      <c r="I113" t="s">
        <v>82</v>
      </c>
      <c r="J113" t="s">
        <v>40</v>
      </c>
      <c r="K113" s="37">
        <v>18</v>
      </c>
      <c r="L113" t="s">
        <v>120</v>
      </c>
      <c r="M113" s="21">
        <v>60100</v>
      </c>
      <c r="N113" s="21">
        <v>793320</v>
      </c>
      <c r="O113" s="21">
        <v>72120</v>
      </c>
      <c r="P113">
        <v>2</v>
      </c>
      <c r="Q113" t="s">
        <v>126</v>
      </c>
      <c r="R113" s="37">
        <v>3</v>
      </c>
      <c r="S113" s="37">
        <v>6</v>
      </c>
      <c r="T113" t="s">
        <v>43</v>
      </c>
      <c r="U113" t="s">
        <v>63</v>
      </c>
      <c r="V113" t="s">
        <v>45</v>
      </c>
    </row>
    <row r="114" spans="1:22" ht="15" customHeight="1" x14ac:dyDescent="0.3">
      <c r="A114" t="s">
        <v>322</v>
      </c>
      <c r="B114" s="20">
        <v>45835</v>
      </c>
      <c r="C114" t="s">
        <v>323</v>
      </c>
      <c r="D114" t="s">
        <v>35</v>
      </c>
      <c r="E114" s="37">
        <v>38</v>
      </c>
      <c r="F114" t="s">
        <v>86</v>
      </c>
      <c r="G114" t="s">
        <v>87</v>
      </c>
      <c r="H114" t="s">
        <v>38</v>
      </c>
      <c r="I114" t="s">
        <v>82</v>
      </c>
      <c r="J114" t="s">
        <v>99</v>
      </c>
      <c r="K114" s="37">
        <v>9</v>
      </c>
      <c r="L114" t="s">
        <v>52</v>
      </c>
      <c r="M114" s="21">
        <v>67500</v>
      </c>
      <c r="N114" s="21">
        <v>955800</v>
      </c>
      <c r="O114" s="21">
        <v>145800</v>
      </c>
      <c r="P114">
        <v>4</v>
      </c>
      <c r="Q114" t="s">
        <v>42</v>
      </c>
      <c r="R114" s="37">
        <v>15</v>
      </c>
      <c r="S114" s="37">
        <v>38</v>
      </c>
      <c r="T114" t="s">
        <v>43</v>
      </c>
      <c r="U114" t="s">
        <v>44</v>
      </c>
      <c r="V114" t="s">
        <v>45</v>
      </c>
    </row>
    <row r="115" spans="1:22" ht="15" customHeight="1" x14ac:dyDescent="0.3">
      <c r="A115" t="s">
        <v>324</v>
      </c>
      <c r="B115" s="20">
        <v>45659</v>
      </c>
      <c r="C115" t="s">
        <v>311</v>
      </c>
      <c r="D115" t="s">
        <v>35</v>
      </c>
      <c r="E115" s="37">
        <v>53</v>
      </c>
      <c r="F115" t="s">
        <v>57</v>
      </c>
      <c r="G115" t="s">
        <v>58</v>
      </c>
      <c r="H115" t="s">
        <v>118</v>
      </c>
      <c r="I115" t="s">
        <v>82</v>
      </c>
      <c r="J115" t="s">
        <v>137</v>
      </c>
      <c r="K115" s="37">
        <v>13</v>
      </c>
      <c r="L115" t="s">
        <v>52</v>
      </c>
      <c r="M115" s="21">
        <v>44700</v>
      </c>
      <c r="N115" s="21">
        <v>573948</v>
      </c>
      <c r="O115" s="21">
        <v>37548</v>
      </c>
      <c r="P115">
        <v>4</v>
      </c>
      <c r="Q115" t="s">
        <v>42</v>
      </c>
      <c r="R115" s="37">
        <v>13</v>
      </c>
      <c r="S115" s="37">
        <v>26</v>
      </c>
      <c r="T115" t="s">
        <v>175</v>
      </c>
      <c r="U115" t="s">
        <v>63</v>
      </c>
      <c r="V115" t="s">
        <v>45</v>
      </c>
    </row>
    <row r="116" spans="1:22" ht="15" customHeight="1" x14ac:dyDescent="0.3">
      <c r="A116" t="s">
        <v>325</v>
      </c>
      <c r="B116" s="20">
        <v>45798</v>
      </c>
      <c r="C116" t="s">
        <v>269</v>
      </c>
      <c r="D116" t="s">
        <v>35</v>
      </c>
      <c r="E116" s="37">
        <v>54</v>
      </c>
      <c r="F116" t="s">
        <v>49</v>
      </c>
      <c r="G116" t="s">
        <v>50</v>
      </c>
      <c r="H116" t="s">
        <v>66</v>
      </c>
      <c r="I116" t="s">
        <v>39</v>
      </c>
      <c r="J116" t="s">
        <v>149</v>
      </c>
      <c r="K116" s="37">
        <v>22</v>
      </c>
      <c r="L116" t="s">
        <v>41</v>
      </c>
      <c r="M116" s="21">
        <v>40300</v>
      </c>
      <c r="N116" s="21">
        <v>565812</v>
      </c>
      <c r="O116" s="21">
        <v>82212</v>
      </c>
      <c r="P116">
        <v>5</v>
      </c>
      <c r="Q116" t="s">
        <v>42</v>
      </c>
      <c r="R116" s="37">
        <v>9</v>
      </c>
      <c r="S116" s="37">
        <v>7</v>
      </c>
      <c r="T116" t="s">
        <v>77</v>
      </c>
      <c r="U116" t="s">
        <v>44</v>
      </c>
      <c r="V116" t="s">
        <v>45</v>
      </c>
    </row>
    <row r="117" spans="1:22" ht="15" customHeight="1" x14ac:dyDescent="0.3">
      <c r="A117" t="s">
        <v>326</v>
      </c>
      <c r="B117" s="20">
        <v>46007</v>
      </c>
      <c r="C117" t="s">
        <v>327</v>
      </c>
      <c r="D117" t="s">
        <v>35</v>
      </c>
      <c r="E117" s="37">
        <v>36</v>
      </c>
      <c r="F117" t="s">
        <v>72</v>
      </c>
      <c r="G117" t="s">
        <v>73</v>
      </c>
      <c r="H117" t="s">
        <v>66</v>
      </c>
      <c r="I117" t="s">
        <v>82</v>
      </c>
      <c r="J117" t="s">
        <v>149</v>
      </c>
      <c r="K117" s="37">
        <v>1</v>
      </c>
      <c r="L117" t="s">
        <v>52</v>
      </c>
      <c r="M117" s="21">
        <v>75400</v>
      </c>
      <c r="N117" s="21">
        <v>1076712</v>
      </c>
      <c r="O117" s="21">
        <v>171912</v>
      </c>
      <c r="P117">
        <v>3</v>
      </c>
      <c r="Q117" t="s">
        <v>42</v>
      </c>
      <c r="R117" s="37">
        <v>0</v>
      </c>
      <c r="S117" s="37">
        <v>27</v>
      </c>
      <c r="T117" t="s">
        <v>68</v>
      </c>
      <c r="U117" t="s">
        <v>44</v>
      </c>
      <c r="V117" t="s">
        <v>69</v>
      </c>
    </row>
    <row r="118" spans="1:22" ht="15" customHeight="1" x14ac:dyDescent="0.3">
      <c r="A118" t="s">
        <v>328</v>
      </c>
      <c r="B118" s="20">
        <v>45714</v>
      </c>
      <c r="C118" t="s">
        <v>329</v>
      </c>
      <c r="D118" t="s">
        <v>35</v>
      </c>
      <c r="E118" s="37">
        <v>40</v>
      </c>
      <c r="F118" t="s">
        <v>91</v>
      </c>
      <c r="G118" t="s">
        <v>92</v>
      </c>
      <c r="H118" t="s">
        <v>74</v>
      </c>
      <c r="I118" t="s">
        <v>82</v>
      </c>
      <c r="J118" t="s">
        <v>152</v>
      </c>
      <c r="K118" s="37">
        <v>30</v>
      </c>
      <c r="L118" t="s">
        <v>52</v>
      </c>
      <c r="M118" s="21">
        <v>53300</v>
      </c>
      <c r="N118" s="21">
        <v>741936</v>
      </c>
      <c r="O118" s="21">
        <v>102336</v>
      </c>
      <c r="P118">
        <v>3</v>
      </c>
      <c r="Q118" t="s">
        <v>42</v>
      </c>
      <c r="R118" s="37">
        <v>4</v>
      </c>
      <c r="S118" s="37">
        <v>24</v>
      </c>
      <c r="T118" t="s">
        <v>105</v>
      </c>
      <c r="U118" t="s">
        <v>63</v>
      </c>
      <c r="V118" t="s">
        <v>45</v>
      </c>
    </row>
    <row r="119" spans="1:22" ht="15" customHeight="1" x14ac:dyDescent="0.3">
      <c r="A119" t="s">
        <v>330</v>
      </c>
      <c r="B119" s="20">
        <v>45801</v>
      </c>
      <c r="C119" t="s">
        <v>331</v>
      </c>
      <c r="D119" t="s">
        <v>35</v>
      </c>
      <c r="E119" s="37">
        <v>49</v>
      </c>
      <c r="F119" t="s">
        <v>91</v>
      </c>
      <c r="G119" t="s">
        <v>92</v>
      </c>
      <c r="H119" t="s">
        <v>74</v>
      </c>
      <c r="I119" t="s">
        <v>82</v>
      </c>
      <c r="J119" t="s">
        <v>83</v>
      </c>
      <c r="K119" s="37">
        <v>27</v>
      </c>
      <c r="L119" t="s">
        <v>52</v>
      </c>
      <c r="M119" s="21">
        <v>61600</v>
      </c>
      <c r="N119" s="21">
        <v>864864</v>
      </c>
      <c r="O119" s="21">
        <v>125664</v>
      </c>
      <c r="P119">
        <v>4</v>
      </c>
      <c r="Q119" t="s">
        <v>42</v>
      </c>
      <c r="R119" s="37">
        <v>1</v>
      </c>
      <c r="S119" s="37">
        <v>21</v>
      </c>
      <c r="T119" t="s">
        <v>105</v>
      </c>
      <c r="U119" t="s">
        <v>54</v>
      </c>
      <c r="V119" t="s">
        <v>45</v>
      </c>
    </row>
    <row r="120" spans="1:22" ht="15" customHeight="1" x14ac:dyDescent="0.3">
      <c r="A120" t="s">
        <v>332</v>
      </c>
      <c r="B120" s="20">
        <v>45724</v>
      </c>
      <c r="C120" t="s">
        <v>333</v>
      </c>
      <c r="D120" t="s">
        <v>35</v>
      </c>
      <c r="E120" s="37">
        <v>55</v>
      </c>
      <c r="F120" t="s">
        <v>91</v>
      </c>
      <c r="G120" t="s">
        <v>92</v>
      </c>
      <c r="H120" t="s">
        <v>74</v>
      </c>
      <c r="I120" t="s">
        <v>39</v>
      </c>
      <c r="J120" t="s">
        <v>83</v>
      </c>
      <c r="K120" s="37">
        <v>24</v>
      </c>
      <c r="L120" t="s">
        <v>52</v>
      </c>
      <c r="M120" s="21">
        <v>40800</v>
      </c>
      <c r="N120" s="21">
        <v>567936</v>
      </c>
      <c r="O120" s="21">
        <v>78336</v>
      </c>
      <c r="P120">
        <v>4</v>
      </c>
      <c r="Q120" t="s">
        <v>42</v>
      </c>
      <c r="R120" s="37">
        <v>2</v>
      </c>
      <c r="S120" s="37">
        <v>32</v>
      </c>
      <c r="T120" t="s">
        <v>53</v>
      </c>
      <c r="U120" t="s">
        <v>63</v>
      </c>
      <c r="V120" t="s">
        <v>69</v>
      </c>
    </row>
    <row r="121" spans="1:22" ht="15" customHeight="1" x14ac:dyDescent="0.3">
      <c r="A121" t="s">
        <v>334</v>
      </c>
      <c r="B121" s="20">
        <v>45729</v>
      </c>
      <c r="C121" t="s">
        <v>218</v>
      </c>
      <c r="D121" t="s">
        <v>35</v>
      </c>
      <c r="E121" s="37">
        <v>27</v>
      </c>
      <c r="F121" t="s">
        <v>91</v>
      </c>
      <c r="G121" t="s">
        <v>92</v>
      </c>
      <c r="H121" t="s">
        <v>59</v>
      </c>
      <c r="I121" t="s">
        <v>51</v>
      </c>
      <c r="J121" t="s">
        <v>61</v>
      </c>
      <c r="K121" s="37">
        <v>3</v>
      </c>
      <c r="L121" t="s">
        <v>41</v>
      </c>
      <c r="M121" s="21">
        <v>180800</v>
      </c>
      <c r="N121" s="21">
        <v>2386560</v>
      </c>
      <c r="O121" s="21">
        <v>216960</v>
      </c>
      <c r="P121">
        <v>2</v>
      </c>
      <c r="Q121" t="s">
        <v>42</v>
      </c>
      <c r="R121" s="37">
        <v>20</v>
      </c>
      <c r="S121" s="37">
        <v>13</v>
      </c>
      <c r="T121" t="s">
        <v>53</v>
      </c>
      <c r="U121" t="s">
        <v>54</v>
      </c>
      <c r="V121" t="s">
        <v>45</v>
      </c>
    </row>
    <row r="122" spans="1:22" ht="15" customHeight="1" x14ac:dyDescent="0.3">
      <c r="A122" t="s">
        <v>335</v>
      </c>
      <c r="B122" s="20">
        <v>45919</v>
      </c>
      <c r="C122" t="s">
        <v>336</v>
      </c>
      <c r="D122" t="s">
        <v>48</v>
      </c>
      <c r="E122" s="37">
        <v>27</v>
      </c>
      <c r="F122" t="s">
        <v>57</v>
      </c>
      <c r="G122" t="s">
        <v>58</v>
      </c>
      <c r="H122" t="s">
        <v>38</v>
      </c>
      <c r="I122" t="s">
        <v>82</v>
      </c>
      <c r="J122" t="s">
        <v>110</v>
      </c>
      <c r="K122" s="37">
        <v>20</v>
      </c>
      <c r="L122" t="s">
        <v>52</v>
      </c>
      <c r="M122" s="21">
        <v>55100</v>
      </c>
      <c r="N122" s="21">
        <v>793440</v>
      </c>
      <c r="O122" s="21">
        <v>132240</v>
      </c>
      <c r="P122">
        <v>2</v>
      </c>
      <c r="Q122" t="s">
        <v>42</v>
      </c>
      <c r="R122" s="37">
        <v>7</v>
      </c>
      <c r="S122" s="37">
        <v>23</v>
      </c>
      <c r="T122" t="s">
        <v>129</v>
      </c>
      <c r="U122" t="s">
        <v>54</v>
      </c>
      <c r="V122" t="s">
        <v>69</v>
      </c>
    </row>
    <row r="123" spans="1:22" ht="15" customHeight="1" x14ac:dyDescent="0.3">
      <c r="A123" t="s">
        <v>337</v>
      </c>
      <c r="B123" s="20">
        <v>45681</v>
      </c>
      <c r="C123" t="s">
        <v>338</v>
      </c>
      <c r="D123" t="s">
        <v>48</v>
      </c>
      <c r="E123" s="37">
        <v>40</v>
      </c>
      <c r="F123" t="s">
        <v>91</v>
      </c>
      <c r="G123" t="s">
        <v>92</v>
      </c>
      <c r="H123" t="s">
        <v>74</v>
      </c>
      <c r="I123" t="s">
        <v>51</v>
      </c>
      <c r="J123" t="s">
        <v>152</v>
      </c>
      <c r="K123" s="37">
        <v>26</v>
      </c>
      <c r="L123" t="s">
        <v>52</v>
      </c>
      <c r="M123" s="21">
        <v>241100</v>
      </c>
      <c r="N123" s="21">
        <v>3327179</v>
      </c>
      <c r="O123" s="21">
        <v>433980</v>
      </c>
      <c r="P123">
        <v>3</v>
      </c>
      <c r="Q123" t="s">
        <v>42</v>
      </c>
      <c r="R123" s="37">
        <v>20</v>
      </c>
      <c r="S123" s="37">
        <v>35</v>
      </c>
      <c r="T123" t="s">
        <v>77</v>
      </c>
      <c r="U123" t="s">
        <v>44</v>
      </c>
      <c r="V123" t="s">
        <v>69</v>
      </c>
    </row>
    <row r="124" spans="1:22" ht="15" customHeight="1" x14ac:dyDescent="0.3">
      <c r="A124" t="s">
        <v>339</v>
      </c>
      <c r="B124" s="20">
        <v>45975</v>
      </c>
      <c r="C124" t="s">
        <v>340</v>
      </c>
      <c r="D124" t="s">
        <v>35</v>
      </c>
      <c r="E124" s="37">
        <v>56</v>
      </c>
      <c r="F124" t="s">
        <v>91</v>
      </c>
      <c r="G124" t="s">
        <v>92</v>
      </c>
      <c r="H124" t="s">
        <v>66</v>
      </c>
      <c r="I124" t="s">
        <v>75</v>
      </c>
      <c r="J124" t="s">
        <v>149</v>
      </c>
      <c r="K124" s="37">
        <v>26</v>
      </c>
      <c r="L124" t="s">
        <v>41</v>
      </c>
      <c r="M124" s="21">
        <v>116400</v>
      </c>
      <c r="N124" s="21">
        <v>1606319</v>
      </c>
      <c r="O124" s="21">
        <v>209520</v>
      </c>
      <c r="P124">
        <v>4</v>
      </c>
      <c r="Q124" t="s">
        <v>42</v>
      </c>
      <c r="R124" s="37">
        <v>15</v>
      </c>
      <c r="S124" s="37">
        <v>28</v>
      </c>
      <c r="T124" t="s">
        <v>68</v>
      </c>
      <c r="U124" t="s">
        <v>44</v>
      </c>
      <c r="V124" t="s">
        <v>69</v>
      </c>
    </row>
    <row r="125" spans="1:22" ht="15" customHeight="1" x14ac:dyDescent="0.3">
      <c r="A125" t="s">
        <v>341</v>
      </c>
      <c r="B125" s="20">
        <v>45919</v>
      </c>
      <c r="C125" t="s">
        <v>342</v>
      </c>
      <c r="D125" t="s">
        <v>48</v>
      </c>
      <c r="E125" s="37">
        <v>41</v>
      </c>
      <c r="F125" t="s">
        <v>36</v>
      </c>
      <c r="G125" t="s">
        <v>37</v>
      </c>
      <c r="H125" t="s">
        <v>59</v>
      </c>
      <c r="I125" t="s">
        <v>39</v>
      </c>
      <c r="J125" t="s">
        <v>88</v>
      </c>
      <c r="K125" s="37">
        <v>8</v>
      </c>
      <c r="L125" t="s">
        <v>41</v>
      </c>
      <c r="M125" s="21">
        <v>35900</v>
      </c>
      <c r="N125" s="21">
        <v>504035</v>
      </c>
      <c r="O125" s="21">
        <v>73236</v>
      </c>
      <c r="P125">
        <v>5</v>
      </c>
      <c r="Q125" t="s">
        <v>42</v>
      </c>
      <c r="R125" s="37">
        <v>12</v>
      </c>
      <c r="S125" s="37">
        <v>22</v>
      </c>
      <c r="T125" t="s">
        <v>77</v>
      </c>
      <c r="U125" t="s">
        <v>44</v>
      </c>
      <c r="V125" t="s">
        <v>69</v>
      </c>
    </row>
    <row r="126" spans="1:22" ht="15" customHeight="1" x14ac:dyDescent="0.3">
      <c r="A126" t="s">
        <v>343</v>
      </c>
      <c r="B126" s="20">
        <v>45918</v>
      </c>
      <c r="C126" t="s">
        <v>344</v>
      </c>
      <c r="D126" t="s">
        <v>48</v>
      </c>
      <c r="E126" s="37">
        <v>41</v>
      </c>
      <c r="F126" t="s">
        <v>91</v>
      </c>
      <c r="G126" t="s">
        <v>92</v>
      </c>
      <c r="H126" t="s">
        <v>74</v>
      </c>
      <c r="I126" t="s">
        <v>39</v>
      </c>
      <c r="J126" t="s">
        <v>115</v>
      </c>
      <c r="K126" s="37">
        <v>27</v>
      </c>
      <c r="L126" t="s">
        <v>52</v>
      </c>
      <c r="M126" s="21">
        <v>44000</v>
      </c>
      <c r="N126" s="21">
        <v>633600</v>
      </c>
      <c r="O126" s="21">
        <v>105600</v>
      </c>
      <c r="P126">
        <v>3</v>
      </c>
      <c r="Q126" t="s">
        <v>42</v>
      </c>
      <c r="R126" s="37">
        <v>8</v>
      </c>
      <c r="S126" s="37">
        <v>0</v>
      </c>
      <c r="T126" t="s">
        <v>77</v>
      </c>
      <c r="U126" t="s">
        <v>63</v>
      </c>
      <c r="V126" t="s">
        <v>69</v>
      </c>
    </row>
    <row r="127" spans="1:22" ht="15" customHeight="1" x14ac:dyDescent="0.3">
      <c r="A127" t="s">
        <v>345</v>
      </c>
      <c r="B127" s="20">
        <v>45880</v>
      </c>
      <c r="C127" t="s">
        <v>346</v>
      </c>
      <c r="D127" t="s">
        <v>35</v>
      </c>
      <c r="E127" s="37">
        <v>47</v>
      </c>
      <c r="F127" t="s">
        <v>72</v>
      </c>
      <c r="G127" t="s">
        <v>73</v>
      </c>
      <c r="H127" t="s">
        <v>38</v>
      </c>
      <c r="I127" t="s">
        <v>82</v>
      </c>
      <c r="J127" t="s">
        <v>99</v>
      </c>
      <c r="K127" s="37">
        <v>28</v>
      </c>
      <c r="L127" t="s">
        <v>52</v>
      </c>
      <c r="M127" s="21">
        <v>60400</v>
      </c>
      <c r="N127" s="21">
        <v>811776</v>
      </c>
      <c r="O127" s="21">
        <v>86976</v>
      </c>
      <c r="P127">
        <v>3</v>
      </c>
      <c r="Q127" t="s">
        <v>42</v>
      </c>
      <c r="R127" s="37">
        <v>16</v>
      </c>
      <c r="S127" s="37">
        <v>12</v>
      </c>
      <c r="T127" t="s">
        <v>43</v>
      </c>
      <c r="U127" t="s">
        <v>54</v>
      </c>
      <c r="V127" t="s">
        <v>69</v>
      </c>
    </row>
    <row r="128" spans="1:22" ht="15" customHeight="1" x14ac:dyDescent="0.3">
      <c r="A128" t="s">
        <v>347</v>
      </c>
      <c r="B128" s="20">
        <v>45975</v>
      </c>
      <c r="C128" t="s">
        <v>348</v>
      </c>
      <c r="D128" t="s">
        <v>48</v>
      </c>
      <c r="E128" s="37">
        <v>42</v>
      </c>
      <c r="F128" t="s">
        <v>36</v>
      </c>
      <c r="G128" t="s">
        <v>37</v>
      </c>
      <c r="H128" t="s">
        <v>66</v>
      </c>
      <c r="I128" t="s">
        <v>82</v>
      </c>
      <c r="J128" t="s">
        <v>170</v>
      </c>
      <c r="K128" s="37">
        <v>21</v>
      </c>
      <c r="L128" t="s">
        <v>120</v>
      </c>
      <c r="M128" s="21">
        <v>63800</v>
      </c>
      <c r="N128" s="21">
        <v>811536</v>
      </c>
      <c r="O128" s="21">
        <v>45936</v>
      </c>
      <c r="P128">
        <v>4</v>
      </c>
      <c r="Q128" t="s">
        <v>126</v>
      </c>
      <c r="R128" s="37">
        <v>18</v>
      </c>
      <c r="S128" s="37">
        <v>38</v>
      </c>
      <c r="T128" t="s">
        <v>94</v>
      </c>
      <c r="U128" t="s">
        <v>54</v>
      </c>
      <c r="V128" t="s">
        <v>45</v>
      </c>
    </row>
    <row r="129" spans="1:22" ht="15" customHeight="1" x14ac:dyDescent="0.3">
      <c r="A129" t="s">
        <v>349</v>
      </c>
      <c r="B129" s="20">
        <v>45855</v>
      </c>
      <c r="C129" t="s">
        <v>350</v>
      </c>
      <c r="D129" t="s">
        <v>48</v>
      </c>
      <c r="E129" s="37">
        <v>22</v>
      </c>
      <c r="F129" t="s">
        <v>72</v>
      </c>
      <c r="G129" t="s">
        <v>73</v>
      </c>
      <c r="H129" t="s">
        <v>66</v>
      </c>
      <c r="I129" t="s">
        <v>82</v>
      </c>
      <c r="J129" t="s">
        <v>67</v>
      </c>
      <c r="K129" s="37">
        <v>20</v>
      </c>
      <c r="L129" t="s">
        <v>52</v>
      </c>
      <c r="M129" s="21">
        <v>70800</v>
      </c>
      <c r="N129" s="21">
        <v>926064</v>
      </c>
      <c r="O129" s="21">
        <v>76464</v>
      </c>
      <c r="P129">
        <v>4</v>
      </c>
      <c r="Q129" t="s">
        <v>42</v>
      </c>
      <c r="R129" s="37">
        <v>4</v>
      </c>
      <c r="S129" s="37">
        <v>7</v>
      </c>
      <c r="T129" t="s">
        <v>175</v>
      </c>
      <c r="U129" t="s">
        <v>63</v>
      </c>
      <c r="V129" t="s">
        <v>69</v>
      </c>
    </row>
    <row r="130" spans="1:22" ht="15" customHeight="1" x14ac:dyDescent="0.3">
      <c r="A130" t="s">
        <v>351</v>
      </c>
      <c r="B130" s="20">
        <v>45932</v>
      </c>
      <c r="C130" t="s">
        <v>352</v>
      </c>
      <c r="D130" t="s">
        <v>48</v>
      </c>
      <c r="E130" s="37">
        <v>23</v>
      </c>
      <c r="F130" t="s">
        <v>123</v>
      </c>
      <c r="G130" t="s">
        <v>124</v>
      </c>
      <c r="H130" t="s">
        <v>66</v>
      </c>
      <c r="I130" t="s">
        <v>82</v>
      </c>
      <c r="J130" t="s">
        <v>93</v>
      </c>
      <c r="K130" s="37">
        <v>4</v>
      </c>
      <c r="L130" t="s">
        <v>52</v>
      </c>
      <c r="M130" s="21">
        <v>64300</v>
      </c>
      <c r="N130" s="21">
        <v>895055</v>
      </c>
      <c r="O130" s="21">
        <v>123456</v>
      </c>
      <c r="P130">
        <v>2</v>
      </c>
      <c r="Q130" t="s">
        <v>126</v>
      </c>
      <c r="R130" s="37">
        <v>14</v>
      </c>
      <c r="S130" s="37">
        <v>40</v>
      </c>
      <c r="T130" t="s">
        <v>94</v>
      </c>
      <c r="U130" t="s">
        <v>44</v>
      </c>
      <c r="V130" t="s">
        <v>45</v>
      </c>
    </row>
    <row r="131" spans="1:22" ht="15" customHeight="1" x14ac:dyDescent="0.3">
      <c r="A131" t="s">
        <v>353</v>
      </c>
      <c r="B131" s="20">
        <v>45962</v>
      </c>
      <c r="C131" t="s">
        <v>354</v>
      </c>
      <c r="D131" t="s">
        <v>48</v>
      </c>
      <c r="E131" s="37">
        <v>35</v>
      </c>
      <c r="F131" t="s">
        <v>86</v>
      </c>
      <c r="G131" t="s">
        <v>87</v>
      </c>
      <c r="H131" t="s">
        <v>38</v>
      </c>
      <c r="I131" t="s">
        <v>39</v>
      </c>
      <c r="J131" t="s">
        <v>110</v>
      </c>
      <c r="K131" s="37">
        <v>2</v>
      </c>
      <c r="L131" t="s">
        <v>52</v>
      </c>
      <c r="M131" s="21">
        <v>31400</v>
      </c>
      <c r="N131" s="21">
        <v>448392</v>
      </c>
      <c r="O131" s="21">
        <v>71592</v>
      </c>
      <c r="P131">
        <v>2</v>
      </c>
      <c r="Q131" t="s">
        <v>42</v>
      </c>
      <c r="R131" s="37">
        <v>7</v>
      </c>
      <c r="S131" s="37">
        <v>1</v>
      </c>
      <c r="T131" t="s">
        <v>68</v>
      </c>
      <c r="U131" t="s">
        <v>63</v>
      </c>
      <c r="V131" t="s">
        <v>45</v>
      </c>
    </row>
    <row r="132" spans="1:22" ht="15" customHeight="1" x14ac:dyDescent="0.3">
      <c r="A132" t="s">
        <v>355</v>
      </c>
      <c r="B132" s="20">
        <v>45719</v>
      </c>
      <c r="C132" t="s">
        <v>356</v>
      </c>
      <c r="D132" t="s">
        <v>35</v>
      </c>
      <c r="E132" s="37">
        <v>42</v>
      </c>
      <c r="F132" t="s">
        <v>108</v>
      </c>
      <c r="G132" t="s">
        <v>109</v>
      </c>
      <c r="H132" t="s">
        <v>38</v>
      </c>
      <c r="I132" t="s">
        <v>82</v>
      </c>
      <c r="J132" t="s">
        <v>99</v>
      </c>
      <c r="K132" s="37">
        <v>5</v>
      </c>
      <c r="L132" t="s">
        <v>41</v>
      </c>
      <c r="M132" s="21">
        <v>61900</v>
      </c>
      <c r="N132" s="21">
        <v>824508</v>
      </c>
      <c r="O132" s="21">
        <v>81708</v>
      </c>
      <c r="P132">
        <v>4</v>
      </c>
      <c r="Q132" t="s">
        <v>42</v>
      </c>
      <c r="R132" s="37">
        <v>20</v>
      </c>
      <c r="S132" s="37">
        <v>37</v>
      </c>
      <c r="T132" t="s">
        <v>129</v>
      </c>
      <c r="U132" t="s">
        <v>63</v>
      </c>
      <c r="V132" t="s">
        <v>69</v>
      </c>
    </row>
    <row r="133" spans="1:22" ht="15" customHeight="1" x14ac:dyDescent="0.3">
      <c r="A133" t="s">
        <v>357</v>
      </c>
      <c r="B133" s="20">
        <v>45766</v>
      </c>
      <c r="C133" t="s">
        <v>358</v>
      </c>
      <c r="D133" t="s">
        <v>48</v>
      </c>
      <c r="E133" s="37">
        <v>44</v>
      </c>
      <c r="F133" t="s">
        <v>72</v>
      </c>
      <c r="G133" t="s">
        <v>73</v>
      </c>
      <c r="H133" t="s">
        <v>118</v>
      </c>
      <c r="I133" t="s">
        <v>39</v>
      </c>
      <c r="J133" t="s">
        <v>182</v>
      </c>
      <c r="K133" s="37">
        <v>24</v>
      </c>
      <c r="L133" t="s">
        <v>52</v>
      </c>
      <c r="M133" s="21">
        <v>33400</v>
      </c>
      <c r="N133" s="21">
        <v>452903</v>
      </c>
      <c r="O133" s="21">
        <v>52104</v>
      </c>
      <c r="P133">
        <v>4</v>
      </c>
      <c r="Q133" t="s">
        <v>42</v>
      </c>
      <c r="R133" s="37">
        <v>6</v>
      </c>
      <c r="S133" s="37">
        <v>3</v>
      </c>
      <c r="T133" t="s">
        <v>146</v>
      </c>
      <c r="U133" t="s">
        <v>54</v>
      </c>
      <c r="V133" t="s">
        <v>69</v>
      </c>
    </row>
    <row r="134" spans="1:22" ht="15" customHeight="1" x14ac:dyDescent="0.3">
      <c r="A134" t="s">
        <v>359</v>
      </c>
      <c r="B134" s="20">
        <v>45773</v>
      </c>
      <c r="C134" t="s">
        <v>360</v>
      </c>
      <c r="D134" t="s">
        <v>35</v>
      </c>
      <c r="E134" s="37">
        <v>52</v>
      </c>
      <c r="F134" t="s">
        <v>108</v>
      </c>
      <c r="G134" t="s">
        <v>109</v>
      </c>
      <c r="H134" t="s">
        <v>38</v>
      </c>
      <c r="I134" t="s">
        <v>60</v>
      </c>
      <c r="J134" t="s">
        <v>134</v>
      </c>
      <c r="K134" s="37">
        <v>15</v>
      </c>
      <c r="L134" t="s">
        <v>52</v>
      </c>
      <c r="M134" s="21">
        <v>161800</v>
      </c>
      <c r="N134" s="21">
        <v>2174592</v>
      </c>
      <c r="O134" s="21">
        <v>232992</v>
      </c>
      <c r="P134">
        <v>4</v>
      </c>
      <c r="Q134" t="s">
        <v>126</v>
      </c>
      <c r="R134" s="37">
        <v>4</v>
      </c>
      <c r="S134" s="37">
        <v>29</v>
      </c>
      <c r="T134" t="s">
        <v>77</v>
      </c>
      <c r="U134" t="s">
        <v>54</v>
      </c>
      <c r="V134" t="s">
        <v>45</v>
      </c>
    </row>
    <row r="135" spans="1:22" ht="15" customHeight="1" x14ac:dyDescent="0.3">
      <c r="A135" t="s">
        <v>361</v>
      </c>
      <c r="B135" s="20">
        <v>45812</v>
      </c>
      <c r="C135" t="s">
        <v>362</v>
      </c>
      <c r="D135" t="s">
        <v>35</v>
      </c>
      <c r="E135" s="37">
        <v>27</v>
      </c>
      <c r="F135" t="s">
        <v>36</v>
      </c>
      <c r="G135" t="s">
        <v>37</v>
      </c>
      <c r="H135" t="s">
        <v>66</v>
      </c>
      <c r="I135" t="s">
        <v>60</v>
      </c>
      <c r="J135" t="s">
        <v>67</v>
      </c>
      <c r="K135" s="37">
        <v>4</v>
      </c>
      <c r="L135" t="s">
        <v>120</v>
      </c>
      <c r="M135" s="21">
        <v>145800</v>
      </c>
      <c r="N135" s="21">
        <v>2064528</v>
      </c>
      <c r="O135" s="21">
        <v>314928</v>
      </c>
      <c r="P135">
        <v>4</v>
      </c>
      <c r="Q135" t="s">
        <v>42</v>
      </c>
      <c r="R135" s="37">
        <v>16</v>
      </c>
      <c r="S135" s="37">
        <v>28</v>
      </c>
      <c r="T135" t="s">
        <v>53</v>
      </c>
      <c r="U135" t="s">
        <v>44</v>
      </c>
      <c r="V135" t="s">
        <v>45</v>
      </c>
    </row>
    <row r="136" spans="1:22" ht="15" customHeight="1" x14ac:dyDescent="0.3">
      <c r="A136" t="s">
        <v>363</v>
      </c>
      <c r="B136" s="20">
        <v>45872</v>
      </c>
      <c r="C136" t="s">
        <v>364</v>
      </c>
      <c r="D136" t="s">
        <v>48</v>
      </c>
      <c r="E136" s="37">
        <v>34</v>
      </c>
      <c r="F136" t="s">
        <v>86</v>
      </c>
      <c r="G136" t="s">
        <v>87</v>
      </c>
      <c r="H136" t="s">
        <v>38</v>
      </c>
      <c r="I136" t="s">
        <v>39</v>
      </c>
      <c r="J136" t="s">
        <v>40</v>
      </c>
      <c r="K136" s="37">
        <v>2</v>
      </c>
      <c r="L136" t="s">
        <v>52</v>
      </c>
      <c r="M136" s="21">
        <v>33300</v>
      </c>
      <c r="N136" s="21">
        <v>431568</v>
      </c>
      <c r="O136" s="21">
        <v>31968</v>
      </c>
      <c r="P136">
        <v>2</v>
      </c>
      <c r="Q136" t="s">
        <v>42</v>
      </c>
      <c r="R136" s="37">
        <v>11</v>
      </c>
      <c r="S136" s="37">
        <v>20</v>
      </c>
      <c r="T136" t="s">
        <v>94</v>
      </c>
      <c r="U136" t="s">
        <v>63</v>
      </c>
      <c r="V136" t="s">
        <v>69</v>
      </c>
    </row>
    <row r="137" spans="1:22" ht="15" customHeight="1" x14ac:dyDescent="0.3">
      <c r="A137" t="s">
        <v>365</v>
      </c>
      <c r="B137" s="20">
        <v>45982</v>
      </c>
      <c r="C137" t="s">
        <v>366</v>
      </c>
      <c r="D137" t="s">
        <v>35</v>
      </c>
      <c r="E137" s="37">
        <v>57</v>
      </c>
      <c r="F137" t="s">
        <v>80</v>
      </c>
      <c r="G137" t="s">
        <v>81</v>
      </c>
      <c r="H137" t="s">
        <v>74</v>
      </c>
      <c r="I137" t="s">
        <v>75</v>
      </c>
      <c r="J137" t="s">
        <v>367</v>
      </c>
      <c r="K137" s="37">
        <v>7</v>
      </c>
      <c r="L137" t="s">
        <v>52</v>
      </c>
      <c r="M137" s="21">
        <v>107100</v>
      </c>
      <c r="N137" s="21">
        <v>1439424</v>
      </c>
      <c r="O137" s="21">
        <v>154224</v>
      </c>
      <c r="P137">
        <v>4</v>
      </c>
      <c r="Q137" t="s">
        <v>126</v>
      </c>
      <c r="R137" s="37">
        <v>4</v>
      </c>
      <c r="S137" s="37">
        <v>16</v>
      </c>
      <c r="T137" t="s">
        <v>146</v>
      </c>
      <c r="U137" t="s">
        <v>63</v>
      </c>
      <c r="V137" t="s">
        <v>69</v>
      </c>
    </row>
    <row r="138" spans="1:22" ht="15" customHeight="1" x14ac:dyDescent="0.3">
      <c r="A138" t="s">
        <v>368</v>
      </c>
      <c r="B138" s="20">
        <v>45934</v>
      </c>
      <c r="C138" t="s">
        <v>369</v>
      </c>
      <c r="D138" t="s">
        <v>48</v>
      </c>
      <c r="E138" s="37">
        <v>33</v>
      </c>
      <c r="F138" t="s">
        <v>97</v>
      </c>
      <c r="G138" t="s">
        <v>98</v>
      </c>
      <c r="H138" t="s">
        <v>38</v>
      </c>
      <c r="I138" t="s">
        <v>75</v>
      </c>
      <c r="J138" t="s">
        <v>110</v>
      </c>
      <c r="K138" s="37">
        <v>4</v>
      </c>
      <c r="L138" t="s">
        <v>52</v>
      </c>
      <c r="M138" s="21">
        <v>81600</v>
      </c>
      <c r="N138" s="21">
        <v>1155456</v>
      </c>
      <c r="O138" s="21">
        <v>176256</v>
      </c>
      <c r="P138">
        <v>5</v>
      </c>
      <c r="Q138" t="s">
        <v>126</v>
      </c>
      <c r="R138" s="37">
        <v>18</v>
      </c>
      <c r="S138" s="37">
        <v>25</v>
      </c>
      <c r="T138" t="s">
        <v>53</v>
      </c>
      <c r="U138" t="s">
        <v>54</v>
      </c>
      <c r="V138" t="s">
        <v>45</v>
      </c>
    </row>
    <row r="139" spans="1:22" ht="15" customHeight="1" x14ac:dyDescent="0.3">
      <c r="A139" t="s">
        <v>370</v>
      </c>
      <c r="B139" s="20">
        <v>45658</v>
      </c>
      <c r="C139" t="s">
        <v>167</v>
      </c>
      <c r="D139" t="s">
        <v>35</v>
      </c>
      <c r="E139" s="37">
        <v>48</v>
      </c>
      <c r="F139" t="s">
        <v>91</v>
      </c>
      <c r="G139" t="s">
        <v>92</v>
      </c>
      <c r="H139" t="s">
        <v>66</v>
      </c>
      <c r="I139" t="s">
        <v>75</v>
      </c>
      <c r="J139" t="s">
        <v>67</v>
      </c>
      <c r="K139" s="37">
        <v>13</v>
      </c>
      <c r="L139" t="s">
        <v>52</v>
      </c>
      <c r="M139" s="21">
        <v>100400</v>
      </c>
      <c r="N139" s="21">
        <v>1373472</v>
      </c>
      <c r="O139" s="21">
        <v>168672</v>
      </c>
      <c r="P139">
        <v>4</v>
      </c>
      <c r="Q139" t="s">
        <v>42</v>
      </c>
      <c r="R139" s="37">
        <v>2</v>
      </c>
      <c r="S139" s="37">
        <v>8</v>
      </c>
      <c r="T139" t="s">
        <v>77</v>
      </c>
      <c r="U139" t="s">
        <v>54</v>
      </c>
      <c r="V139" t="s">
        <v>69</v>
      </c>
    </row>
    <row r="140" spans="1:22" ht="15" customHeight="1" x14ac:dyDescent="0.3">
      <c r="A140" t="s">
        <v>371</v>
      </c>
      <c r="B140" s="20">
        <v>45915</v>
      </c>
      <c r="C140" t="s">
        <v>372</v>
      </c>
      <c r="D140" t="s">
        <v>48</v>
      </c>
      <c r="E140" s="37">
        <v>24</v>
      </c>
      <c r="F140" t="s">
        <v>36</v>
      </c>
      <c r="G140" t="s">
        <v>37</v>
      </c>
      <c r="H140" t="s">
        <v>66</v>
      </c>
      <c r="I140" t="s">
        <v>75</v>
      </c>
      <c r="J140" t="s">
        <v>93</v>
      </c>
      <c r="K140" s="37">
        <v>21</v>
      </c>
      <c r="L140" t="s">
        <v>52</v>
      </c>
      <c r="M140" s="21">
        <v>111300</v>
      </c>
      <c r="N140" s="21">
        <v>1535939</v>
      </c>
      <c r="O140" s="21">
        <v>200340</v>
      </c>
      <c r="P140">
        <v>3</v>
      </c>
      <c r="Q140" t="s">
        <v>42</v>
      </c>
      <c r="R140" s="37">
        <v>15</v>
      </c>
      <c r="S140" s="37">
        <v>11</v>
      </c>
      <c r="T140" t="s">
        <v>62</v>
      </c>
      <c r="U140" t="s">
        <v>44</v>
      </c>
      <c r="V140" t="s">
        <v>45</v>
      </c>
    </row>
    <row r="141" spans="1:22" ht="15" customHeight="1" x14ac:dyDescent="0.3">
      <c r="A141" t="s">
        <v>373</v>
      </c>
      <c r="B141" s="20">
        <v>45847</v>
      </c>
      <c r="C141" t="s">
        <v>374</v>
      </c>
      <c r="D141" t="s">
        <v>48</v>
      </c>
      <c r="E141" s="37">
        <v>47</v>
      </c>
      <c r="F141" t="s">
        <v>108</v>
      </c>
      <c r="G141" t="s">
        <v>109</v>
      </c>
      <c r="H141" t="s">
        <v>38</v>
      </c>
      <c r="I141" t="s">
        <v>39</v>
      </c>
      <c r="J141" t="s">
        <v>40</v>
      </c>
      <c r="K141" s="37">
        <v>0</v>
      </c>
      <c r="L141" t="s">
        <v>52</v>
      </c>
      <c r="M141" s="21">
        <v>38600</v>
      </c>
      <c r="N141" s="21">
        <v>490992</v>
      </c>
      <c r="O141" s="21">
        <v>27792</v>
      </c>
      <c r="P141">
        <v>1</v>
      </c>
      <c r="Q141" t="s">
        <v>42</v>
      </c>
      <c r="R141" s="37">
        <v>8</v>
      </c>
      <c r="S141" s="37">
        <v>0</v>
      </c>
      <c r="T141" t="s">
        <v>53</v>
      </c>
      <c r="U141" t="s">
        <v>63</v>
      </c>
      <c r="V141" t="s">
        <v>69</v>
      </c>
    </row>
    <row r="142" spans="1:22" ht="15" customHeight="1" x14ac:dyDescent="0.3">
      <c r="A142" t="s">
        <v>375</v>
      </c>
      <c r="B142" s="20">
        <v>45810</v>
      </c>
      <c r="C142" t="s">
        <v>376</v>
      </c>
      <c r="D142" t="s">
        <v>48</v>
      </c>
      <c r="E142" s="37">
        <v>51</v>
      </c>
      <c r="F142" t="s">
        <v>97</v>
      </c>
      <c r="G142" t="s">
        <v>98</v>
      </c>
      <c r="H142" t="s">
        <v>66</v>
      </c>
      <c r="I142" t="s">
        <v>82</v>
      </c>
      <c r="J142" t="s">
        <v>149</v>
      </c>
      <c r="K142" s="37">
        <v>12</v>
      </c>
      <c r="L142" t="s">
        <v>120</v>
      </c>
      <c r="M142" s="21">
        <v>55500</v>
      </c>
      <c r="N142" s="21">
        <v>792540</v>
      </c>
      <c r="O142" s="21">
        <v>126540</v>
      </c>
      <c r="P142">
        <v>4</v>
      </c>
      <c r="Q142" t="s">
        <v>42</v>
      </c>
      <c r="R142" s="37">
        <v>7</v>
      </c>
      <c r="S142" s="37">
        <v>16</v>
      </c>
      <c r="T142" t="s">
        <v>94</v>
      </c>
      <c r="U142" t="s">
        <v>138</v>
      </c>
      <c r="V142" t="s">
        <v>69</v>
      </c>
    </row>
    <row r="143" spans="1:22" ht="15" customHeight="1" x14ac:dyDescent="0.3">
      <c r="A143" t="s">
        <v>377</v>
      </c>
      <c r="B143" s="20">
        <v>45680</v>
      </c>
      <c r="C143" t="s">
        <v>378</v>
      </c>
      <c r="D143" t="s">
        <v>35</v>
      </c>
      <c r="E143" s="37">
        <v>52</v>
      </c>
      <c r="F143" t="s">
        <v>86</v>
      </c>
      <c r="G143" t="s">
        <v>87</v>
      </c>
      <c r="H143" t="s">
        <v>66</v>
      </c>
      <c r="I143" t="s">
        <v>75</v>
      </c>
      <c r="J143" t="s">
        <v>170</v>
      </c>
      <c r="K143" s="37">
        <v>21</v>
      </c>
      <c r="L143" t="s">
        <v>52</v>
      </c>
      <c r="M143" s="21">
        <v>101700</v>
      </c>
      <c r="N143" s="21">
        <v>1318032</v>
      </c>
      <c r="O143" s="21">
        <v>97632</v>
      </c>
      <c r="P143">
        <v>4</v>
      </c>
      <c r="Q143" t="s">
        <v>42</v>
      </c>
      <c r="R143" s="37">
        <v>20</v>
      </c>
      <c r="S143" s="37">
        <v>18</v>
      </c>
      <c r="T143" t="s">
        <v>146</v>
      </c>
      <c r="U143" t="s">
        <v>44</v>
      </c>
      <c r="V143" t="s">
        <v>45</v>
      </c>
    </row>
    <row r="144" spans="1:22" ht="15" customHeight="1" x14ac:dyDescent="0.3">
      <c r="A144" t="s">
        <v>379</v>
      </c>
      <c r="B144" s="20">
        <v>45706</v>
      </c>
      <c r="C144" t="s">
        <v>380</v>
      </c>
      <c r="D144" t="s">
        <v>35</v>
      </c>
      <c r="E144" s="37">
        <v>57</v>
      </c>
      <c r="F144" t="s">
        <v>72</v>
      </c>
      <c r="G144" t="s">
        <v>73</v>
      </c>
      <c r="H144" t="s">
        <v>66</v>
      </c>
      <c r="I144" t="s">
        <v>75</v>
      </c>
      <c r="J144" t="s">
        <v>93</v>
      </c>
      <c r="K144" s="37">
        <v>13</v>
      </c>
      <c r="L144" t="s">
        <v>52</v>
      </c>
      <c r="M144" s="21">
        <v>92200</v>
      </c>
      <c r="N144" s="21">
        <v>1217040</v>
      </c>
      <c r="O144" s="21">
        <v>110640</v>
      </c>
      <c r="P144">
        <v>3</v>
      </c>
      <c r="Q144" t="s">
        <v>42</v>
      </c>
      <c r="R144" s="37">
        <v>3</v>
      </c>
      <c r="S144" s="37">
        <v>12</v>
      </c>
      <c r="T144" t="s">
        <v>94</v>
      </c>
      <c r="U144" t="s">
        <v>63</v>
      </c>
      <c r="V144" t="s">
        <v>69</v>
      </c>
    </row>
    <row r="145" spans="1:22" ht="15" customHeight="1" x14ac:dyDescent="0.3">
      <c r="A145" t="s">
        <v>381</v>
      </c>
      <c r="B145" s="20">
        <v>46002</v>
      </c>
      <c r="C145" t="s">
        <v>382</v>
      </c>
      <c r="D145" t="s">
        <v>48</v>
      </c>
      <c r="E145" s="37">
        <v>33</v>
      </c>
      <c r="F145" t="s">
        <v>108</v>
      </c>
      <c r="G145" t="s">
        <v>109</v>
      </c>
      <c r="H145" t="s">
        <v>66</v>
      </c>
      <c r="I145" t="s">
        <v>39</v>
      </c>
      <c r="J145" t="s">
        <v>93</v>
      </c>
      <c r="K145" s="37">
        <v>28</v>
      </c>
      <c r="L145" t="s">
        <v>52</v>
      </c>
      <c r="M145" s="21">
        <v>38600</v>
      </c>
      <c r="N145" s="21">
        <v>537312</v>
      </c>
      <c r="O145" s="21">
        <v>74112</v>
      </c>
      <c r="P145">
        <v>2</v>
      </c>
      <c r="Q145" t="s">
        <v>42</v>
      </c>
      <c r="R145" s="37">
        <v>8</v>
      </c>
      <c r="S145" s="37">
        <v>5</v>
      </c>
      <c r="T145" t="s">
        <v>146</v>
      </c>
      <c r="U145" t="s">
        <v>54</v>
      </c>
      <c r="V145" t="s">
        <v>69</v>
      </c>
    </row>
    <row r="146" spans="1:22" ht="15" customHeight="1" x14ac:dyDescent="0.3">
      <c r="A146" t="s">
        <v>383</v>
      </c>
      <c r="B146" s="20">
        <v>45859</v>
      </c>
      <c r="C146" t="s">
        <v>384</v>
      </c>
      <c r="D146" t="s">
        <v>48</v>
      </c>
      <c r="E146" s="37">
        <v>30</v>
      </c>
      <c r="F146" t="s">
        <v>86</v>
      </c>
      <c r="G146" t="s">
        <v>87</v>
      </c>
      <c r="H146" t="s">
        <v>66</v>
      </c>
      <c r="I146" t="s">
        <v>75</v>
      </c>
      <c r="J146" t="s">
        <v>170</v>
      </c>
      <c r="K146" s="37">
        <v>12</v>
      </c>
      <c r="L146" t="s">
        <v>52</v>
      </c>
      <c r="M146" s="21">
        <v>97800</v>
      </c>
      <c r="N146" s="21">
        <v>1396584</v>
      </c>
      <c r="O146" s="21">
        <v>222984</v>
      </c>
      <c r="P146">
        <v>4</v>
      </c>
      <c r="Q146" t="s">
        <v>126</v>
      </c>
      <c r="R146" s="37">
        <v>0</v>
      </c>
      <c r="S146" s="37">
        <v>26</v>
      </c>
      <c r="T146" t="s">
        <v>175</v>
      </c>
      <c r="U146" t="s">
        <v>63</v>
      </c>
      <c r="V146" t="s">
        <v>69</v>
      </c>
    </row>
    <row r="147" spans="1:22" ht="15" customHeight="1" x14ac:dyDescent="0.3">
      <c r="A147" t="s">
        <v>385</v>
      </c>
      <c r="B147" s="20">
        <v>45728</v>
      </c>
      <c r="C147" t="s">
        <v>386</v>
      </c>
      <c r="D147" t="s">
        <v>48</v>
      </c>
      <c r="E147" s="37">
        <v>54</v>
      </c>
      <c r="F147" t="s">
        <v>72</v>
      </c>
      <c r="G147" t="s">
        <v>73</v>
      </c>
      <c r="H147" t="s">
        <v>74</v>
      </c>
      <c r="I147" t="s">
        <v>51</v>
      </c>
      <c r="J147" t="s">
        <v>152</v>
      </c>
      <c r="K147" s="37">
        <v>29</v>
      </c>
      <c r="L147" t="s">
        <v>52</v>
      </c>
      <c r="M147" s="21">
        <v>235900</v>
      </c>
      <c r="N147" s="21">
        <v>3255419</v>
      </c>
      <c r="O147" s="21">
        <v>424620</v>
      </c>
      <c r="P147">
        <v>5</v>
      </c>
      <c r="Q147" t="s">
        <v>126</v>
      </c>
      <c r="R147" s="37">
        <v>15</v>
      </c>
      <c r="S147" s="37">
        <v>38</v>
      </c>
      <c r="T147" t="s">
        <v>175</v>
      </c>
      <c r="U147" t="s">
        <v>63</v>
      </c>
      <c r="V147" t="s">
        <v>69</v>
      </c>
    </row>
    <row r="148" spans="1:22" ht="15" customHeight="1" x14ac:dyDescent="0.3">
      <c r="A148" t="s">
        <v>387</v>
      </c>
      <c r="B148" s="20">
        <v>45691</v>
      </c>
      <c r="C148" t="s">
        <v>388</v>
      </c>
      <c r="D148" t="s">
        <v>35</v>
      </c>
      <c r="E148" s="37">
        <v>34</v>
      </c>
      <c r="F148" t="s">
        <v>86</v>
      </c>
      <c r="G148" t="s">
        <v>87</v>
      </c>
      <c r="H148" t="s">
        <v>66</v>
      </c>
      <c r="I148" t="s">
        <v>82</v>
      </c>
      <c r="J148" t="s">
        <v>93</v>
      </c>
      <c r="K148" s="37">
        <v>15</v>
      </c>
      <c r="L148" t="s">
        <v>52</v>
      </c>
      <c r="M148" s="21">
        <v>75700</v>
      </c>
      <c r="N148" s="21">
        <v>1053744</v>
      </c>
      <c r="O148" s="21">
        <v>145344</v>
      </c>
      <c r="P148">
        <v>4</v>
      </c>
      <c r="Q148" t="s">
        <v>42</v>
      </c>
      <c r="R148" s="37">
        <v>12</v>
      </c>
      <c r="S148" s="37">
        <v>33</v>
      </c>
      <c r="T148" t="s">
        <v>175</v>
      </c>
      <c r="U148" t="s">
        <v>44</v>
      </c>
      <c r="V148" t="s">
        <v>45</v>
      </c>
    </row>
    <row r="149" spans="1:22" ht="15" customHeight="1" x14ac:dyDescent="0.3">
      <c r="A149" t="s">
        <v>389</v>
      </c>
      <c r="B149" s="20">
        <v>45661</v>
      </c>
      <c r="C149" t="s">
        <v>390</v>
      </c>
      <c r="D149" t="s">
        <v>35</v>
      </c>
      <c r="E149" s="37">
        <v>42</v>
      </c>
      <c r="F149" t="s">
        <v>72</v>
      </c>
      <c r="G149" t="s">
        <v>73</v>
      </c>
      <c r="H149" t="s">
        <v>66</v>
      </c>
      <c r="I149" t="s">
        <v>82</v>
      </c>
      <c r="J149" t="s">
        <v>67</v>
      </c>
      <c r="K149" s="37">
        <v>27</v>
      </c>
      <c r="L149" t="s">
        <v>52</v>
      </c>
      <c r="M149" s="21">
        <v>70600</v>
      </c>
      <c r="N149" s="21">
        <v>991223</v>
      </c>
      <c r="O149" s="21">
        <v>144024</v>
      </c>
      <c r="P149">
        <v>4</v>
      </c>
      <c r="Q149" t="s">
        <v>42</v>
      </c>
      <c r="R149" s="37">
        <v>14</v>
      </c>
      <c r="S149" s="37">
        <v>9</v>
      </c>
      <c r="T149" t="s">
        <v>146</v>
      </c>
      <c r="U149" t="s">
        <v>54</v>
      </c>
      <c r="V149" t="s">
        <v>45</v>
      </c>
    </row>
    <row r="150" spans="1:22" ht="15" customHeight="1" x14ac:dyDescent="0.3">
      <c r="A150" t="s">
        <v>391</v>
      </c>
      <c r="B150" s="20">
        <v>45957</v>
      </c>
      <c r="C150" t="s">
        <v>392</v>
      </c>
      <c r="D150" t="s">
        <v>48</v>
      </c>
      <c r="E150" s="37">
        <v>38</v>
      </c>
      <c r="F150" t="s">
        <v>97</v>
      </c>
      <c r="G150" t="s">
        <v>98</v>
      </c>
      <c r="H150" t="s">
        <v>38</v>
      </c>
      <c r="I150" t="s">
        <v>75</v>
      </c>
      <c r="J150" t="s">
        <v>99</v>
      </c>
      <c r="K150" s="37">
        <v>3</v>
      </c>
      <c r="L150" t="s">
        <v>52</v>
      </c>
      <c r="M150" s="21">
        <v>85700</v>
      </c>
      <c r="N150" s="21">
        <v>1192944</v>
      </c>
      <c r="O150" s="21">
        <v>164544</v>
      </c>
      <c r="P150">
        <v>4</v>
      </c>
      <c r="Q150" t="s">
        <v>42</v>
      </c>
      <c r="R150" s="37">
        <v>16</v>
      </c>
      <c r="S150" s="37">
        <v>39</v>
      </c>
      <c r="T150" t="s">
        <v>129</v>
      </c>
      <c r="U150" t="s">
        <v>54</v>
      </c>
      <c r="V150" t="s">
        <v>45</v>
      </c>
    </row>
    <row r="151" spans="1:22" ht="15" customHeight="1" x14ac:dyDescent="0.3">
      <c r="A151" t="s">
        <v>393</v>
      </c>
      <c r="B151" s="20">
        <v>45969</v>
      </c>
      <c r="C151" t="s">
        <v>394</v>
      </c>
      <c r="D151" t="s">
        <v>35</v>
      </c>
      <c r="E151" s="37">
        <v>58</v>
      </c>
      <c r="F151" t="s">
        <v>97</v>
      </c>
      <c r="G151" t="s">
        <v>98</v>
      </c>
      <c r="H151" t="s">
        <v>66</v>
      </c>
      <c r="I151" t="s">
        <v>82</v>
      </c>
      <c r="J151" t="s">
        <v>161</v>
      </c>
      <c r="K151" s="37">
        <v>0</v>
      </c>
      <c r="L151" t="s">
        <v>52</v>
      </c>
      <c r="M151" s="21">
        <v>59400</v>
      </c>
      <c r="N151" s="21">
        <v>819719</v>
      </c>
      <c r="O151" s="21">
        <v>106920</v>
      </c>
      <c r="P151">
        <v>4</v>
      </c>
      <c r="Q151" t="s">
        <v>42</v>
      </c>
      <c r="R151" s="37">
        <v>20</v>
      </c>
      <c r="S151" s="37">
        <v>35</v>
      </c>
      <c r="T151" t="s">
        <v>94</v>
      </c>
      <c r="U151" t="s">
        <v>54</v>
      </c>
      <c r="V151" t="s">
        <v>45</v>
      </c>
    </row>
    <row r="152" spans="1:22" ht="15" customHeight="1" x14ac:dyDescent="0.3">
      <c r="A152" t="s">
        <v>395</v>
      </c>
      <c r="B152" s="20">
        <v>45699</v>
      </c>
      <c r="C152" t="s">
        <v>396</v>
      </c>
      <c r="D152" t="s">
        <v>48</v>
      </c>
      <c r="E152" s="37">
        <v>43</v>
      </c>
      <c r="F152" t="s">
        <v>123</v>
      </c>
      <c r="G152" t="s">
        <v>124</v>
      </c>
      <c r="H152" t="s">
        <v>118</v>
      </c>
      <c r="I152" t="s">
        <v>75</v>
      </c>
      <c r="J152" t="s">
        <v>219</v>
      </c>
      <c r="K152" s="37">
        <v>1</v>
      </c>
      <c r="L152" t="s">
        <v>52</v>
      </c>
      <c r="M152" s="21">
        <v>83900</v>
      </c>
      <c r="N152" s="21">
        <v>1067208</v>
      </c>
      <c r="O152" s="21">
        <v>60408</v>
      </c>
      <c r="P152">
        <v>4</v>
      </c>
      <c r="Q152" t="s">
        <v>42</v>
      </c>
      <c r="R152" s="37">
        <v>7</v>
      </c>
      <c r="S152" s="37">
        <v>8</v>
      </c>
      <c r="T152" t="s">
        <v>94</v>
      </c>
      <c r="U152" t="s">
        <v>63</v>
      </c>
      <c r="V152" t="s">
        <v>45</v>
      </c>
    </row>
    <row r="153" spans="1:22" ht="15" customHeight="1" x14ac:dyDescent="0.3">
      <c r="A153" t="s">
        <v>397</v>
      </c>
      <c r="B153" s="20">
        <v>45833</v>
      </c>
      <c r="C153" t="s">
        <v>364</v>
      </c>
      <c r="D153" t="s">
        <v>48</v>
      </c>
      <c r="E153" s="37">
        <v>47</v>
      </c>
      <c r="F153" t="s">
        <v>57</v>
      </c>
      <c r="G153" t="s">
        <v>58</v>
      </c>
      <c r="H153" t="s">
        <v>38</v>
      </c>
      <c r="I153" t="s">
        <v>75</v>
      </c>
      <c r="J153" t="s">
        <v>134</v>
      </c>
      <c r="K153" s="37">
        <v>26</v>
      </c>
      <c r="L153" t="s">
        <v>52</v>
      </c>
      <c r="M153" s="21">
        <v>77200</v>
      </c>
      <c r="N153" s="21">
        <v>1083888</v>
      </c>
      <c r="O153" s="21">
        <v>157488</v>
      </c>
      <c r="P153">
        <v>4</v>
      </c>
      <c r="Q153" t="s">
        <v>42</v>
      </c>
      <c r="R153" s="37">
        <v>10</v>
      </c>
      <c r="S153" s="37">
        <v>0</v>
      </c>
      <c r="T153" t="s">
        <v>68</v>
      </c>
      <c r="U153" t="s">
        <v>54</v>
      </c>
      <c r="V153" t="s">
        <v>69</v>
      </c>
    </row>
    <row r="154" spans="1:22" ht="15" customHeight="1" x14ac:dyDescent="0.3">
      <c r="A154" t="s">
        <v>398</v>
      </c>
      <c r="B154" s="20">
        <v>45702</v>
      </c>
      <c r="C154" t="s">
        <v>399</v>
      </c>
      <c r="D154" t="s">
        <v>48</v>
      </c>
      <c r="E154" s="37">
        <v>47</v>
      </c>
      <c r="F154" t="s">
        <v>108</v>
      </c>
      <c r="G154" t="s">
        <v>109</v>
      </c>
      <c r="H154" t="s">
        <v>118</v>
      </c>
      <c r="I154" t="s">
        <v>82</v>
      </c>
      <c r="J154" t="s">
        <v>250</v>
      </c>
      <c r="K154" s="37">
        <v>10</v>
      </c>
      <c r="L154" t="s">
        <v>52</v>
      </c>
      <c r="M154" s="21">
        <v>53000</v>
      </c>
      <c r="N154" s="21">
        <v>699600</v>
      </c>
      <c r="O154" s="21">
        <v>63600</v>
      </c>
      <c r="P154">
        <v>4</v>
      </c>
      <c r="Q154" t="s">
        <v>42</v>
      </c>
      <c r="R154" s="37">
        <v>20</v>
      </c>
      <c r="S154" s="37">
        <v>4</v>
      </c>
      <c r="T154" t="s">
        <v>43</v>
      </c>
      <c r="U154" t="s">
        <v>44</v>
      </c>
      <c r="V154" t="s">
        <v>45</v>
      </c>
    </row>
    <row r="155" spans="1:22" ht="15" customHeight="1" x14ac:dyDescent="0.3">
      <c r="A155" t="s">
        <v>400</v>
      </c>
      <c r="B155" s="20">
        <v>45987</v>
      </c>
      <c r="C155" t="s">
        <v>401</v>
      </c>
      <c r="D155" t="s">
        <v>35</v>
      </c>
      <c r="E155" s="37">
        <v>51</v>
      </c>
      <c r="F155" t="s">
        <v>97</v>
      </c>
      <c r="G155" t="s">
        <v>98</v>
      </c>
      <c r="H155" t="s">
        <v>66</v>
      </c>
      <c r="I155" t="s">
        <v>39</v>
      </c>
      <c r="J155" t="s">
        <v>170</v>
      </c>
      <c r="K155" s="37">
        <v>11</v>
      </c>
      <c r="L155" t="s">
        <v>41</v>
      </c>
      <c r="M155" s="21">
        <v>50000</v>
      </c>
      <c r="N155" s="21">
        <v>702000</v>
      </c>
      <c r="O155" s="21">
        <v>102000</v>
      </c>
      <c r="P155">
        <v>5</v>
      </c>
      <c r="Q155" t="s">
        <v>42</v>
      </c>
      <c r="R155" s="37">
        <v>5</v>
      </c>
      <c r="S155" s="37">
        <v>40</v>
      </c>
      <c r="T155" t="s">
        <v>53</v>
      </c>
      <c r="U155" t="s">
        <v>54</v>
      </c>
      <c r="V155" t="s">
        <v>45</v>
      </c>
    </row>
    <row r="156" spans="1:22" ht="15" customHeight="1" x14ac:dyDescent="0.3">
      <c r="A156" t="s">
        <v>402</v>
      </c>
      <c r="B156" s="20">
        <v>45938</v>
      </c>
      <c r="C156" t="s">
        <v>403</v>
      </c>
      <c r="D156" t="s">
        <v>35</v>
      </c>
      <c r="E156" s="37">
        <v>58</v>
      </c>
      <c r="F156" t="s">
        <v>91</v>
      </c>
      <c r="G156" t="s">
        <v>92</v>
      </c>
      <c r="H156" t="s">
        <v>118</v>
      </c>
      <c r="I156" t="s">
        <v>39</v>
      </c>
      <c r="J156" t="s">
        <v>119</v>
      </c>
      <c r="K156" s="37">
        <v>25</v>
      </c>
      <c r="L156" t="s">
        <v>52</v>
      </c>
      <c r="M156" s="21">
        <v>39200</v>
      </c>
      <c r="N156" s="21">
        <v>545664</v>
      </c>
      <c r="O156" s="21">
        <v>75264</v>
      </c>
      <c r="P156">
        <v>3</v>
      </c>
      <c r="Q156" t="s">
        <v>42</v>
      </c>
      <c r="R156" s="37">
        <v>10</v>
      </c>
      <c r="S156" s="37">
        <v>15</v>
      </c>
      <c r="T156" t="s">
        <v>62</v>
      </c>
      <c r="U156" t="s">
        <v>54</v>
      </c>
      <c r="V156" t="s">
        <v>69</v>
      </c>
    </row>
    <row r="157" spans="1:22" ht="15" customHeight="1" x14ac:dyDescent="0.3">
      <c r="A157" t="s">
        <v>404</v>
      </c>
      <c r="B157" s="20">
        <v>45846</v>
      </c>
      <c r="C157" t="s">
        <v>405</v>
      </c>
      <c r="D157" t="s">
        <v>48</v>
      </c>
      <c r="E157" s="37">
        <v>51</v>
      </c>
      <c r="F157" t="s">
        <v>108</v>
      </c>
      <c r="G157" t="s">
        <v>109</v>
      </c>
      <c r="H157" t="s">
        <v>66</v>
      </c>
      <c r="I157" t="s">
        <v>75</v>
      </c>
      <c r="J157" t="s">
        <v>149</v>
      </c>
      <c r="K157" s="37">
        <v>23</v>
      </c>
      <c r="L157" t="s">
        <v>52</v>
      </c>
      <c r="M157" s="21">
        <v>116500</v>
      </c>
      <c r="N157" s="21">
        <v>1593720</v>
      </c>
      <c r="O157" s="21">
        <v>195720</v>
      </c>
      <c r="P157">
        <v>5</v>
      </c>
      <c r="Q157" t="s">
        <v>42</v>
      </c>
      <c r="R157" s="37">
        <v>9</v>
      </c>
      <c r="S157" s="37">
        <v>20</v>
      </c>
      <c r="T157" t="s">
        <v>77</v>
      </c>
      <c r="U157" t="s">
        <v>138</v>
      </c>
      <c r="V157" t="s">
        <v>69</v>
      </c>
    </row>
    <row r="158" spans="1:22" ht="15" customHeight="1" x14ac:dyDescent="0.3">
      <c r="A158" t="s">
        <v>406</v>
      </c>
      <c r="B158" s="20">
        <v>45944</v>
      </c>
      <c r="C158" t="s">
        <v>407</v>
      </c>
      <c r="D158" t="s">
        <v>48</v>
      </c>
      <c r="E158" s="37">
        <v>34</v>
      </c>
      <c r="F158" t="s">
        <v>49</v>
      </c>
      <c r="G158" t="s">
        <v>50</v>
      </c>
      <c r="H158" t="s">
        <v>118</v>
      </c>
      <c r="I158" t="s">
        <v>39</v>
      </c>
      <c r="J158" t="s">
        <v>182</v>
      </c>
      <c r="K158" s="37">
        <v>1</v>
      </c>
      <c r="L158" t="s">
        <v>120</v>
      </c>
      <c r="M158" s="21">
        <v>28800</v>
      </c>
      <c r="N158" s="21">
        <v>400896</v>
      </c>
      <c r="O158" s="21">
        <v>55296</v>
      </c>
      <c r="P158">
        <v>3</v>
      </c>
      <c r="Q158" t="s">
        <v>42</v>
      </c>
      <c r="R158" s="37">
        <v>20</v>
      </c>
      <c r="S158" s="37">
        <v>29</v>
      </c>
      <c r="T158" t="s">
        <v>105</v>
      </c>
      <c r="U158" t="s">
        <v>44</v>
      </c>
      <c r="V158" t="s">
        <v>69</v>
      </c>
    </row>
    <row r="159" spans="1:22" ht="15" customHeight="1" x14ac:dyDescent="0.3">
      <c r="A159" t="s">
        <v>408</v>
      </c>
      <c r="B159" s="20">
        <v>45712</v>
      </c>
      <c r="C159" t="s">
        <v>409</v>
      </c>
      <c r="D159" t="s">
        <v>48</v>
      </c>
      <c r="E159" s="37">
        <v>50</v>
      </c>
      <c r="F159" t="s">
        <v>123</v>
      </c>
      <c r="G159" t="s">
        <v>124</v>
      </c>
      <c r="H159" t="s">
        <v>66</v>
      </c>
      <c r="I159" t="s">
        <v>82</v>
      </c>
      <c r="J159" t="s">
        <v>161</v>
      </c>
      <c r="K159" s="37">
        <v>17</v>
      </c>
      <c r="L159" t="s">
        <v>41</v>
      </c>
      <c r="M159" s="21">
        <v>75900</v>
      </c>
      <c r="N159" s="21">
        <v>1092960</v>
      </c>
      <c r="O159" s="21">
        <v>182160</v>
      </c>
      <c r="P159">
        <v>1</v>
      </c>
      <c r="Q159" t="s">
        <v>42</v>
      </c>
      <c r="R159" s="37">
        <v>8</v>
      </c>
      <c r="S159" s="37">
        <v>40</v>
      </c>
      <c r="T159" t="s">
        <v>146</v>
      </c>
      <c r="U159" t="s">
        <v>44</v>
      </c>
      <c r="V159" t="s">
        <v>69</v>
      </c>
    </row>
    <row r="160" spans="1:22" ht="15" customHeight="1" x14ac:dyDescent="0.3">
      <c r="A160" t="s">
        <v>410</v>
      </c>
      <c r="B160" s="20">
        <v>45708</v>
      </c>
      <c r="C160" t="s">
        <v>411</v>
      </c>
      <c r="D160" t="s">
        <v>35</v>
      </c>
      <c r="E160" s="37">
        <v>32</v>
      </c>
      <c r="F160" t="s">
        <v>72</v>
      </c>
      <c r="G160" t="s">
        <v>73</v>
      </c>
      <c r="H160" t="s">
        <v>59</v>
      </c>
      <c r="I160" t="s">
        <v>82</v>
      </c>
      <c r="J160" t="s">
        <v>141</v>
      </c>
      <c r="K160" s="37">
        <v>18</v>
      </c>
      <c r="L160" t="s">
        <v>52</v>
      </c>
      <c r="M160" s="21">
        <v>50100</v>
      </c>
      <c r="N160" s="21">
        <v>709416</v>
      </c>
      <c r="O160" s="21">
        <v>108216</v>
      </c>
      <c r="P160">
        <v>5</v>
      </c>
      <c r="Q160" t="s">
        <v>42</v>
      </c>
      <c r="R160" s="37">
        <v>20</v>
      </c>
      <c r="S160" s="37">
        <v>13</v>
      </c>
      <c r="T160" t="s">
        <v>53</v>
      </c>
      <c r="U160" t="s">
        <v>138</v>
      </c>
      <c r="V160" t="s">
        <v>45</v>
      </c>
    </row>
    <row r="161" spans="1:22" ht="15" customHeight="1" x14ac:dyDescent="0.3">
      <c r="A161" t="s">
        <v>412</v>
      </c>
      <c r="B161" s="20">
        <v>45713</v>
      </c>
      <c r="C161" t="s">
        <v>413</v>
      </c>
      <c r="D161" t="s">
        <v>35</v>
      </c>
      <c r="E161" s="37">
        <v>40</v>
      </c>
      <c r="F161" t="s">
        <v>57</v>
      </c>
      <c r="G161" t="s">
        <v>58</v>
      </c>
      <c r="H161" t="s">
        <v>38</v>
      </c>
      <c r="I161" t="s">
        <v>75</v>
      </c>
      <c r="J161" t="s">
        <v>40</v>
      </c>
      <c r="K161" s="37">
        <v>3</v>
      </c>
      <c r="L161" t="s">
        <v>52</v>
      </c>
      <c r="M161" s="21">
        <v>102100</v>
      </c>
      <c r="N161" s="21">
        <v>1372224</v>
      </c>
      <c r="O161" s="21">
        <v>147024</v>
      </c>
      <c r="P161">
        <v>2</v>
      </c>
      <c r="Q161" t="s">
        <v>42</v>
      </c>
      <c r="R161" s="37">
        <v>3</v>
      </c>
      <c r="S161" s="37">
        <v>33</v>
      </c>
      <c r="T161" t="s">
        <v>77</v>
      </c>
      <c r="U161" t="s">
        <v>44</v>
      </c>
      <c r="V161" t="s">
        <v>45</v>
      </c>
    </row>
    <row r="162" spans="1:22" ht="15" customHeight="1" x14ac:dyDescent="0.3">
      <c r="A162" t="s">
        <v>414</v>
      </c>
      <c r="B162" s="20">
        <v>45997</v>
      </c>
      <c r="C162" t="s">
        <v>415</v>
      </c>
      <c r="D162" t="s">
        <v>35</v>
      </c>
      <c r="E162" s="37">
        <v>26</v>
      </c>
      <c r="F162" t="s">
        <v>36</v>
      </c>
      <c r="G162" t="s">
        <v>37</v>
      </c>
      <c r="H162" t="s">
        <v>74</v>
      </c>
      <c r="I162" t="s">
        <v>39</v>
      </c>
      <c r="J162" t="s">
        <v>152</v>
      </c>
      <c r="K162" s="37">
        <v>27</v>
      </c>
      <c r="L162" t="s">
        <v>52</v>
      </c>
      <c r="M162" s="21">
        <v>32900</v>
      </c>
      <c r="N162" s="21">
        <v>473760</v>
      </c>
      <c r="O162" s="21">
        <v>78960</v>
      </c>
      <c r="P162">
        <v>3</v>
      </c>
      <c r="Q162" t="s">
        <v>42</v>
      </c>
      <c r="R162" s="37">
        <v>19</v>
      </c>
      <c r="S162" s="37">
        <v>2</v>
      </c>
      <c r="T162" t="s">
        <v>105</v>
      </c>
      <c r="U162" t="s">
        <v>44</v>
      </c>
      <c r="V162" t="s">
        <v>69</v>
      </c>
    </row>
    <row r="163" spans="1:22" ht="15" customHeight="1" x14ac:dyDescent="0.3">
      <c r="A163" t="s">
        <v>416</v>
      </c>
      <c r="B163" s="20">
        <v>45886</v>
      </c>
      <c r="C163" t="s">
        <v>405</v>
      </c>
      <c r="D163" t="s">
        <v>48</v>
      </c>
      <c r="E163" s="37">
        <v>26</v>
      </c>
      <c r="F163" t="s">
        <v>57</v>
      </c>
      <c r="G163" t="s">
        <v>58</v>
      </c>
      <c r="H163" t="s">
        <v>59</v>
      </c>
      <c r="I163" t="s">
        <v>60</v>
      </c>
      <c r="J163" t="s">
        <v>88</v>
      </c>
      <c r="K163" s="37">
        <v>24</v>
      </c>
      <c r="L163" t="s">
        <v>52</v>
      </c>
      <c r="M163" s="21">
        <v>114600</v>
      </c>
      <c r="N163" s="21">
        <v>1471464</v>
      </c>
      <c r="O163" s="21">
        <v>96264</v>
      </c>
      <c r="P163">
        <v>3</v>
      </c>
      <c r="Q163" t="s">
        <v>42</v>
      </c>
      <c r="R163" s="37">
        <v>3</v>
      </c>
      <c r="S163" s="37">
        <v>38</v>
      </c>
      <c r="T163" t="s">
        <v>77</v>
      </c>
      <c r="U163" t="s">
        <v>63</v>
      </c>
      <c r="V163" t="s">
        <v>45</v>
      </c>
    </row>
    <row r="164" spans="1:22" ht="15" customHeight="1" x14ac:dyDescent="0.3">
      <c r="A164" t="s">
        <v>417</v>
      </c>
      <c r="B164" s="20">
        <v>45764</v>
      </c>
      <c r="C164" t="s">
        <v>380</v>
      </c>
      <c r="D164" t="s">
        <v>35</v>
      </c>
      <c r="E164" s="37">
        <v>53</v>
      </c>
      <c r="F164" t="s">
        <v>86</v>
      </c>
      <c r="G164" t="s">
        <v>87</v>
      </c>
      <c r="H164" t="s">
        <v>74</v>
      </c>
      <c r="I164" t="s">
        <v>82</v>
      </c>
      <c r="J164" t="s">
        <v>83</v>
      </c>
      <c r="K164" s="37">
        <v>9</v>
      </c>
      <c r="L164" t="s">
        <v>52</v>
      </c>
      <c r="M164" s="21">
        <v>59000</v>
      </c>
      <c r="N164" s="21">
        <v>842520</v>
      </c>
      <c r="O164" s="21">
        <v>134520</v>
      </c>
      <c r="P164">
        <v>4</v>
      </c>
      <c r="Q164" t="s">
        <v>126</v>
      </c>
      <c r="R164" s="37">
        <v>4</v>
      </c>
      <c r="S164" s="37">
        <v>37</v>
      </c>
      <c r="T164" t="s">
        <v>68</v>
      </c>
      <c r="U164" t="s">
        <v>63</v>
      </c>
      <c r="V164" t="s">
        <v>45</v>
      </c>
    </row>
    <row r="165" spans="1:22" ht="15" customHeight="1" x14ac:dyDescent="0.3">
      <c r="A165" t="s">
        <v>418</v>
      </c>
      <c r="B165" s="20">
        <v>45669</v>
      </c>
      <c r="C165" t="s">
        <v>245</v>
      </c>
      <c r="D165" t="s">
        <v>48</v>
      </c>
      <c r="E165" s="37">
        <v>36</v>
      </c>
      <c r="F165" t="s">
        <v>57</v>
      </c>
      <c r="G165" t="s">
        <v>58</v>
      </c>
      <c r="H165" t="s">
        <v>66</v>
      </c>
      <c r="I165" t="s">
        <v>60</v>
      </c>
      <c r="J165" t="s">
        <v>93</v>
      </c>
      <c r="K165" s="37">
        <v>6</v>
      </c>
      <c r="L165" t="s">
        <v>41</v>
      </c>
      <c r="M165" s="21">
        <v>147600</v>
      </c>
      <c r="N165" s="21">
        <v>1859760</v>
      </c>
      <c r="O165" s="21">
        <v>88560</v>
      </c>
      <c r="P165">
        <v>2</v>
      </c>
      <c r="Q165" t="s">
        <v>126</v>
      </c>
      <c r="R165" s="37">
        <v>5</v>
      </c>
      <c r="S165" s="37">
        <v>5</v>
      </c>
      <c r="T165" t="s">
        <v>53</v>
      </c>
      <c r="U165" t="s">
        <v>54</v>
      </c>
      <c r="V165" t="s">
        <v>45</v>
      </c>
    </row>
    <row r="166" spans="1:22" ht="15" customHeight="1" x14ac:dyDescent="0.3">
      <c r="A166" t="s">
        <v>419</v>
      </c>
      <c r="B166" s="20">
        <v>45901</v>
      </c>
      <c r="C166" t="s">
        <v>313</v>
      </c>
      <c r="D166" t="s">
        <v>48</v>
      </c>
      <c r="E166" s="37">
        <v>38</v>
      </c>
      <c r="F166" t="s">
        <v>80</v>
      </c>
      <c r="G166" t="s">
        <v>81</v>
      </c>
      <c r="H166" t="s">
        <v>66</v>
      </c>
      <c r="I166" t="s">
        <v>82</v>
      </c>
      <c r="J166" t="s">
        <v>149</v>
      </c>
      <c r="K166" s="37">
        <v>17</v>
      </c>
      <c r="L166" t="s">
        <v>52</v>
      </c>
      <c r="M166" s="21">
        <v>73500</v>
      </c>
      <c r="N166" s="21">
        <v>943740</v>
      </c>
      <c r="O166" s="21">
        <v>61740</v>
      </c>
      <c r="P166">
        <v>4</v>
      </c>
      <c r="Q166" t="s">
        <v>42</v>
      </c>
      <c r="R166" s="37">
        <v>1</v>
      </c>
      <c r="S166" s="37">
        <v>3</v>
      </c>
      <c r="T166" t="s">
        <v>77</v>
      </c>
      <c r="U166" t="s">
        <v>63</v>
      </c>
      <c r="V166" t="s">
        <v>45</v>
      </c>
    </row>
    <row r="167" spans="1:22" ht="15" customHeight="1" x14ac:dyDescent="0.3">
      <c r="A167" t="s">
        <v>420</v>
      </c>
      <c r="B167" s="20">
        <v>45892</v>
      </c>
      <c r="C167" t="s">
        <v>336</v>
      </c>
      <c r="D167" t="s">
        <v>48</v>
      </c>
      <c r="E167" s="37">
        <v>26</v>
      </c>
      <c r="F167" t="s">
        <v>97</v>
      </c>
      <c r="G167" t="s">
        <v>98</v>
      </c>
      <c r="H167" t="s">
        <v>38</v>
      </c>
      <c r="I167" t="s">
        <v>51</v>
      </c>
      <c r="J167" t="s">
        <v>40</v>
      </c>
      <c r="K167" s="37">
        <v>18</v>
      </c>
      <c r="L167" t="s">
        <v>52</v>
      </c>
      <c r="M167" s="21">
        <v>189500</v>
      </c>
      <c r="N167" s="21">
        <v>2683320</v>
      </c>
      <c r="O167" s="21">
        <v>409320</v>
      </c>
      <c r="P167">
        <v>3</v>
      </c>
      <c r="Q167" t="s">
        <v>42</v>
      </c>
      <c r="R167" s="37">
        <v>1</v>
      </c>
      <c r="S167" s="37">
        <v>21</v>
      </c>
      <c r="T167" t="s">
        <v>105</v>
      </c>
      <c r="U167" t="s">
        <v>63</v>
      </c>
      <c r="V167" t="s">
        <v>69</v>
      </c>
    </row>
    <row r="168" spans="1:22" ht="15" customHeight="1" x14ac:dyDescent="0.3">
      <c r="A168" t="s">
        <v>421</v>
      </c>
      <c r="B168" s="20">
        <v>45704</v>
      </c>
      <c r="C168" t="s">
        <v>422</v>
      </c>
      <c r="D168" t="s">
        <v>48</v>
      </c>
      <c r="E168" s="37">
        <v>39</v>
      </c>
      <c r="F168" t="s">
        <v>123</v>
      </c>
      <c r="G168" t="s">
        <v>124</v>
      </c>
      <c r="H168" t="s">
        <v>59</v>
      </c>
      <c r="I168" t="s">
        <v>39</v>
      </c>
      <c r="J168" t="s">
        <v>104</v>
      </c>
      <c r="K168" s="37">
        <v>11</v>
      </c>
      <c r="L168" t="s">
        <v>52</v>
      </c>
      <c r="M168" s="21">
        <v>31300</v>
      </c>
      <c r="N168" s="21">
        <v>413160</v>
      </c>
      <c r="O168" s="21">
        <v>37560</v>
      </c>
      <c r="P168">
        <v>4</v>
      </c>
      <c r="Q168" t="s">
        <v>42</v>
      </c>
      <c r="R168" s="37">
        <v>13</v>
      </c>
      <c r="S168" s="37">
        <v>4</v>
      </c>
      <c r="T168" t="s">
        <v>43</v>
      </c>
      <c r="U168" t="s">
        <v>44</v>
      </c>
      <c r="V168" t="s">
        <v>69</v>
      </c>
    </row>
    <row r="169" spans="1:22" ht="15" customHeight="1" x14ac:dyDescent="0.3">
      <c r="A169" t="s">
        <v>423</v>
      </c>
      <c r="B169" s="20">
        <v>45786</v>
      </c>
      <c r="C169" t="s">
        <v>292</v>
      </c>
      <c r="D169" t="s">
        <v>35</v>
      </c>
      <c r="E169" s="37">
        <v>51</v>
      </c>
      <c r="F169" t="s">
        <v>57</v>
      </c>
      <c r="G169" t="s">
        <v>58</v>
      </c>
      <c r="H169" t="s">
        <v>118</v>
      </c>
      <c r="I169" t="s">
        <v>75</v>
      </c>
      <c r="J169" t="s">
        <v>182</v>
      </c>
      <c r="K169" s="37">
        <v>21</v>
      </c>
      <c r="L169" t="s">
        <v>52</v>
      </c>
      <c r="M169" s="21">
        <v>100600</v>
      </c>
      <c r="N169" s="21">
        <v>1327920</v>
      </c>
      <c r="O169" s="21">
        <v>120720</v>
      </c>
      <c r="P169">
        <v>5</v>
      </c>
      <c r="Q169" t="s">
        <v>42</v>
      </c>
      <c r="R169" s="37">
        <v>7</v>
      </c>
      <c r="S169" s="37">
        <v>25</v>
      </c>
      <c r="T169" t="s">
        <v>129</v>
      </c>
      <c r="U169" t="s">
        <v>44</v>
      </c>
      <c r="V169" t="s">
        <v>45</v>
      </c>
    </row>
    <row r="170" spans="1:22" ht="15" customHeight="1" x14ac:dyDescent="0.3">
      <c r="A170" t="s">
        <v>424</v>
      </c>
      <c r="B170" s="20">
        <v>45759</v>
      </c>
      <c r="C170" t="s">
        <v>425</v>
      </c>
      <c r="D170" t="s">
        <v>48</v>
      </c>
      <c r="E170" s="37">
        <v>48</v>
      </c>
      <c r="F170" t="s">
        <v>108</v>
      </c>
      <c r="G170" t="s">
        <v>109</v>
      </c>
      <c r="H170" t="s">
        <v>66</v>
      </c>
      <c r="I170" t="s">
        <v>39</v>
      </c>
      <c r="J170" t="s">
        <v>93</v>
      </c>
      <c r="K170" s="37">
        <v>1</v>
      </c>
      <c r="L170" t="s">
        <v>52</v>
      </c>
      <c r="M170" s="21">
        <v>38500</v>
      </c>
      <c r="N170" s="21">
        <v>503580</v>
      </c>
      <c r="O170" s="21">
        <v>41580</v>
      </c>
      <c r="P170">
        <v>4</v>
      </c>
      <c r="Q170" t="s">
        <v>42</v>
      </c>
      <c r="R170" s="37">
        <v>10</v>
      </c>
      <c r="S170" s="37">
        <v>38</v>
      </c>
      <c r="T170" t="s">
        <v>43</v>
      </c>
      <c r="U170" t="s">
        <v>44</v>
      </c>
      <c r="V170" t="s">
        <v>69</v>
      </c>
    </row>
    <row r="171" spans="1:22" ht="15" customHeight="1" x14ac:dyDescent="0.3">
      <c r="A171" t="s">
        <v>426</v>
      </c>
      <c r="B171" s="20">
        <v>45951</v>
      </c>
      <c r="C171" t="s">
        <v>427</v>
      </c>
      <c r="D171" t="s">
        <v>35</v>
      </c>
      <c r="E171" s="37">
        <v>23</v>
      </c>
      <c r="F171" t="s">
        <v>36</v>
      </c>
      <c r="G171" t="s">
        <v>37</v>
      </c>
      <c r="H171" t="s">
        <v>38</v>
      </c>
      <c r="I171" t="s">
        <v>51</v>
      </c>
      <c r="J171" t="s">
        <v>40</v>
      </c>
      <c r="K171" s="37">
        <v>9</v>
      </c>
      <c r="L171" t="s">
        <v>52</v>
      </c>
      <c r="M171" s="21">
        <v>234900</v>
      </c>
      <c r="N171" s="21">
        <v>3213432</v>
      </c>
      <c r="O171" s="21">
        <v>394632</v>
      </c>
      <c r="P171">
        <v>4</v>
      </c>
      <c r="Q171" t="s">
        <v>42</v>
      </c>
      <c r="R171" s="37">
        <v>1</v>
      </c>
      <c r="S171" s="37">
        <v>28</v>
      </c>
      <c r="T171" t="s">
        <v>53</v>
      </c>
      <c r="U171" t="s">
        <v>54</v>
      </c>
      <c r="V171" t="s">
        <v>69</v>
      </c>
    </row>
    <row r="172" spans="1:22" ht="15" customHeight="1" x14ac:dyDescent="0.3">
      <c r="A172" t="s">
        <v>428</v>
      </c>
      <c r="B172" s="20">
        <v>45824</v>
      </c>
      <c r="C172" t="s">
        <v>429</v>
      </c>
      <c r="D172" t="s">
        <v>48</v>
      </c>
      <c r="E172" s="37">
        <v>42</v>
      </c>
      <c r="F172" t="s">
        <v>72</v>
      </c>
      <c r="G172" t="s">
        <v>73</v>
      </c>
      <c r="H172" t="s">
        <v>59</v>
      </c>
      <c r="I172" t="s">
        <v>75</v>
      </c>
      <c r="J172" t="s">
        <v>104</v>
      </c>
      <c r="K172" s="37">
        <v>12</v>
      </c>
      <c r="L172" t="s">
        <v>52</v>
      </c>
      <c r="M172" s="21">
        <v>66900</v>
      </c>
      <c r="N172" s="21">
        <v>915192</v>
      </c>
      <c r="O172" s="21">
        <v>112392</v>
      </c>
      <c r="P172">
        <v>3</v>
      </c>
      <c r="Q172" t="s">
        <v>42</v>
      </c>
      <c r="R172" s="37">
        <v>0</v>
      </c>
      <c r="S172" s="37">
        <v>9</v>
      </c>
      <c r="T172" t="s">
        <v>53</v>
      </c>
      <c r="U172" t="s">
        <v>63</v>
      </c>
      <c r="V172" t="s">
        <v>45</v>
      </c>
    </row>
    <row r="173" spans="1:22" ht="15" customHeight="1" x14ac:dyDescent="0.3">
      <c r="A173" t="s">
        <v>430</v>
      </c>
      <c r="B173" s="20">
        <v>45708</v>
      </c>
      <c r="C173" t="s">
        <v>431</v>
      </c>
      <c r="D173" t="s">
        <v>48</v>
      </c>
      <c r="E173" s="37">
        <v>48</v>
      </c>
      <c r="F173" t="s">
        <v>97</v>
      </c>
      <c r="G173" t="s">
        <v>98</v>
      </c>
      <c r="H173" t="s">
        <v>66</v>
      </c>
      <c r="I173" t="s">
        <v>60</v>
      </c>
      <c r="J173" t="s">
        <v>67</v>
      </c>
      <c r="K173" s="37">
        <v>30</v>
      </c>
      <c r="L173" t="s">
        <v>52</v>
      </c>
      <c r="M173" s="21">
        <v>178500</v>
      </c>
      <c r="N173" s="21">
        <v>2506140</v>
      </c>
      <c r="O173" s="21">
        <v>364140</v>
      </c>
      <c r="P173">
        <v>4</v>
      </c>
      <c r="Q173" t="s">
        <v>42</v>
      </c>
      <c r="R173" s="37">
        <v>18</v>
      </c>
      <c r="S173" s="37">
        <v>27</v>
      </c>
      <c r="T173" t="s">
        <v>68</v>
      </c>
      <c r="U173" t="s">
        <v>63</v>
      </c>
      <c r="V173" t="s">
        <v>45</v>
      </c>
    </row>
    <row r="174" spans="1:22" ht="15" customHeight="1" x14ac:dyDescent="0.3">
      <c r="A174" t="s">
        <v>432</v>
      </c>
      <c r="B174" s="20">
        <v>45694</v>
      </c>
      <c r="C174" t="s">
        <v>323</v>
      </c>
      <c r="D174" t="s">
        <v>35</v>
      </c>
      <c r="E174" s="37">
        <v>44</v>
      </c>
      <c r="F174" t="s">
        <v>123</v>
      </c>
      <c r="G174" t="s">
        <v>124</v>
      </c>
      <c r="H174" t="s">
        <v>38</v>
      </c>
      <c r="I174" t="s">
        <v>39</v>
      </c>
      <c r="J174" t="s">
        <v>99</v>
      </c>
      <c r="K174" s="37">
        <v>13</v>
      </c>
      <c r="L174" t="s">
        <v>52</v>
      </c>
      <c r="M174" s="21">
        <v>33200</v>
      </c>
      <c r="N174" s="21">
        <v>422304</v>
      </c>
      <c r="O174" s="21">
        <v>23904</v>
      </c>
      <c r="P174">
        <v>4</v>
      </c>
      <c r="Q174" t="s">
        <v>42</v>
      </c>
      <c r="R174" s="37">
        <v>0</v>
      </c>
      <c r="S174" s="37">
        <v>10</v>
      </c>
      <c r="T174" t="s">
        <v>62</v>
      </c>
      <c r="U174" t="s">
        <v>44</v>
      </c>
      <c r="V174" t="s">
        <v>69</v>
      </c>
    </row>
    <row r="175" spans="1:22" ht="15" customHeight="1" x14ac:dyDescent="0.3">
      <c r="A175" t="s">
        <v>433</v>
      </c>
      <c r="B175" s="20">
        <v>45896</v>
      </c>
      <c r="C175" t="s">
        <v>188</v>
      </c>
      <c r="D175" t="s">
        <v>35</v>
      </c>
      <c r="E175" s="37">
        <v>24</v>
      </c>
      <c r="F175" t="s">
        <v>49</v>
      </c>
      <c r="G175" t="s">
        <v>50</v>
      </c>
      <c r="H175" t="s">
        <v>66</v>
      </c>
      <c r="I175" t="s">
        <v>39</v>
      </c>
      <c r="J175" t="s">
        <v>170</v>
      </c>
      <c r="K175" s="37">
        <v>13</v>
      </c>
      <c r="L175" t="s">
        <v>52</v>
      </c>
      <c r="M175" s="21">
        <v>46600</v>
      </c>
      <c r="N175" s="21">
        <v>620712</v>
      </c>
      <c r="O175" s="21">
        <v>61512</v>
      </c>
      <c r="P175">
        <v>3</v>
      </c>
      <c r="Q175" t="s">
        <v>42</v>
      </c>
      <c r="R175" s="37">
        <v>6</v>
      </c>
      <c r="S175" s="37">
        <v>27</v>
      </c>
      <c r="T175" t="s">
        <v>68</v>
      </c>
      <c r="U175" t="s">
        <v>54</v>
      </c>
      <c r="V175" t="s">
        <v>45</v>
      </c>
    </row>
    <row r="176" spans="1:22" ht="15" customHeight="1" x14ac:dyDescent="0.3">
      <c r="A176" t="s">
        <v>434</v>
      </c>
      <c r="B176" s="20">
        <v>45730</v>
      </c>
      <c r="C176" t="s">
        <v>435</v>
      </c>
      <c r="D176" t="s">
        <v>35</v>
      </c>
      <c r="E176" s="37">
        <v>57</v>
      </c>
      <c r="F176" t="s">
        <v>86</v>
      </c>
      <c r="G176" t="s">
        <v>87</v>
      </c>
      <c r="H176" t="s">
        <v>59</v>
      </c>
      <c r="I176" t="s">
        <v>60</v>
      </c>
      <c r="J176" t="s">
        <v>125</v>
      </c>
      <c r="K176" s="37">
        <v>17</v>
      </c>
      <c r="L176" t="s">
        <v>41</v>
      </c>
      <c r="M176" s="21">
        <v>115600</v>
      </c>
      <c r="N176" s="21">
        <v>1553664</v>
      </c>
      <c r="O176" s="21">
        <v>166464</v>
      </c>
      <c r="P176">
        <v>1</v>
      </c>
      <c r="Q176" t="s">
        <v>42</v>
      </c>
      <c r="R176" s="37">
        <v>6</v>
      </c>
      <c r="S176" s="37">
        <v>23</v>
      </c>
      <c r="T176" t="s">
        <v>53</v>
      </c>
      <c r="U176" t="s">
        <v>44</v>
      </c>
      <c r="V176" t="s">
        <v>69</v>
      </c>
    </row>
    <row r="177" spans="1:22" ht="15" customHeight="1" x14ac:dyDescent="0.3">
      <c r="A177" t="s">
        <v>436</v>
      </c>
      <c r="B177" s="20">
        <v>45950</v>
      </c>
      <c r="C177" t="s">
        <v>239</v>
      </c>
      <c r="D177" t="s">
        <v>35</v>
      </c>
      <c r="E177" s="37">
        <v>42</v>
      </c>
      <c r="F177" t="s">
        <v>36</v>
      </c>
      <c r="G177" t="s">
        <v>37</v>
      </c>
      <c r="H177" t="s">
        <v>74</v>
      </c>
      <c r="I177" t="s">
        <v>51</v>
      </c>
      <c r="J177" t="s">
        <v>367</v>
      </c>
      <c r="K177" s="37">
        <v>6</v>
      </c>
      <c r="L177" t="s">
        <v>52</v>
      </c>
      <c r="M177" s="21">
        <v>267700</v>
      </c>
      <c r="N177" s="21">
        <v>3597888</v>
      </c>
      <c r="O177" s="21">
        <v>385488</v>
      </c>
      <c r="P177">
        <v>4</v>
      </c>
      <c r="Q177" t="s">
        <v>126</v>
      </c>
      <c r="R177" s="37">
        <v>11</v>
      </c>
      <c r="S177" s="37">
        <v>26</v>
      </c>
      <c r="T177" t="s">
        <v>77</v>
      </c>
      <c r="U177" t="s">
        <v>63</v>
      </c>
      <c r="V177" t="s">
        <v>69</v>
      </c>
    </row>
    <row r="178" spans="1:22" ht="15" customHeight="1" x14ac:dyDescent="0.3">
      <c r="A178" t="s">
        <v>437</v>
      </c>
      <c r="B178" s="20">
        <v>45953</v>
      </c>
      <c r="C178" t="s">
        <v>350</v>
      </c>
      <c r="D178" t="s">
        <v>48</v>
      </c>
      <c r="E178" s="37">
        <v>53</v>
      </c>
      <c r="F178" t="s">
        <v>57</v>
      </c>
      <c r="G178" t="s">
        <v>58</v>
      </c>
      <c r="H178" t="s">
        <v>118</v>
      </c>
      <c r="I178" t="s">
        <v>82</v>
      </c>
      <c r="J178" t="s">
        <v>119</v>
      </c>
      <c r="K178" s="37">
        <v>16</v>
      </c>
      <c r="L178" t="s">
        <v>52</v>
      </c>
      <c r="M178" s="21">
        <v>64000</v>
      </c>
      <c r="N178" s="21">
        <v>906240</v>
      </c>
      <c r="O178" s="21">
        <v>138240</v>
      </c>
      <c r="P178">
        <v>2</v>
      </c>
      <c r="Q178" t="s">
        <v>42</v>
      </c>
      <c r="R178" s="37">
        <v>18</v>
      </c>
      <c r="S178" s="37">
        <v>34</v>
      </c>
      <c r="T178" t="s">
        <v>94</v>
      </c>
      <c r="U178" t="s">
        <v>44</v>
      </c>
      <c r="V178" t="s">
        <v>45</v>
      </c>
    </row>
    <row r="179" spans="1:22" ht="15" customHeight="1" x14ac:dyDescent="0.3">
      <c r="A179" t="s">
        <v>438</v>
      </c>
      <c r="B179" s="20">
        <v>45830</v>
      </c>
      <c r="C179" t="s">
        <v>439</v>
      </c>
      <c r="D179" t="s">
        <v>48</v>
      </c>
      <c r="E179" s="37">
        <v>51</v>
      </c>
      <c r="F179" t="s">
        <v>91</v>
      </c>
      <c r="G179" t="s">
        <v>92</v>
      </c>
      <c r="H179" t="s">
        <v>38</v>
      </c>
      <c r="I179" t="s">
        <v>39</v>
      </c>
      <c r="J179" t="s">
        <v>190</v>
      </c>
      <c r="K179" s="37">
        <v>22</v>
      </c>
      <c r="L179" t="s">
        <v>52</v>
      </c>
      <c r="M179" s="21">
        <v>39400</v>
      </c>
      <c r="N179" s="21">
        <v>510624</v>
      </c>
      <c r="O179" s="21">
        <v>37824</v>
      </c>
      <c r="P179">
        <v>2</v>
      </c>
      <c r="Q179" t="s">
        <v>42</v>
      </c>
      <c r="R179" s="37">
        <v>7</v>
      </c>
      <c r="S179" s="37">
        <v>20</v>
      </c>
      <c r="T179" t="s">
        <v>62</v>
      </c>
      <c r="U179" t="s">
        <v>63</v>
      </c>
      <c r="V179" t="s">
        <v>45</v>
      </c>
    </row>
    <row r="180" spans="1:22" ht="15" customHeight="1" x14ac:dyDescent="0.3">
      <c r="A180" t="s">
        <v>440</v>
      </c>
      <c r="B180" s="20">
        <v>45658</v>
      </c>
      <c r="C180" t="s">
        <v>441</v>
      </c>
      <c r="D180" t="s">
        <v>35</v>
      </c>
      <c r="E180" s="37">
        <v>53</v>
      </c>
      <c r="F180" t="s">
        <v>49</v>
      </c>
      <c r="G180" t="s">
        <v>50</v>
      </c>
      <c r="H180" t="s">
        <v>118</v>
      </c>
      <c r="I180" t="s">
        <v>39</v>
      </c>
      <c r="J180" t="s">
        <v>137</v>
      </c>
      <c r="K180" s="37">
        <v>18</v>
      </c>
      <c r="L180" t="s">
        <v>52</v>
      </c>
      <c r="M180" s="21">
        <v>35100</v>
      </c>
      <c r="N180" s="21">
        <v>480168</v>
      </c>
      <c r="O180" s="21">
        <v>58968</v>
      </c>
      <c r="P180">
        <v>3</v>
      </c>
      <c r="Q180" t="s">
        <v>126</v>
      </c>
      <c r="R180" s="37">
        <v>18</v>
      </c>
      <c r="S180" s="37">
        <v>14</v>
      </c>
      <c r="T180" t="s">
        <v>77</v>
      </c>
      <c r="U180" t="s">
        <v>63</v>
      </c>
      <c r="V180" t="s">
        <v>45</v>
      </c>
    </row>
    <row r="181" spans="1:22" ht="15" customHeight="1" x14ac:dyDescent="0.3">
      <c r="A181" t="s">
        <v>442</v>
      </c>
      <c r="B181" s="20">
        <v>45947</v>
      </c>
      <c r="C181" t="s">
        <v>443</v>
      </c>
      <c r="D181" t="s">
        <v>35</v>
      </c>
      <c r="E181" s="37">
        <v>22</v>
      </c>
      <c r="F181" t="s">
        <v>86</v>
      </c>
      <c r="G181" t="s">
        <v>87</v>
      </c>
      <c r="H181" t="s">
        <v>66</v>
      </c>
      <c r="I181" t="s">
        <v>82</v>
      </c>
      <c r="J181" t="s">
        <v>161</v>
      </c>
      <c r="K181" s="37">
        <v>1</v>
      </c>
      <c r="L181" t="s">
        <v>52</v>
      </c>
      <c r="M181" s="21">
        <v>77600</v>
      </c>
      <c r="N181" s="21">
        <v>1070880</v>
      </c>
      <c r="O181" s="21">
        <v>139680</v>
      </c>
      <c r="P181">
        <v>4</v>
      </c>
      <c r="Q181" t="s">
        <v>42</v>
      </c>
      <c r="R181" s="37">
        <v>6</v>
      </c>
      <c r="S181" s="37">
        <v>23</v>
      </c>
      <c r="T181" t="s">
        <v>129</v>
      </c>
      <c r="U181" t="s">
        <v>63</v>
      </c>
      <c r="V181" t="s">
        <v>69</v>
      </c>
    </row>
    <row r="182" spans="1:22" ht="15" customHeight="1" x14ac:dyDescent="0.3">
      <c r="A182" t="s">
        <v>444</v>
      </c>
      <c r="B182" s="20">
        <v>46010</v>
      </c>
      <c r="C182" t="s">
        <v>445</v>
      </c>
      <c r="D182" t="s">
        <v>48</v>
      </c>
      <c r="E182" s="37">
        <v>22</v>
      </c>
      <c r="F182" t="s">
        <v>108</v>
      </c>
      <c r="G182" t="s">
        <v>109</v>
      </c>
      <c r="H182" t="s">
        <v>59</v>
      </c>
      <c r="I182" t="s">
        <v>60</v>
      </c>
      <c r="J182" t="s">
        <v>61</v>
      </c>
      <c r="K182" s="37">
        <v>28</v>
      </c>
      <c r="L182" t="s">
        <v>52</v>
      </c>
      <c r="M182" s="21">
        <v>144000</v>
      </c>
      <c r="N182" s="21">
        <v>1866240</v>
      </c>
      <c r="O182" s="21">
        <v>138240</v>
      </c>
      <c r="P182">
        <v>4</v>
      </c>
      <c r="Q182" t="s">
        <v>42</v>
      </c>
      <c r="R182" s="37">
        <v>8</v>
      </c>
      <c r="S182" s="37">
        <v>0</v>
      </c>
      <c r="T182" t="s">
        <v>175</v>
      </c>
      <c r="U182" t="s">
        <v>54</v>
      </c>
      <c r="V182" t="s">
        <v>69</v>
      </c>
    </row>
    <row r="183" spans="1:22" ht="15" customHeight="1" x14ac:dyDescent="0.3">
      <c r="A183" t="s">
        <v>446</v>
      </c>
      <c r="B183" s="20">
        <v>45762</v>
      </c>
      <c r="C183" t="s">
        <v>447</v>
      </c>
      <c r="D183" t="s">
        <v>35</v>
      </c>
      <c r="E183" s="37">
        <v>50</v>
      </c>
      <c r="F183" t="s">
        <v>80</v>
      </c>
      <c r="G183" t="s">
        <v>81</v>
      </c>
      <c r="H183" t="s">
        <v>74</v>
      </c>
      <c r="I183" t="s">
        <v>82</v>
      </c>
      <c r="J183" t="s">
        <v>83</v>
      </c>
      <c r="K183" s="37">
        <v>10</v>
      </c>
      <c r="L183" t="s">
        <v>52</v>
      </c>
      <c r="M183" s="21">
        <v>59700</v>
      </c>
      <c r="N183" s="21">
        <v>838188</v>
      </c>
      <c r="O183" s="21">
        <v>121788</v>
      </c>
      <c r="P183">
        <v>5</v>
      </c>
      <c r="Q183" t="s">
        <v>42</v>
      </c>
      <c r="R183" s="37">
        <v>7</v>
      </c>
      <c r="S183" s="37">
        <v>21</v>
      </c>
      <c r="T183" t="s">
        <v>43</v>
      </c>
      <c r="U183" t="s">
        <v>44</v>
      </c>
      <c r="V183" t="s">
        <v>45</v>
      </c>
    </row>
    <row r="184" spans="1:22" ht="15" customHeight="1" x14ac:dyDescent="0.3">
      <c r="A184" t="s">
        <v>448</v>
      </c>
      <c r="B184" s="20">
        <v>45963</v>
      </c>
      <c r="C184" t="s">
        <v>449</v>
      </c>
      <c r="D184" t="s">
        <v>35</v>
      </c>
      <c r="E184" s="37">
        <v>39</v>
      </c>
      <c r="F184" t="s">
        <v>86</v>
      </c>
      <c r="G184" t="s">
        <v>87</v>
      </c>
      <c r="H184" t="s">
        <v>66</v>
      </c>
      <c r="I184" t="s">
        <v>51</v>
      </c>
      <c r="J184" t="s">
        <v>149</v>
      </c>
      <c r="K184" s="37">
        <v>28</v>
      </c>
      <c r="L184" t="s">
        <v>52</v>
      </c>
      <c r="M184" s="21">
        <v>236200</v>
      </c>
      <c r="N184" s="21">
        <v>3061152</v>
      </c>
      <c r="O184" s="21">
        <v>226752</v>
      </c>
      <c r="P184">
        <v>3</v>
      </c>
      <c r="Q184" t="s">
        <v>42</v>
      </c>
      <c r="R184" s="37">
        <v>3</v>
      </c>
      <c r="S184" s="37">
        <v>10</v>
      </c>
      <c r="T184" t="s">
        <v>129</v>
      </c>
      <c r="U184" t="s">
        <v>44</v>
      </c>
      <c r="V184" t="s">
        <v>45</v>
      </c>
    </row>
    <row r="185" spans="1:22" ht="15" customHeight="1" x14ac:dyDescent="0.3">
      <c r="A185" t="s">
        <v>450</v>
      </c>
      <c r="B185" s="20">
        <v>45968</v>
      </c>
      <c r="C185" t="s">
        <v>158</v>
      </c>
      <c r="D185" t="s">
        <v>48</v>
      </c>
      <c r="E185" s="37">
        <v>49</v>
      </c>
      <c r="F185" t="s">
        <v>86</v>
      </c>
      <c r="G185" t="s">
        <v>87</v>
      </c>
      <c r="H185" t="s">
        <v>74</v>
      </c>
      <c r="I185" t="s">
        <v>82</v>
      </c>
      <c r="J185" t="s">
        <v>152</v>
      </c>
      <c r="K185" s="37">
        <v>3</v>
      </c>
      <c r="L185" t="s">
        <v>52</v>
      </c>
      <c r="M185" s="21">
        <v>64300</v>
      </c>
      <c r="N185" s="21">
        <v>902772</v>
      </c>
      <c r="O185" s="21">
        <v>131172</v>
      </c>
      <c r="P185">
        <v>4</v>
      </c>
      <c r="Q185" t="s">
        <v>42</v>
      </c>
      <c r="R185" s="37">
        <v>19</v>
      </c>
      <c r="S185" s="37">
        <v>16</v>
      </c>
      <c r="T185" t="s">
        <v>105</v>
      </c>
      <c r="U185" t="s">
        <v>63</v>
      </c>
      <c r="V185" t="s">
        <v>45</v>
      </c>
    </row>
    <row r="186" spans="1:22" ht="15" customHeight="1" x14ac:dyDescent="0.3">
      <c r="A186" t="s">
        <v>451</v>
      </c>
      <c r="B186" s="20">
        <v>45963</v>
      </c>
      <c r="C186" t="s">
        <v>452</v>
      </c>
      <c r="D186" t="s">
        <v>48</v>
      </c>
      <c r="E186" s="37">
        <v>37</v>
      </c>
      <c r="F186" t="s">
        <v>57</v>
      </c>
      <c r="G186" t="s">
        <v>58</v>
      </c>
      <c r="H186" t="s">
        <v>59</v>
      </c>
      <c r="I186" t="s">
        <v>82</v>
      </c>
      <c r="J186" t="s">
        <v>141</v>
      </c>
      <c r="K186" s="37">
        <v>3</v>
      </c>
      <c r="L186" t="s">
        <v>41</v>
      </c>
      <c r="M186" s="21">
        <v>53900</v>
      </c>
      <c r="N186" s="21">
        <v>750288</v>
      </c>
      <c r="O186" s="21">
        <v>103488</v>
      </c>
      <c r="P186">
        <v>3</v>
      </c>
      <c r="Q186" t="s">
        <v>42</v>
      </c>
      <c r="R186" s="37">
        <v>10</v>
      </c>
      <c r="S186" s="37">
        <v>15</v>
      </c>
      <c r="T186" t="s">
        <v>77</v>
      </c>
      <c r="U186" t="s">
        <v>63</v>
      </c>
      <c r="V186" t="s">
        <v>69</v>
      </c>
    </row>
    <row r="187" spans="1:22" ht="15" customHeight="1" x14ac:dyDescent="0.3">
      <c r="A187" t="s">
        <v>453</v>
      </c>
      <c r="B187" s="20">
        <v>46012</v>
      </c>
      <c r="C187" t="s">
        <v>454</v>
      </c>
      <c r="D187" t="s">
        <v>35</v>
      </c>
      <c r="E187" s="37">
        <v>32</v>
      </c>
      <c r="F187" t="s">
        <v>108</v>
      </c>
      <c r="G187" t="s">
        <v>109</v>
      </c>
      <c r="H187" t="s">
        <v>59</v>
      </c>
      <c r="I187" t="s">
        <v>39</v>
      </c>
      <c r="J187" t="s">
        <v>61</v>
      </c>
      <c r="K187" s="37">
        <v>25</v>
      </c>
      <c r="L187" t="s">
        <v>52</v>
      </c>
      <c r="M187" s="21">
        <v>39700</v>
      </c>
      <c r="N187" s="21">
        <v>528804</v>
      </c>
      <c r="O187" s="21">
        <v>52404</v>
      </c>
      <c r="P187">
        <v>4</v>
      </c>
      <c r="Q187" t="s">
        <v>42</v>
      </c>
      <c r="R187" s="37">
        <v>2</v>
      </c>
      <c r="S187" s="37">
        <v>37</v>
      </c>
      <c r="T187" t="s">
        <v>105</v>
      </c>
      <c r="U187" t="s">
        <v>63</v>
      </c>
      <c r="V187" t="s">
        <v>69</v>
      </c>
    </row>
    <row r="188" spans="1:22" ht="15" customHeight="1" x14ac:dyDescent="0.3">
      <c r="A188" t="s">
        <v>455</v>
      </c>
      <c r="B188" s="20">
        <v>45780</v>
      </c>
      <c r="C188" t="s">
        <v>456</v>
      </c>
      <c r="D188" t="s">
        <v>48</v>
      </c>
      <c r="E188" s="37">
        <v>28</v>
      </c>
      <c r="F188" t="s">
        <v>97</v>
      </c>
      <c r="G188" t="s">
        <v>98</v>
      </c>
      <c r="H188" t="s">
        <v>38</v>
      </c>
      <c r="I188" t="s">
        <v>75</v>
      </c>
      <c r="J188" t="s">
        <v>110</v>
      </c>
      <c r="K188" s="37">
        <v>22</v>
      </c>
      <c r="L188" t="s">
        <v>120</v>
      </c>
      <c r="M188" s="21">
        <v>98900</v>
      </c>
      <c r="N188" s="21">
        <v>1388556</v>
      </c>
      <c r="O188" s="21">
        <v>201756</v>
      </c>
      <c r="P188">
        <v>4</v>
      </c>
      <c r="Q188" t="s">
        <v>126</v>
      </c>
      <c r="R188" s="37">
        <v>7</v>
      </c>
      <c r="S188" s="37">
        <v>0</v>
      </c>
      <c r="T188" t="s">
        <v>146</v>
      </c>
      <c r="U188" t="s">
        <v>44</v>
      </c>
      <c r="V188" t="s">
        <v>69</v>
      </c>
    </row>
    <row r="189" spans="1:22" ht="15" customHeight="1" x14ac:dyDescent="0.3">
      <c r="A189" t="s">
        <v>457</v>
      </c>
      <c r="B189" s="20">
        <v>45971</v>
      </c>
      <c r="C189" t="s">
        <v>458</v>
      </c>
      <c r="D189" t="s">
        <v>48</v>
      </c>
      <c r="E189" s="37">
        <v>27</v>
      </c>
      <c r="F189" t="s">
        <v>91</v>
      </c>
      <c r="G189" t="s">
        <v>92</v>
      </c>
      <c r="H189" t="s">
        <v>118</v>
      </c>
      <c r="I189" t="s">
        <v>60</v>
      </c>
      <c r="J189" t="s">
        <v>219</v>
      </c>
      <c r="K189" s="37">
        <v>6</v>
      </c>
      <c r="L189" t="s">
        <v>120</v>
      </c>
      <c r="M189" s="21">
        <v>145700</v>
      </c>
      <c r="N189" s="21">
        <v>2063112</v>
      </c>
      <c r="O189" s="21">
        <v>314712</v>
      </c>
      <c r="P189">
        <v>3</v>
      </c>
      <c r="Q189" t="s">
        <v>42</v>
      </c>
      <c r="R189" s="37">
        <v>5</v>
      </c>
      <c r="S189" s="37">
        <v>26</v>
      </c>
      <c r="T189" t="s">
        <v>53</v>
      </c>
      <c r="U189" t="s">
        <v>54</v>
      </c>
      <c r="V189" t="s">
        <v>45</v>
      </c>
    </row>
    <row r="190" spans="1:22" ht="15" customHeight="1" x14ac:dyDescent="0.3">
      <c r="A190" t="s">
        <v>459</v>
      </c>
      <c r="B190" s="20">
        <v>45853</v>
      </c>
      <c r="C190" t="s">
        <v>427</v>
      </c>
      <c r="D190" t="s">
        <v>35</v>
      </c>
      <c r="E190" s="37">
        <v>37</v>
      </c>
      <c r="F190" t="s">
        <v>108</v>
      </c>
      <c r="G190" t="s">
        <v>109</v>
      </c>
      <c r="H190" t="s">
        <v>118</v>
      </c>
      <c r="I190" t="s">
        <v>60</v>
      </c>
      <c r="J190" t="s">
        <v>219</v>
      </c>
      <c r="K190" s="37">
        <v>18</v>
      </c>
      <c r="L190" t="s">
        <v>52</v>
      </c>
      <c r="M190" s="21">
        <v>105600</v>
      </c>
      <c r="N190" s="21">
        <v>1343232</v>
      </c>
      <c r="O190" s="21">
        <v>76032</v>
      </c>
      <c r="P190">
        <v>3</v>
      </c>
      <c r="Q190" t="s">
        <v>126</v>
      </c>
      <c r="R190" s="37">
        <v>13</v>
      </c>
      <c r="S190" s="37">
        <v>23</v>
      </c>
      <c r="T190" t="s">
        <v>62</v>
      </c>
      <c r="U190" t="s">
        <v>63</v>
      </c>
      <c r="V190" t="s">
        <v>69</v>
      </c>
    </row>
    <row r="191" spans="1:22" ht="15" customHeight="1" x14ac:dyDescent="0.3">
      <c r="A191" t="s">
        <v>460</v>
      </c>
      <c r="B191" s="20">
        <v>45843</v>
      </c>
      <c r="C191" t="s">
        <v>461</v>
      </c>
      <c r="D191" t="s">
        <v>35</v>
      </c>
      <c r="E191" s="37">
        <v>37</v>
      </c>
      <c r="F191" t="s">
        <v>36</v>
      </c>
      <c r="G191" t="s">
        <v>37</v>
      </c>
      <c r="H191" t="s">
        <v>118</v>
      </c>
      <c r="I191" t="s">
        <v>82</v>
      </c>
      <c r="J191" t="s">
        <v>250</v>
      </c>
      <c r="K191" s="37">
        <v>3</v>
      </c>
      <c r="L191" t="s">
        <v>120</v>
      </c>
      <c r="M191" s="21">
        <v>60200</v>
      </c>
      <c r="N191" s="21">
        <v>809088</v>
      </c>
      <c r="O191" s="21">
        <v>86688</v>
      </c>
      <c r="P191">
        <v>4</v>
      </c>
      <c r="Q191" t="s">
        <v>42</v>
      </c>
      <c r="R191" s="37">
        <v>19</v>
      </c>
      <c r="S191" s="37">
        <v>18</v>
      </c>
      <c r="T191" t="s">
        <v>94</v>
      </c>
      <c r="U191" t="s">
        <v>54</v>
      </c>
      <c r="V191" t="s">
        <v>45</v>
      </c>
    </row>
    <row r="192" spans="1:22" ht="15" customHeight="1" x14ac:dyDescent="0.3">
      <c r="A192" t="s">
        <v>462</v>
      </c>
      <c r="B192" s="20">
        <v>45986</v>
      </c>
      <c r="C192" t="s">
        <v>463</v>
      </c>
      <c r="D192" t="s">
        <v>48</v>
      </c>
      <c r="E192" s="37">
        <v>42</v>
      </c>
      <c r="F192" t="s">
        <v>86</v>
      </c>
      <c r="G192" t="s">
        <v>87</v>
      </c>
      <c r="H192" t="s">
        <v>59</v>
      </c>
      <c r="I192" t="s">
        <v>75</v>
      </c>
      <c r="J192" t="s">
        <v>125</v>
      </c>
      <c r="K192" s="37">
        <v>5</v>
      </c>
      <c r="L192" t="s">
        <v>52</v>
      </c>
      <c r="M192" s="21">
        <v>68100</v>
      </c>
      <c r="N192" s="21">
        <v>915264</v>
      </c>
      <c r="O192" s="21">
        <v>98064</v>
      </c>
      <c r="P192">
        <v>4</v>
      </c>
      <c r="Q192" t="s">
        <v>42</v>
      </c>
      <c r="R192" s="37">
        <v>17</v>
      </c>
      <c r="S192" s="37">
        <v>22</v>
      </c>
      <c r="T192" t="s">
        <v>146</v>
      </c>
      <c r="U192" t="s">
        <v>63</v>
      </c>
      <c r="V192" t="s">
        <v>69</v>
      </c>
    </row>
    <row r="193" spans="1:22" ht="15" customHeight="1" x14ac:dyDescent="0.3">
      <c r="A193" t="s">
        <v>464</v>
      </c>
      <c r="B193" s="20">
        <v>45891</v>
      </c>
      <c r="C193" t="s">
        <v>465</v>
      </c>
      <c r="D193" t="s">
        <v>48</v>
      </c>
      <c r="E193" s="37">
        <v>22</v>
      </c>
      <c r="F193" t="s">
        <v>57</v>
      </c>
      <c r="G193" t="s">
        <v>58</v>
      </c>
      <c r="H193" t="s">
        <v>59</v>
      </c>
      <c r="I193" t="s">
        <v>39</v>
      </c>
      <c r="J193" t="s">
        <v>125</v>
      </c>
      <c r="K193" s="37">
        <v>21</v>
      </c>
      <c r="L193" t="s">
        <v>52</v>
      </c>
      <c r="M193" s="21">
        <v>35900</v>
      </c>
      <c r="N193" s="21">
        <v>508344</v>
      </c>
      <c r="O193" s="21">
        <v>77544</v>
      </c>
      <c r="P193">
        <v>3</v>
      </c>
      <c r="Q193" t="s">
        <v>126</v>
      </c>
      <c r="R193" s="37">
        <v>15</v>
      </c>
      <c r="S193" s="37">
        <v>32</v>
      </c>
      <c r="T193" t="s">
        <v>94</v>
      </c>
      <c r="U193" t="s">
        <v>44</v>
      </c>
      <c r="V193" t="s">
        <v>69</v>
      </c>
    </row>
    <row r="194" spans="1:22" ht="15" customHeight="1" x14ac:dyDescent="0.3">
      <c r="A194" t="s">
        <v>466</v>
      </c>
      <c r="B194" s="20">
        <v>45677</v>
      </c>
      <c r="C194" t="s">
        <v>467</v>
      </c>
      <c r="D194" t="s">
        <v>48</v>
      </c>
      <c r="E194" s="37">
        <v>49</v>
      </c>
      <c r="F194" t="s">
        <v>72</v>
      </c>
      <c r="G194" t="s">
        <v>73</v>
      </c>
      <c r="H194" t="s">
        <v>118</v>
      </c>
      <c r="I194" t="s">
        <v>60</v>
      </c>
      <c r="J194" t="s">
        <v>119</v>
      </c>
      <c r="K194" s="37">
        <v>4</v>
      </c>
      <c r="L194" t="s">
        <v>41</v>
      </c>
      <c r="M194" s="21">
        <v>136700</v>
      </c>
      <c r="N194" s="21">
        <v>1738824</v>
      </c>
      <c r="O194" s="21">
        <v>98424</v>
      </c>
      <c r="P194">
        <v>4</v>
      </c>
      <c r="Q194" t="s">
        <v>126</v>
      </c>
      <c r="R194" s="37">
        <v>10</v>
      </c>
      <c r="S194" s="37">
        <v>21</v>
      </c>
      <c r="T194" t="s">
        <v>53</v>
      </c>
      <c r="U194" t="s">
        <v>44</v>
      </c>
      <c r="V194" t="s">
        <v>69</v>
      </c>
    </row>
    <row r="195" spans="1:22" ht="15" customHeight="1" x14ac:dyDescent="0.3">
      <c r="A195" t="s">
        <v>468</v>
      </c>
      <c r="B195" s="20">
        <v>45859</v>
      </c>
      <c r="C195" t="s">
        <v>469</v>
      </c>
      <c r="D195" t="s">
        <v>48</v>
      </c>
      <c r="E195" s="37">
        <v>28</v>
      </c>
      <c r="F195" t="s">
        <v>72</v>
      </c>
      <c r="G195" t="s">
        <v>73</v>
      </c>
      <c r="H195" t="s">
        <v>38</v>
      </c>
      <c r="I195" t="s">
        <v>75</v>
      </c>
      <c r="J195" t="s">
        <v>99</v>
      </c>
      <c r="K195" s="37">
        <v>2</v>
      </c>
      <c r="L195" t="s">
        <v>52</v>
      </c>
      <c r="M195" s="21">
        <v>79600</v>
      </c>
      <c r="N195" s="21">
        <v>1098480</v>
      </c>
      <c r="O195" s="21">
        <v>143280</v>
      </c>
      <c r="P195">
        <v>4</v>
      </c>
      <c r="Q195" t="s">
        <v>42</v>
      </c>
      <c r="R195" s="37">
        <v>14</v>
      </c>
      <c r="S195" s="37">
        <v>30</v>
      </c>
      <c r="T195" t="s">
        <v>146</v>
      </c>
      <c r="U195" t="s">
        <v>44</v>
      </c>
      <c r="V195" t="s">
        <v>69</v>
      </c>
    </row>
    <row r="196" spans="1:22" ht="15" customHeight="1" x14ac:dyDescent="0.3">
      <c r="A196" t="s">
        <v>470</v>
      </c>
      <c r="B196" s="20">
        <v>45877</v>
      </c>
      <c r="C196" t="s">
        <v>471</v>
      </c>
      <c r="D196" t="s">
        <v>48</v>
      </c>
      <c r="E196" s="37">
        <v>51</v>
      </c>
      <c r="F196" t="s">
        <v>80</v>
      </c>
      <c r="G196" t="s">
        <v>81</v>
      </c>
      <c r="H196" t="s">
        <v>66</v>
      </c>
      <c r="I196" t="s">
        <v>75</v>
      </c>
      <c r="J196" t="s">
        <v>149</v>
      </c>
      <c r="K196" s="37">
        <v>25</v>
      </c>
      <c r="L196" t="s">
        <v>52</v>
      </c>
      <c r="M196" s="21">
        <v>101400</v>
      </c>
      <c r="N196" s="21">
        <v>1326312</v>
      </c>
      <c r="O196" s="21">
        <v>109512</v>
      </c>
      <c r="P196">
        <v>2</v>
      </c>
      <c r="Q196" t="s">
        <v>42</v>
      </c>
      <c r="R196" s="37">
        <v>4</v>
      </c>
      <c r="S196" s="37">
        <v>19</v>
      </c>
      <c r="T196" t="s">
        <v>105</v>
      </c>
      <c r="U196" t="s">
        <v>54</v>
      </c>
      <c r="V196" t="s">
        <v>69</v>
      </c>
    </row>
    <row r="197" spans="1:22" ht="15" customHeight="1" x14ac:dyDescent="0.3">
      <c r="A197" t="s">
        <v>472</v>
      </c>
      <c r="B197" s="20">
        <v>45849</v>
      </c>
      <c r="C197" t="s">
        <v>473</v>
      </c>
      <c r="D197" t="s">
        <v>35</v>
      </c>
      <c r="E197" s="37">
        <v>29</v>
      </c>
      <c r="F197" t="s">
        <v>72</v>
      </c>
      <c r="G197" t="s">
        <v>73</v>
      </c>
      <c r="H197" t="s">
        <v>38</v>
      </c>
      <c r="I197" t="s">
        <v>39</v>
      </c>
      <c r="J197" t="s">
        <v>99</v>
      </c>
      <c r="K197" s="37">
        <v>3</v>
      </c>
      <c r="L197" t="s">
        <v>52</v>
      </c>
      <c r="M197" s="21">
        <v>30600</v>
      </c>
      <c r="N197" s="21">
        <v>396576</v>
      </c>
      <c r="O197" s="21">
        <v>29376</v>
      </c>
      <c r="P197">
        <v>4</v>
      </c>
      <c r="Q197" t="s">
        <v>126</v>
      </c>
      <c r="R197" s="37">
        <v>5</v>
      </c>
      <c r="S197" s="37">
        <v>23</v>
      </c>
      <c r="T197" t="s">
        <v>77</v>
      </c>
      <c r="U197" t="s">
        <v>44</v>
      </c>
      <c r="V197" t="s">
        <v>45</v>
      </c>
    </row>
    <row r="198" spans="1:22" ht="15" customHeight="1" x14ac:dyDescent="0.3">
      <c r="A198" t="s">
        <v>474</v>
      </c>
      <c r="B198" s="20">
        <v>45707</v>
      </c>
      <c r="C198" t="s">
        <v>206</v>
      </c>
      <c r="D198" t="s">
        <v>48</v>
      </c>
      <c r="E198" s="37">
        <v>31</v>
      </c>
      <c r="F198" t="s">
        <v>72</v>
      </c>
      <c r="G198" t="s">
        <v>73</v>
      </c>
      <c r="H198" t="s">
        <v>66</v>
      </c>
      <c r="I198" t="s">
        <v>39</v>
      </c>
      <c r="J198" t="s">
        <v>149</v>
      </c>
      <c r="K198" s="37">
        <v>15</v>
      </c>
      <c r="L198" t="s">
        <v>52</v>
      </c>
      <c r="M198" s="21">
        <v>48300</v>
      </c>
      <c r="N198" s="21">
        <v>649152</v>
      </c>
      <c r="O198" s="21">
        <v>69552</v>
      </c>
      <c r="P198">
        <v>5</v>
      </c>
      <c r="Q198" t="s">
        <v>42</v>
      </c>
      <c r="R198" s="37">
        <v>9</v>
      </c>
      <c r="S198" s="37">
        <v>33</v>
      </c>
      <c r="T198" t="s">
        <v>175</v>
      </c>
      <c r="U198" t="s">
        <v>44</v>
      </c>
      <c r="V198" t="s">
        <v>69</v>
      </c>
    </row>
    <row r="199" spans="1:22" ht="15" customHeight="1" x14ac:dyDescent="0.3">
      <c r="A199" t="s">
        <v>475</v>
      </c>
      <c r="B199" s="20">
        <v>45704</v>
      </c>
      <c r="C199" t="s">
        <v>476</v>
      </c>
      <c r="D199" t="s">
        <v>48</v>
      </c>
      <c r="E199" s="37">
        <v>36</v>
      </c>
      <c r="F199" t="s">
        <v>57</v>
      </c>
      <c r="G199" t="s">
        <v>58</v>
      </c>
      <c r="H199" t="s">
        <v>74</v>
      </c>
      <c r="I199" t="s">
        <v>51</v>
      </c>
      <c r="J199" t="s">
        <v>152</v>
      </c>
      <c r="K199" s="37">
        <v>7</v>
      </c>
      <c r="L199" t="s">
        <v>52</v>
      </c>
      <c r="M199" s="21">
        <v>210400</v>
      </c>
      <c r="N199" s="21">
        <v>2827776</v>
      </c>
      <c r="O199" s="21">
        <v>302976</v>
      </c>
      <c r="P199">
        <v>4</v>
      </c>
      <c r="Q199" t="s">
        <v>42</v>
      </c>
      <c r="R199" s="37">
        <v>11</v>
      </c>
      <c r="S199" s="37">
        <v>37</v>
      </c>
      <c r="T199" t="s">
        <v>105</v>
      </c>
      <c r="U199" t="s">
        <v>63</v>
      </c>
      <c r="V199" t="s">
        <v>69</v>
      </c>
    </row>
    <row r="200" spans="1:22" ht="15" customHeight="1" x14ac:dyDescent="0.3">
      <c r="A200" t="s">
        <v>477</v>
      </c>
      <c r="B200" s="20">
        <v>45780</v>
      </c>
      <c r="C200" t="s">
        <v>478</v>
      </c>
      <c r="D200" t="s">
        <v>35</v>
      </c>
      <c r="E200" s="37">
        <v>34</v>
      </c>
      <c r="F200" t="s">
        <v>108</v>
      </c>
      <c r="G200" t="s">
        <v>109</v>
      </c>
      <c r="H200" t="s">
        <v>74</v>
      </c>
      <c r="I200" t="s">
        <v>82</v>
      </c>
      <c r="J200" t="s">
        <v>76</v>
      </c>
      <c r="K200" s="37">
        <v>24</v>
      </c>
      <c r="L200" t="s">
        <v>52</v>
      </c>
      <c r="M200" s="21">
        <v>71100</v>
      </c>
      <c r="N200" s="21">
        <v>947052</v>
      </c>
      <c r="O200" s="21">
        <v>93852</v>
      </c>
      <c r="P200">
        <v>5</v>
      </c>
      <c r="Q200" t="s">
        <v>42</v>
      </c>
      <c r="R200" s="37">
        <v>12</v>
      </c>
      <c r="S200" s="37">
        <v>31</v>
      </c>
      <c r="T200" t="s">
        <v>43</v>
      </c>
      <c r="U200" t="s">
        <v>44</v>
      </c>
      <c r="V200" t="s">
        <v>45</v>
      </c>
    </row>
    <row r="201" spans="1:22" ht="15" customHeight="1" x14ac:dyDescent="0.3">
      <c r="A201" t="s">
        <v>479</v>
      </c>
      <c r="B201" s="20">
        <v>45754</v>
      </c>
      <c r="C201" t="s">
        <v>480</v>
      </c>
      <c r="D201" t="s">
        <v>35</v>
      </c>
      <c r="E201" s="37">
        <v>37</v>
      </c>
      <c r="F201" t="s">
        <v>97</v>
      </c>
      <c r="G201" t="s">
        <v>98</v>
      </c>
      <c r="H201" t="s">
        <v>59</v>
      </c>
      <c r="I201" t="s">
        <v>82</v>
      </c>
      <c r="J201" t="s">
        <v>104</v>
      </c>
      <c r="K201" s="37">
        <v>5</v>
      </c>
      <c r="L201" t="s">
        <v>52</v>
      </c>
      <c r="M201" s="21">
        <v>59100</v>
      </c>
      <c r="N201" s="21">
        <v>787212</v>
      </c>
      <c r="O201" s="21">
        <v>78012</v>
      </c>
      <c r="P201">
        <v>2</v>
      </c>
      <c r="Q201" t="s">
        <v>42</v>
      </c>
      <c r="R201" s="37">
        <v>4</v>
      </c>
      <c r="S201" s="37">
        <v>24</v>
      </c>
      <c r="T201" t="s">
        <v>175</v>
      </c>
      <c r="U201" t="s">
        <v>44</v>
      </c>
      <c r="V201" t="s">
        <v>45</v>
      </c>
    </row>
    <row r="202" spans="1:22" ht="15" customHeight="1" x14ac:dyDescent="0.3">
      <c r="A202" t="s">
        <v>481</v>
      </c>
      <c r="B202" s="20">
        <v>45843</v>
      </c>
      <c r="C202" t="s">
        <v>482</v>
      </c>
      <c r="D202" t="s">
        <v>48</v>
      </c>
      <c r="E202" s="37">
        <v>41</v>
      </c>
      <c r="F202" t="s">
        <v>123</v>
      </c>
      <c r="G202" t="s">
        <v>124</v>
      </c>
      <c r="H202" t="s">
        <v>74</v>
      </c>
      <c r="I202" t="s">
        <v>39</v>
      </c>
      <c r="J202" t="s">
        <v>152</v>
      </c>
      <c r="K202" s="37">
        <v>0</v>
      </c>
      <c r="L202" t="s">
        <v>52</v>
      </c>
      <c r="M202" s="21">
        <v>33500</v>
      </c>
      <c r="N202" s="21">
        <v>450240</v>
      </c>
      <c r="O202" s="21">
        <v>48240</v>
      </c>
      <c r="P202">
        <v>5</v>
      </c>
      <c r="Q202" t="s">
        <v>126</v>
      </c>
      <c r="R202" s="37">
        <v>13</v>
      </c>
      <c r="S202" s="37">
        <v>7</v>
      </c>
      <c r="T202" t="s">
        <v>77</v>
      </c>
      <c r="U202" t="s">
        <v>54</v>
      </c>
      <c r="V202" t="s">
        <v>45</v>
      </c>
    </row>
    <row r="203" spans="1:22" ht="15" customHeight="1" x14ac:dyDescent="0.3">
      <c r="A203" t="s">
        <v>483</v>
      </c>
      <c r="B203" s="20">
        <v>45942</v>
      </c>
      <c r="C203" t="s">
        <v>300</v>
      </c>
      <c r="D203" t="s">
        <v>35</v>
      </c>
      <c r="E203" s="37">
        <v>39</v>
      </c>
      <c r="F203" t="s">
        <v>108</v>
      </c>
      <c r="G203" t="s">
        <v>109</v>
      </c>
      <c r="H203" t="s">
        <v>74</v>
      </c>
      <c r="I203" t="s">
        <v>60</v>
      </c>
      <c r="J203" t="s">
        <v>367</v>
      </c>
      <c r="K203" s="37">
        <v>28</v>
      </c>
      <c r="L203" t="s">
        <v>52</v>
      </c>
      <c r="M203" s="21">
        <v>146000</v>
      </c>
      <c r="N203" s="21">
        <v>2014799</v>
      </c>
      <c r="O203" s="21">
        <v>262800</v>
      </c>
      <c r="P203">
        <v>4</v>
      </c>
      <c r="Q203" t="s">
        <v>126</v>
      </c>
      <c r="R203" s="37">
        <v>16</v>
      </c>
      <c r="S203" s="37">
        <v>39</v>
      </c>
      <c r="T203" t="s">
        <v>105</v>
      </c>
      <c r="U203" t="s">
        <v>63</v>
      </c>
      <c r="V203" t="s">
        <v>45</v>
      </c>
    </row>
    <row r="204" spans="1:22" ht="15" customHeight="1" x14ac:dyDescent="0.3">
      <c r="A204" t="s">
        <v>484</v>
      </c>
      <c r="B204" s="20">
        <v>45727</v>
      </c>
      <c r="C204" t="s">
        <v>485</v>
      </c>
      <c r="D204" t="s">
        <v>35</v>
      </c>
      <c r="E204" s="37">
        <v>30</v>
      </c>
      <c r="F204" t="s">
        <v>97</v>
      </c>
      <c r="G204" t="s">
        <v>98</v>
      </c>
      <c r="H204" t="s">
        <v>118</v>
      </c>
      <c r="I204" t="s">
        <v>75</v>
      </c>
      <c r="J204" t="s">
        <v>182</v>
      </c>
      <c r="K204" s="37">
        <v>1</v>
      </c>
      <c r="L204" t="s">
        <v>52</v>
      </c>
      <c r="M204" s="21">
        <v>79400</v>
      </c>
      <c r="N204" s="21">
        <v>1067136</v>
      </c>
      <c r="O204" s="21">
        <v>114336</v>
      </c>
      <c r="P204">
        <v>4</v>
      </c>
      <c r="Q204" t="s">
        <v>42</v>
      </c>
      <c r="R204" s="37">
        <v>7</v>
      </c>
      <c r="S204" s="37">
        <v>7</v>
      </c>
      <c r="T204" t="s">
        <v>68</v>
      </c>
      <c r="U204" t="s">
        <v>63</v>
      </c>
      <c r="V204" t="s">
        <v>69</v>
      </c>
    </row>
    <row r="205" spans="1:22" ht="15" customHeight="1" x14ac:dyDescent="0.3">
      <c r="A205" t="s">
        <v>486</v>
      </c>
      <c r="B205" s="20">
        <v>45888</v>
      </c>
      <c r="C205" t="s">
        <v>487</v>
      </c>
      <c r="D205" t="s">
        <v>48</v>
      </c>
      <c r="E205" s="37">
        <v>53</v>
      </c>
      <c r="F205" t="s">
        <v>49</v>
      </c>
      <c r="G205" t="s">
        <v>50</v>
      </c>
      <c r="H205" t="s">
        <v>59</v>
      </c>
      <c r="I205" t="s">
        <v>82</v>
      </c>
      <c r="J205" t="s">
        <v>141</v>
      </c>
      <c r="K205" s="37">
        <v>5</v>
      </c>
      <c r="L205" t="s">
        <v>52</v>
      </c>
      <c r="M205" s="21">
        <v>59700</v>
      </c>
      <c r="N205" s="21">
        <v>809531</v>
      </c>
      <c r="O205" s="21">
        <v>93132</v>
      </c>
      <c r="P205">
        <v>4</v>
      </c>
      <c r="Q205" t="s">
        <v>42</v>
      </c>
      <c r="R205" s="37">
        <v>10</v>
      </c>
      <c r="S205" s="37">
        <v>23</v>
      </c>
      <c r="T205" t="s">
        <v>68</v>
      </c>
      <c r="U205" t="s">
        <v>44</v>
      </c>
      <c r="V205" t="s">
        <v>69</v>
      </c>
    </row>
    <row r="206" spans="1:22" ht="15" customHeight="1" x14ac:dyDescent="0.3">
      <c r="A206" t="s">
        <v>488</v>
      </c>
      <c r="B206" s="20">
        <v>45933</v>
      </c>
      <c r="C206" t="s">
        <v>489</v>
      </c>
      <c r="D206" t="s">
        <v>48</v>
      </c>
      <c r="E206" s="37">
        <v>40</v>
      </c>
      <c r="F206" t="s">
        <v>72</v>
      </c>
      <c r="G206" t="s">
        <v>73</v>
      </c>
      <c r="H206" t="s">
        <v>66</v>
      </c>
      <c r="I206" t="s">
        <v>60</v>
      </c>
      <c r="J206" t="s">
        <v>67</v>
      </c>
      <c r="K206" s="37">
        <v>18</v>
      </c>
      <c r="L206" t="s">
        <v>52</v>
      </c>
      <c r="M206" s="21">
        <v>148000</v>
      </c>
      <c r="N206" s="21">
        <v>2113440</v>
      </c>
      <c r="O206" s="21">
        <v>337440</v>
      </c>
      <c r="P206">
        <v>3</v>
      </c>
      <c r="Q206" t="s">
        <v>42</v>
      </c>
      <c r="R206" s="37">
        <v>16</v>
      </c>
      <c r="S206" s="37">
        <v>40</v>
      </c>
      <c r="T206" t="s">
        <v>53</v>
      </c>
      <c r="U206" t="s">
        <v>63</v>
      </c>
      <c r="V206" t="s">
        <v>45</v>
      </c>
    </row>
    <row r="207" spans="1:22" ht="15" customHeight="1" x14ac:dyDescent="0.3">
      <c r="A207" t="s">
        <v>490</v>
      </c>
      <c r="B207" s="20">
        <v>45818</v>
      </c>
      <c r="C207" t="s">
        <v>491</v>
      </c>
      <c r="D207" t="s">
        <v>35</v>
      </c>
      <c r="E207" s="37">
        <v>39</v>
      </c>
      <c r="F207" t="s">
        <v>72</v>
      </c>
      <c r="G207" t="s">
        <v>73</v>
      </c>
      <c r="H207" t="s">
        <v>66</v>
      </c>
      <c r="I207" t="s">
        <v>51</v>
      </c>
      <c r="J207" t="s">
        <v>93</v>
      </c>
      <c r="K207" s="37">
        <v>3</v>
      </c>
      <c r="L207" t="s">
        <v>52</v>
      </c>
      <c r="M207" s="21">
        <v>221200</v>
      </c>
      <c r="N207" s="21">
        <v>2893296</v>
      </c>
      <c r="O207" s="21">
        <v>238896</v>
      </c>
      <c r="P207">
        <v>4</v>
      </c>
      <c r="Q207" t="s">
        <v>42</v>
      </c>
      <c r="R207" s="37">
        <v>13</v>
      </c>
      <c r="S207" s="37">
        <v>24</v>
      </c>
      <c r="T207" t="s">
        <v>62</v>
      </c>
      <c r="U207" t="s">
        <v>44</v>
      </c>
      <c r="V207" t="s">
        <v>69</v>
      </c>
    </row>
    <row r="208" spans="1:22" ht="15" customHeight="1" x14ac:dyDescent="0.3">
      <c r="A208" t="s">
        <v>492</v>
      </c>
      <c r="B208" s="20">
        <v>45854</v>
      </c>
      <c r="C208" t="s">
        <v>493</v>
      </c>
      <c r="D208" t="s">
        <v>48</v>
      </c>
      <c r="E208" s="37">
        <v>31</v>
      </c>
      <c r="F208" t="s">
        <v>80</v>
      </c>
      <c r="G208" t="s">
        <v>81</v>
      </c>
      <c r="H208" t="s">
        <v>118</v>
      </c>
      <c r="I208" t="s">
        <v>75</v>
      </c>
      <c r="J208" t="s">
        <v>119</v>
      </c>
      <c r="K208" s="37">
        <v>26</v>
      </c>
      <c r="L208" t="s">
        <v>52</v>
      </c>
      <c r="M208" s="21">
        <v>68800</v>
      </c>
      <c r="N208" s="21">
        <v>891648</v>
      </c>
      <c r="O208" s="21">
        <v>66048</v>
      </c>
      <c r="P208">
        <v>4</v>
      </c>
      <c r="Q208" t="s">
        <v>42</v>
      </c>
      <c r="R208" s="37">
        <v>1</v>
      </c>
      <c r="S208" s="37">
        <v>22</v>
      </c>
      <c r="T208" t="s">
        <v>62</v>
      </c>
      <c r="U208" t="s">
        <v>54</v>
      </c>
      <c r="V208" t="s">
        <v>45</v>
      </c>
    </row>
    <row r="209" spans="1:22" ht="15" customHeight="1" x14ac:dyDescent="0.3">
      <c r="A209" t="s">
        <v>494</v>
      </c>
      <c r="B209" s="20">
        <v>45783</v>
      </c>
      <c r="C209" t="s">
        <v>495</v>
      </c>
      <c r="D209" t="s">
        <v>48</v>
      </c>
      <c r="E209" s="37">
        <v>51</v>
      </c>
      <c r="F209" t="s">
        <v>80</v>
      </c>
      <c r="G209" t="s">
        <v>81</v>
      </c>
      <c r="H209" t="s">
        <v>66</v>
      </c>
      <c r="I209" t="s">
        <v>82</v>
      </c>
      <c r="J209" t="s">
        <v>161</v>
      </c>
      <c r="K209" s="37">
        <v>19</v>
      </c>
      <c r="L209" t="s">
        <v>52</v>
      </c>
      <c r="M209" s="21">
        <v>72300</v>
      </c>
      <c r="N209" s="21">
        <v>980387</v>
      </c>
      <c r="O209" s="21">
        <v>112788</v>
      </c>
      <c r="P209">
        <v>3</v>
      </c>
      <c r="Q209" t="s">
        <v>42</v>
      </c>
      <c r="R209" s="37">
        <v>13</v>
      </c>
      <c r="S209" s="37">
        <v>14</v>
      </c>
      <c r="T209" t="s">
        <v>175</v>
      </c>
      <c r="U209" t="s">
        <v>44</v>
      </c>
      <c r="V209" t="s">
        <v>69</v>
      </c>
    </row>
    <row r="210" spans="1:22" ht="15" customHeight="1" x14ac:dyDescent="0.3">
      <c r="A210" t="s">
        <v>496</v>
      </c>
      <c r="B210" s="20">
        <v>45801</v>
      </c>
      <c r="C210" t="s">
        <v>497</v>
      </c>
      <c r="D210" t="s">
        <v>48</v>
      </c>
      <c r="E210" s="37">
        <v>44</v>
      </c>
      <c r="F210" t="s">
        <v>123</v>
      </c>
      <c r="G210" t="s">
        <v>124</v>
      </c>
      <c r="H210" t="s">
        <v>59</v>
      </c>
      <c r="I210" t="s">
        <v>39</v>
      </c>
      <c r="J210" t="s">
        <v>61</v>
      </c>
      <c r="K210" s="37">
        <v>21</v>
      </c>
      <c r="L210" t="s">
        <v>52</v>
      </c>
      <c r="M210" s="21">
        <v>36300</v>
      </c>
      <c r="N210" s="21">
        <v>483516</v>
      </c>
      <c r="O210" s="21">
        <v>47916</v>
      </c>
      <c r="P210">
        <v>4</v>
      </c>
      <c r="Q210" t="s">
        <v>42</v>
      </c>
      <c r="R210" s="37">
        <v>7</v>
      </c>
      <c r="S210" s="37">
        <v>10</v>
      </c>
      <c r="T210" t="s">
        <v>146</v>
      </c>
      <c r="U210" t="s">
        <v>44</v>
      </c>
      <c r="V210" t="s">
        <v>69</v>
      </c>
    </row>
    <row r="211" spans="1:22" ht="15" customHeight="1" x14ac:dyDescent="0.3">
      <c r="A211" t="s">
        <v>498</v>
      </c>
      <c r="B211" s="20">
        <v>45858</v>
      </c>
      <c r="C211" t="s">
        <v>499</v>
      </c>
      <c r="D211" t="s">
        <v>35</v>
      </c>
      <c r="E211" s="37">
        <v>30</v>
      </c>
      <c r="F211" t="s">
        <v>86</v>
      </c>
      <c r="G211" t="s">
        <v>87</v>
      </c>
      <c r="H211" t="s">
        <v>74</v>
      </c>
      <c r="I211" t="s">
        <v>39</v>
      </c>
      <c r="J211" t="s">
        <v>83</v>
      </c>
      <c r="K211" s="37">
        <v>27</v>
      </c>
      <c r="L211" t="s">
        <v>52</v>
      </c>
      <c r="M211" s="21">
        <v>45300</v>
      </c>
      <c r="N211" s="21">
        <v>636012</v>
      </c>
      <c r="O211" s="21">
        <v>92412</v>
      </c>
      <c r="P211">
        <v>4</v>
      </c>
      <c r="Q211" t="s">
        <v>42</v>
      </c>
      <c r="R211" s="37">
        <v>8</v>
      </c>
      <c r="S211" s="37">
        <v>38</v>
      </c>
      <c r="T211" t="s">
        <v>129</v>
      </c>
      <c r="U211" t="s">
        <v>44</v>
      </c>
      <c r="V211" t="s">
        <v>69</v>
      </c>
    </row>
    <row r="212" spans="1:22" ht="15" customHeight="1" x14ac:dyDescent="0.3">
      <c r="A212" t="s">
        <v>500</v>
      </c>
      <c r="B212" s="20">
        <v>45673</v>
      </c>
      <c r="C212" t="s">
        <v>501</v>
      </c>
      <c r="D212" t="s">
        <v>35</v>
      </c>
      <c r="E212" s="37">
        <v>58</v>
      </c>
      <c r="F212" t="s">
        <v>108</v>
      </c>
      <c r="G212" t="s">
        <v>109</v>
      </c>
      <c r="H212" t="s">
        <v>38</v>
      </c>
      <c r="I212" t="s">
        <v>82</v>
      </c>
      <c r="J212" t="s">
        <v>134</v>
      </c>
      <c r="K212" s="37">
        <v>20</v>
      </c>
      <c r="L212" t="s">
        <v>52</v>
      </c>
      <c r="M212" s="21">
        <v>48400</v>
      </c>
      <c r="N212" s="21">
        <v>685344</v>
      </c>
      <c r="O212" s="21">
        <v>104544</v>
      </c>
      <c r="P212">
        <v>4</v>
      </c>
      <c r="Q212" t="s">
        <v>126</v>
      </c>
      <c r="R212" s="37">
        <v>16</v>
      </c>
      <c r="S212" s="37">
        <v>16</v>
      </c>
      <c r="T212" t="s">
        <v>43</v>
      </c>
      <c r="U212" t="s">
        <v>44</v>
      </c>
      <c r="V212" t="s">
        <v>69</v>
      </c>
    </row>
    <row r="213" spans="1:22" ht="15" customHeight="1" x14ac:dyDescent="0.3">
      <c r="A213" t="s">
        <v>502</v>
      </c>
      <c r="B213" s="20">
        <v>45950</v>
      </c>
      <c r="C213" t="s">
        <v>503</v>
      </c>
      <c r="D213" t="s">
        <v>35</v>
      </c>
      <c r="E213" s="37">
        <v>35</v>
      </c>
      <c r="F213" t="s">
        <v>72</v>
      </c>
      <c r="G213" t="s">
        <v>73</v>
      </c>
      <c r="H213" t="s">
        <v>74</v>
      </c>
      <c r="I213" t="s">
        <v>60</v>
      </c>
      <c r="J213" t="s">
        <v>83</v>
      </c>
      <c r="K213" s="37">
        <v>12</v>
      </c>
      <c r="L213" t="s">
        <v>52</v>
      </c>
      <c r="M213" s="21">
        <v>136300</v>
      </c>
      <c r="N213" s="21">
        <v>1946364</v>
      </c>
      <c r="O213" s="21">
        <v>310764</v>
      </c>
      <c r="P213">
        <v>2</v>
      </c>
      <c r="Q213" t="s">
        <v>42</v>
      </c>
      <c r="R213" s="37">
        <v>16</v>
      </c>
      <c r="S213" s="37">
        <v>22</v>
      </c>
      <c r="T213" t="s">
        <v>175</v>
      </c>
      <c r="U213" t="s">
        <v>63</v>
      </c>
      <c r="V213" t="s">
        <v>45</v>
      </c>
    </row>
    <row r="214" spans="1:22" ht="15" customHeight="1" x14ac:dyDescent="0.3">
      <c r="A214" t="s">
        <v>504</v>
      </c>
      <c r="B214" s="20">
        <v>45893</v>
      </c>
      <c r="C214" t="s">
        <v>505</v>
      </c>
      <c r="D214" t="s">
        <v>35</v>
      </c>
      <c r="E214" s="37">
        <v>25</v>
      </c>
      <c r="F214" t="s">
        <v>108</v>
      </c>
      <c r="G214" t="s">
        <v>109</v>
      </c>
      <c r="H214" t="s">
        <v>118</v>
      </c>
      <c r="I214" t="s">
        <v>60</v>
      </c>
      <c r="J214" t="s">
        <v>137</v>
      </c>
      <c r="K214" s="37">
        <v>22</v>
      </c>
      <c r="L214" t="s">
        <v>52</v>
      </c>
      <c r="M214" s="21">
        <v>143100</v>
      </c>
      <c r="N214" s="21">
        <v>1820232</v>
      </c>
      <c r="O214" s="21">
        <v>103032</v>
      </c>
      <c r="P214">
        <v>4</v>
      </c>
      <c r="Q214" t="s">
        <v>42</v>
      </c>
      <c r="R214" s="37">
        <v>19</v>
      </c>
      <c r="S214" s="37">
        <v>35</v>
      </c>
      <c r="T214" t="s">
        <v>105</v>
      </c>
      <c r="U214" t="s">
        <v>44</v>
      </c>
      <c r="V214" t="s">
        <v>45</v>
      </c>
    </row>
    <row r="215" spans="1:22" ht="15" customHeight="1" x14ac:dyDescent="0.3">
      <c r="A215" t="s">
        <v>506</v>
      </c>
      <c r="B215" s="20">
        <v>45738</v>
      </c>
      <c r="C215" t="s">
        <v>445</v>
      </c>
      <c r="D215" t="s">
        <v>48</v>
      </c>
      <c r="E215" s="37">
        <v>22</v>
      </c>
      <c r="F215" t="s">
        <v>80</v>
      </c>
      <c r="G215" t="s">
        <v>81</v>
      </c>
      <c r="H215" t="s">
        <v>66</v>
      </c>
      <c r="I215" t="s">
        <v>82</v>
      </c>
      <c r="J215" t="s">
        <v>93</v>
      </c>
      <c r="K215" s="37">
        <v>13</v>
      </c>
      <c r="L215" t="s">
        <v>52</v>
      </c>
      <c r="M215" s="21">
        <v>59200</v>
      </c>
      <c r="N215" s="21">
        <v>774336</v>
      </c>
      <c r="O215" s="21">
        <v>63936</v>
      </c>
      <c r="P215">
        <v>4</v>
      </c>
      <c r="Q215" t="s">
        <v>126</v>
      </c>
      <c r="R215" s="37">
        <v>15</v>
      </c>
      <c r="S215" s="37">
        <v>3</v>
      </c>
      <c r="T215" t="s">
        <v>129</v>
      </c>
      <c r="U215" t="s">
        <v>44</v>
      </c>
      <c r="V215" t="s">
        <v>45</v>
      </c>
    </row>
    <row r="216" spans="1:22" ht="15" customHeight="1" x14ac:dyDescent="0.3">
      <c r="A216" t="s">
        <v>507</v>
      </c>
      <c r="B216" s="20">
        <v>45974</v>
      </c>
      <c r="C216" t="s">
        <v>34</v>
      </c>
      <c r="D216" t="s">
        <v>35</v>
      </c>
      <c r="E216" s="37">
        <v>52</v>
      </c>
      <c r="F216" t="s">
        <v>91</v>
      </c>
      <c r="G216" t="s">
        <v>92</v>
      </c>
      <c r="H216" t="s">
        <v>66</v>
      </c>
      <c r="I216" t="s">
        <v>60</v>
      </c>
      <c r="J216" t="s">
        <v>149</v>
      </c>
      <c r="K216" s="37">
        <v>18</v>
      </c>
      <c r="L216" t="s">
        <v>52</v>
      </c>
      <c r="M216" s="21">
        <v>146000</v>
      </c>
      <c r="N216" s="21">
        <v>1909680</v>
      </c>
      <c r="O216" s="21">
        <v>157680</v>
      </c>
      <c r="P216">
        <v>2</v>
      </c>
      <c r="Q216" t="s">
        <v>42</v>
      </c>
      <c r="R216" s="37">
        <v>17</v>
      </c>
      <c r="S216" s="37">
        <v>4</v>
      </c>
      <c r="T216" t="s">
        <v>146</v>
      </c>
      <c r="U216" t="s">
        <v>44</v>
      </c>
      <c r="V216" t="s">
        <v>45</v>
      </c>
    </row>
    <row r="217" spans="1:22" ht="15" customHeight="1" x14ac:dyDescent="0.3">
      <c r="A217" t="s">
        <v>508</v>
      </c>
      <c r="B217" s="20">
        <v>45721</v>
      </c>
      <c r="C217" t="s">
        <v>509</v>
      </c>
      <c r="D217" t="s">
        <v>48</v>
      </c>
      <c r="E217" s="37">
        <v>25</v>
      </c>
      <c r="F217" t="s">
        <v>57</v>
      </c>
      <c r="G217" t="s">
        <v>58</v>
      </c>
      <c r="H217" t="s">
        <v>66</v>
      </c>
      <c r="I217" t="s">
        <v>82</v>
      </c>
      <c r="J217" t="s">
        <v>93</v>
      </c>
      <c r="K217" s="37">
        <v>8</v>
      </c>
      <c r="L217" t="s">
        <v>52</v>
      </c>
      <c r="M217" s="21">
        <v>68200</v>
      </c>
      <c r="N217" s="21">
        <v>900240</v>
      </c>
      <c r="O217" s="21">
        <v>81840</v>
      </c>
      <c r="P217">
        <v>2</v>
      </c>
      <c r="Q217" t="s">
        <v>42</v>
      </c>
      <c r="R217" s="37">
        <v>10</v>
      </c>
      <c r="S217" s="37">
        <v>16</v>
      </c>
      <c r="T217" t="s">
        <v>53</v>
      </c>
      <c r="U217" t="s">
        <v>44</v>
      </c>
      <c r="V217" t="s">
        <v>69</v>
      </c>
    </row>
    <row r="218" spans="1:22" ht="15" customHeight="1" x14ac:dyDescent="0.3">
      <c r="A218" t="s">
        <v>510</v>
      </c>
      <c r="B218" s="20">
        <v>45792</v>
      </c>
      <c r="C218" t="s">
        <v>467</v>
      </c>
      <c r="D218" t="s">
        <v>48</v>
      </c>
      <c r="E218" s="37">
        <v>43</v>
      </c>
      <c r="F218" t="s">
        <v>108</v>
      </c>
      <c r="G218" t="s">
        <v>109</v>
      </c>
      <c r="H218" t="s">
        <v>66</v>
      </c>
      <c r="I218" t="s">
        <v>75</v>
      </c>
      <c r="J218" t="s">
        <v>170</v>
      </c>
      <c r="K218" s="37">
        <v>12</v>
      </c>
      <c r="L218" t="s">
        <v>120</v>
      </c>
      <c r="M218" s="21">
        <v>84000</v>
      </c>
      <c r="N218" s="21">
        <v>1149120</v>
      </c>
      <c r="O218" s="21">
        <v>141120</v>
      </c>
      <c r="P218">
        <v>4</v>
      </c>
      <c r="Q218" t="s">
        <v>42</v>
      </c>
      <c r="R218" s="37">
        <v>16</v>
      </c>
      <c r="S218" s="37">
        <v>40</v>
      </c>
      <c r="T218" t="s">
        <v>175</v>
      </c>
      <c r="U218" t="s">
        <v>44</v>
      </c>
      <c r="V218" t="s">
        <v>45</v>
      </c>
    </row>
    <row r="219" spans="1:22" ht="15" customHeight="1" x14ac:dyDescent="0.3">
      <c r="A219" t="s">
        <v>511</v>
      </c>
      <c r="B219" s="20">
        <v>45855</v>
      </c>
      <c r="C219" t="s">
        <v>512</v>
      </c>
      <c r="D219" t="s">
        <v>35</v>
      </c>
      <c r="E219" s="37">
        <v>46</v>
      </c>
      <c r="F219" t="s">
        <v>49</v>
      </c>
      <c r="G219" t="s">
        <v>50</v>
      </c>
      <c r="H219" t="s">
        <v>118</v>
      </c>
      <c r="I219" t="s">
        <v>39</v>
      </c>
      <c r="J219" t="s">
        <v>119</v>
      </c>
      <c r="K219" s="37">
        <v>29</v>
      </c>
      <c r="L219" t="s">
        <v>52</v>
      </c>
      <c r="M219" s="21">
        <v>28400</v>
      </c>
      <c r="N219" s="21">
        <v>391919</v>
      </c>
      <c r="O219" s="21">
        <v>51120</v>
      </c>
      <c r="P219">
        <v>4</v>
      </c>
      <c r="Q219" t="s">
        <v>42</v>
      </c>
      <c r="R219" s="37">
        <v>2</v>
      </c>
      <c r="S219" s="37">
        <v>10</v>
      </c>
      <c r="T219" t="s">
        <v>146</v>
      </c>
      <c r="U219" t="s">
        <v>138</v>
      </c>
      <c r="V219" t="s">
        <v>45</v>
      </c>
    </row>
    <row r="220" spans="1:22" ht="15" customHeight="1" x14ac:dyDescent="0.3">
      <c r="A220" t="s">
        <v>513</v>
      </c>
      <c r="B220" s="20">
        <v>45988</v>
      </c>
      <c r="C220" t="s">
        <v>514</v>
      </c>
      <c r="D220" t="s">
        <v>35</v>
      </c>
      <c r="E220" s="37">
        <v>39</v>
      </c>
      <c r="F220" t="s">
        <v>97</v>
      </c>
      <c r="G220" t="s">
        <v>98</v>
      </c>
      <c r="H220" t="s">
        <v>38</v>
      </c>
      <c r="I220" t="s">
        <v>82</v>
      </c>
      <c r="J220" t="s">
        <v>40</v>
      </c>
      <c r="K220" s="37">
        <v>17</v>
      </c>
      <c r="L220" t="s">
        <v>41</v>
      </c>
      <c r="M220" s="21">
        <v>62800</v>
      </c>
      <c r="N220" s="21">
        <v>896784</v>
      </c>
      <c r="O220" s="21">
        <v>143184</v>
      </c>
      <c r="P220">
        <v>4</v>
      </c>
      <c r="Q220" t="s">
        <v>42</v>
      </c>
      <c r="R220" s="37">
        <v>14</v>
      </c>
      <c r="S220" s="37">
        <v>11</v>
      </c>
      <c r="T220" t="s">
        <v>53</v>
      </c>
      <c r="U220" t="s">
        <v>54</v>
      </c>
      <c r="V220" t="s">
        <v>45</v>
      </c>
    </row>
    <row r="221" spans="1:22" ht="15" customHeight="1" x14ac:dyDescent="0.3">
      <c r="A221" t="s">
        <v>515</v>
      </c>
      <c r="B221" s="20">
        <v>45752</v>
      </c>
      <c r="C221" t="s">
        <v>516</v>
      </c>
      <c r="D221" t="s">
        <v>48</v>
      </c>
      <c r="E221" s="37">
        <v>33</v>
      </c>
      <c r="F221" t="s">
        <v>108</v>
      </c>
      <c r="G221" t="s">
        <v>109</v>
      </c>
      <c r="H221" t="s">
        <v>38</v>
      </c>
      <c r="I221" t="s">
        <v>39</v>
      </c>
      <c r="J221" t="s">
        <v>110</v>
      </c>
      <c r="K221" s="37">
        <v>20</v>
      </c>
      <c r="L221" t="s">
        <v>52</v>
      </c>
      <c r="M221" s="21">
        <v>31000</v>
      </c>
      <c r="N221" s="21">
        <v>401760</v>
      </c>
      <c r="O221" s="21">
        <v>29760</v>
      </c>
      <c r="P221">
        <v>2</v>
      </c>
      <c r="Q221" t="s">
        <v>42</v>
      </c>
      <c r="R221" s="37">
        <v>4</v>
      </c>
      <c r="S221" s="37">
        <v>29</v>
      </c>
      <c r="T221" t="s">
        <v>94</v>
      </c>
      <c r="U221" t="s">
        <v>44</v>
      </c>
      <c r="V221" t="s">
        <v>45</v>
      </c>
    </row>
    <row r="222" spans="1:22" ht="15" customHeight="1" x14ac:dyDescent="0.3">
      <c r="A222" t="s">
        <v>517</v>
      </c>
      <c r="B222" s="20">
        <v>45812</v>
      </c>
      <c r="C222" t="s">
        <v>518</v>
      </c>
      <c r="D222" t="s">
        <v>48</v>
      </c>
      <c r="E222" s="37">
        <v>40</v>
      </c>
      <c r="F222" t="s">
        <v>49</v>
      </c>
      <c r="G222" t="s">
        <v>50</v>
      </c>
      <c r="H222" t="s">
        <v>38</v>
      </c>
      <c r="I222" t="s">
        <v>39</v>
      </c>
      <c r="J222" t="s">
        <v>110</v>
      </c>
      <c r="K222" s="37">
        <v>28</v>
      </c>
      <c r="L222" t="s">
        <v>52</v>
      </c>
      <c r="M222" s="21">
        <v>33500</v>
      </c>
      <c r="N222" s="21">
        <v>442200</v>
      </c>
      <c r="O222" s="21">
        <v>40200</v>
      </c>
      <c r="P222">
        <v>3</v>
      </c>
      <c r="Q222" t="s">
        <v>42</v>
      </c>
      <c r="R222" s="37">
        <v>4</v>
      </c>
      <c r="S222" s="37">
        <v>35</v>
      </c>
      <c r="T222" t="s">
        <v>105</v>
      </c>
      <c r="U222" t="s">
        <v>63</v>
      </c>
      <c r="V222" t="s">
        <v>69</v>
      </c>
    </row>
    <row r="223" spans="1:22" ht="15" customHeight="1" x14ac:dyDescent="0.3">
      <c r="A223" t="s">
        <v>519</v>
      </c>
      <c r="B223" s="20">
        <v>45701</v>
      </c>
      <c r="C223" t="s">
        <v>520</v>
      </c>
      <c r="D223" t="s">
        <v>48</v>
      </c>
      <c r="E223" s="37">
        <v>57</v>
      </c>
      <c r="F223" t="s">
        <v>91</v>
      </c>
      <c r="G223" t="s">
        <v>92</v>
      </c>
      <c r="H223" t="s">
        <v>38</v>
      </c>
      <c r="I223" t="s">
        <v>82</v>
      </c>
      <c r="J223" t="s">
        <v>110</v>
      </c>
      <c r="K223" s="37">
        <v>14</v>
      </c>
      <c r="L223" t="s">
        <v>52</v>
      </c>
      <c r="M223" s="21">
        <v>49800</v>
      </c>
      <c r="N223" s="21">
        <v>675287</v>
      </c>
      <c r="O223" s="21">
        <v>77688</v>
      </c>
      <c r="P223">
        <v>2</v>
      </c>
      <c r="Q223" t="s">
        <v>126</v>
      </c>
      <c r="R223" s="37">
        <v>10</v>
      </c>
      <c r="S223" s="37">
        <v>36</v>
      </c>
      <c r="T223" t="s">
        <v>43</v>
      </c>
      <c r="U223" t="s">
        <v>63</v>
      </c>
      <c r="V223" t="s">
        <v>69</v>
      </c>
    </row>
    <row r="224" spans="1:22" ht="15" customHeight="1" x14ac:dyDescent="0.3">
      <c r="A224" t="s">
        <v>521</v>
      </c>
      <c r="B224" s="20">
        <v>45859</v>
      </c>
      <c r="C224" t="s">
        <v>522</v>
      </c>
      <c r="D224" t="s">
        <v>48</v>
      </c>
      <c r="E224" s="37">
        <v>25</v>
      </c>
      <c r="F224" t="s">
        <v>80</v>
      </c>
      <c r="G224" t="s">
        <v>81</v>
      </c>
      <c r="H224" t="s">
        <v>38</v>
      </c>
      <c r="I224" t="s">
        <v>82</v>
      </c>
      <c r="J224" t="s">
        <v>40</v>
      </c>
      <c r="K224" s="37">
        <v>24</v>
      </c>
      <c r="L224" t="s">
        <v>52</v>
      </c>
      <c r="M224" s="21">
        <v>60700</v>
      </c>
      <c r="N224" s="21">
        <v>874080</v>
      </c>
      <c r="O224" s="21">
        <v>145680</v>
      </c>
      <c r="P224">
        <v>4</v>
      </c>
      <c r="Q224" t="s">
        <v>42</v>
      </c>
      <c r="R224" s="37">
        <v>9</v>
      </c>
      <c r="S224" s="37">
        <v>1</v>
      </c>
      <c r="T224" t="s">
        <v>62</v>
      </c>
      <c r="U224" t="s">
        <v>44</v>
      </c>
      <c r="V224" t="s">
        <v>45</v>
      </c>
    </row>
    <row r="225" spans="1:22" ht="15" customHeight="1" x14ac:dyDescent="0.3">
      <c r="A225" t="s">
        <v>523</v>
      </c>
      <c r="B225" s="20">
        <v>45941</v>
      </c>
      <c r="C225" t="s">
        <v>524</v>
      </c>
      <c r="D225" t="s">
        <v>35</v>
      </c>
      <c r="E225" s="37">
        <v>42</v>
      </c>
      <c r="F225" t="s">
        <v>123</v>
      </c>
      <c r="G225" t="s">
        <v>124</v>
      </c>
      <c r="H225" t="s">
        <v>59</v>
      </c>
      <c r="I225" t="s">
        <v>82</v>
      </c>
      <c r="J225" t="s">
        <v>125</v>
      </c>
      <c r="K225" s="37">
        <v>30</v>
      </c>
      <c r="L225" t="s">
        <v>52</v>
      </c>
      <c r="M225" s="21">
        <v>52900</v>
      </c>
      <c r="N225" s="21">
        <v>685584</v>
      </c>
      <c r="O225" s="21">
        <v>50784</v>
      </c>
      <c r="P225">
        <v>4</v>
      </c>
      <c r="Q225" t="s">
        <v>42</v>
      </c>
      <c r="R225" s="37">
        <v>6</v>
      </c>
      <c r="S225" s="37">
        <v>1</v>
      </c>
      <c r="T225" t="s">
        <v>129</v>
      </c>
      <c r="U225" t="s">
        <v>54</v>
      </c>
      <c r="V225" t="s">
        <v>69</v>
      </c>
    </row>
    <row r="226" spans="1:22" ht="15" customHeight="1" x14ac:dyDescent="0.3">
      <c r="A226" t="s">
        <v>525</v>
      </c>
      <c r="B226" s="20">
        <v>45945</v>
      </c>
      <c r="C226" t="s">
        <v>526</v>
      </c>
      <c r="D226" t="s">
        <v>48</v>
      </c>
      <c r="E226" s="37">
        <v>24</v>
      </c>
      <c r="F226" t="s">
        <v>80</v>
      </c>
      <c r="G226" t="s">
        <v>81</v>
      </c>
      <c r="H226" t="s">
        <v>59</v>
      </c>
      <c r="I226" t="s">
        <v>82</v>
      </c>
      <c r="J226" t="s">
        <v>141</v>
      </c>
      <c r="K226" s="37">
        <v>16</v>
      </c>
      <c r="L226" t="s">
        <v>52</v>
      </c>
      <c r="M226" s="21">
        <v>54600</v>
      </c>
      <c r="N226" s="21">
        <v>727272</v>
      </c>
      <c r="O226" s="21">
        <v>72072</v>
      </c>
      <c r="P226">
        <v>3</v>
      </c>
      <c r="Q226" t="s">
        <v>42</v>
      </c>
      <c r="R226" s="37">
        <v>9</v>
      </c>
      <c r="S226" s="37">
        <v>39</v>
      </c>
      <c r="T226" t="s">
        <v>68</v>
      </c>
      <c r="U226" t="s">
        <v>63</v>
      </c>
      <c r="V226" t="s">
        <v>45</v>
      </c>
    </row>
    <row r="227" spans="1:22" ht="15" customHeight="1" x14ac:dyDescent="0.3">
      <c r="A227" t="s">
        <v>527</v>
      </c>
      <c r="B227" s="20">
        <v>45993</v>
      </c>
      <c r="C227" t="s">
        <v>528</v>
      </c>
      <c r="D227" t="s">
        <v>35</v>
      </c>
      <c r="E227" s="37">
        <v>43</v>
      </c>
      <c r="F227" t="s">
        <v>91</v>
      </c>
      <c r="G227" t="s">
        <v>92</v>
      </c>
      <c r="H227" t="s">
        <v>74</v>
      </c>
      <c r="I227" t="s">
        <v>39</v>
      </c>
      <c r="J227" t="s">
        <v>152</v>
      </c>
      <c r="K227" s="37">
        <v>15</v>
      </c>
      <c r="L227" t="s">
        <v>52</v>
      </c>
      <c r="M227" s="21">
        <v>39300</v>
      </c>
      <c r="N227" s="21">
        <v>561204</v>
      </c>
      <c r="O227" s="21">
        <v>89604</v>
      </c>
      <c r="P227">
        <v>3</v>
      </c>
      <c r="Q227" t="s">
        <v>42</v>
      </c>
      <c r="R227" s="37">
        <v>8</v>
      </c>
      <c r="S227" s="37">
        <v>9</v>
      </c>
      <c r="T227" t="s">
        <v>175</v>
      </c>
      <c r="U227" t="s">
        <v>44</v>
      </c>
      <c r="V227" t="s">
        <v>69</v>
      </c>
    </row>
    <row r="228" spans="1:22" ht="15" customHeight="1" x14ac:dyDescent="0.3">
      <c r="A228" t="s">
        <v>529</v>
      </c>
      <c r="B228" s="20">
        <v>45875</v>
      </c>
      <c r="C228" t="s">
        <v>235</v>
      </c>
      <c r="D228" t="s">
        <v>35</v>
      </c>
      <c r="E228" s="37">
        <v>52</v>
      </c>
      <c r="F228" t="s">
        <v>91</v>
      </c>
      <c r="G228" t="s">
        <v>92</v>
      </c>
      <c r="H228" t="s">
        <v>118</v>
      </c>
      <c r="I228" t="s">
        <v>39</v>
      </c>
      <c r="J228" t="s">
        <v>137</v>
      </c>
      <c r="K228" s="37">
        <v>4</v>
      </c>
      <c r="L228" t="s">
        <v>52</v>
      </c>
      <c r="M228" s="21">
        <v>35700</v>
      </c>
      <c r="N228" s="21">
        <v>484091</v>
      </c>
      <c r="O228" s="21">
        <v>55692</v>
      </c>
      <c r="P228">
        <v>2</v>
      </c>
      <c r="Q228" t="s">
        <v>126</v>
      </c>
      <c r="R228" s="37">
        <v>17</v>
      </c>
      <c r="S228" s="37">
        <v>23</v>
      </c>
      <c r="T228" t="s">
        <v>62</v>
      </c>
      <c r="U228" t="s">
        <v>54</v>
      </c>
      <c r="V228" t="s">
        <v>69</v>
      </c>
    </row>
    <row r="229" spans="1:22" ht="15" customHeight="1" x14ac:dyDescent="0.3">
      <c r="A229" t="s">
        <v>530</v>
      </c>
      <c r="B229" s="20">
        <v>45820</v>
      </c>
      <c r="C229" t="s">
        <v>531</v>
      </c>
      <c r="D229" t="s">
        <v>48</v>
      </c>
      <c r="E229" s="37">
        <v>37</v>
      </c>
      <c r="F229" t="s">
        <v>123</v>
      </c>
      <c r="G229" t="s">
        <v>124</v>
      </c>
      <c r="H229" t="s">
        <v>59</v>
      </c>
      <c r="I229" t="s">
        <v>39</v>
      </c>
      <c r="J229" t="s">
        <v>88</v>
      </c>
      <c r="K229" s="37">
        <v>3</v>
      </c>
      <c r="L229" t="s">
        <v>52</v>
      </c>
      <c r="M229" s="21">
        <v>34800</v>
      </c>
      <c r="N229" s="21">
        <v>455184</v>
      </c>
      <c r="O229" s="21">
        <v>37584</v>
      </c>
      <c r="P229">
        <v>4</v>
      </c>
      <c r="Q229" t="s">
        <v>126</v>
      </c>
      <c r="R229" s="37">
        <v>4</v>
      </c>
      <c r="S229" s="37">
        <v>3</v>
      </c>
      <c r="T229" t="s">
        <v>146</v>
      </c>
      <c r="U229" t="s">
        <v>63</v>
      </c>
      <c r="V229" t="s">
        <v>45</v>
      </c>
    </row>
    <row r="230" spans="1:22" ht="15" customHeight="1" x14ac:dyDescent="0.3">
      <c r="A230" t="s">
        <v>532</v>
      </c>
      <c r="B230" s="20">
        <v>45831</v>
      </c>
      <c r="C230" t="s">
        <v>174</v>
      </c>
      <c r="D230" t="s">
        <v>35</v>
      </c>
      <c r="E230" s="37">
        <v>28</v>
      </c>
      <c r="F230" t="s">
        <v>108</v>
      </c>
      <c r="G230" t="s">
        <v>109</v>
      </c>
      <c r="H230" t="s">
        <v>74</v>
      </c>
      <c r="I230" t="s">
        <v>60</v>
      </c>
      <c r="J230" t="s">
        <v>367</v>
      </c>
      <c r="K230" s="37">
        <v>4</v>
      </c>
      <c r="L230" t="s">
        <v>52</v>
      </c>
      <c r="M230" s="21">
        <v>141900</v>
      </c>
      <c r="N230" s="21">
        <v>1975247</v>
      </c>
      <c r="O230" s="21">
        <v>272448</v>
      </c>
      <c r="P230">
        <v>4</v>
      </c>
      <c r="Q230" t="s">
        <v>126</v>
      </c>
      <c r="R230" s="37">
        <v>0</v>
      </c>
      <c r="S230" s="37">
        <v>30</v>
      </c>
      <c r="T230" t="s">
        <v>105</v>
      </c>
      <c r="U230" t="s">
        <v>44</v>
      </c>
      <c r="V230" t="s">
        <v>69</v>
      </c>
    </row>
    <row r="231" spans="1:22" ht="15" customHeight="1" x14ac:dyDescent="0.3">
      <c r="A231" t="s">
        <v>533</v>
      </c>
      <c r="B231" s="20">
        <v>45834</v>
      </c>
      <c r="C231" t="s">
        <v>409</v>
      </c>
      <c r="D231" t="s">
        <v>48</v>
      </c>
      <c r="E231" s="37">
        <v>56</v>
      </c>
      <c r="F231" t="s">
        <v>36</v>
      </c>
      <c r="G231" t="s">
        <v>37</v>
      </c>
      <c r="H231" t="s">
        <v>66</v>
      </c>
      <c r="I231" t="s">
        <v>39</v>
      </c>
      <c r="J231" t="s">
        <v>161</v>
      </c>
      <c r="K231" s="37">
        <v>30</v>
      </c>
      <c r="L231" t="s">
        <v>52</v>
      </c>
      <c r="M231" s="21">
        <v>43900</v>
      </c>
      <c r="N231" s="21">
        <v>584748</v>
      </c>
      <c r="O231" s="21">
        <v>57948</v>
      </c>
      <c r="P231">
        <v>3</v>
      </c>
      <c r="Q231" t="s">
        <v>126</v>
      </c>
      <c r="R231" s="37">
        <v>19</v>
      </c>
      <c r="S231" s="37">
        <v>22</v>
      </c>
      <c r="T231" t="s">
        <v>94</v>
      </c>
      <c r="U231" t="s">
        <v>54</v>
      </c>
      <c r="V231" t="s">
        <v>69</v>
      </c>
    </row>
    <row r="232" spans="1:22" ht="15" customHeight="1" x14ac:dyDescent="0.3">
      <c r="A232" t="s">
        <v>534</v>
      </c>
      <c r="B232" s="20">
        <v>45766</v>
      </c>
      <c r="C232" t="s">
        <v>535</v>
      </c>
      <c r="D232" t="s">
        <v>35</v>
      </c>
      <c r="E232" s="37">
        <v>24</v>
      </c>
      <c r="F232" t="s">
        <v>108</v>
      </c>
      <c r="G232" t="s">
        <v>109</v>
      </c>
      <c r="H232" t="s">
        <v>66</v>
      </c>
      <c r="I232" t="s">
        <v>82</v>
      </c>
      <c r="J232" t="s">
        <v>161</v>
      </c>
      <c r="K232" s="37">
        <v>16</v>
      </c>
      <c r="L232" t="s">
        <v>52</v>
      </c>
      <c r="M232" s="21">
        <v>75500</v>
      </c>
      <c r="N232" s="21">
        <v>1032840</v>
      </c>
      <c r="O232" s="21">
        <v>126840</v>
      </c>
      <c r="P232">
        <v>4</v>
      </c>
      <c r="Q232" t="s">
        <v>42</v>
      </c>
      <c r="R232" s="37">
        <v>2</v>
      </c>
      <c r="S232" s="37">
        <v>4</v>
      </c>
      <c r="T232" t="s">
        <v>53</v>
      </c>
      <c r="U232" t="s">
        <v>63</v>
      </c>
      <c r="V232" t="s">
        <v>45</v>
      </c>
    </row>
    <row r="233" spans="1:22" ht="15" customHeight="1" x14ac:dyDescent="0.3">
      <c r="A233" t="s">
        <v>536</v>
      </c>
      <c r="B233" s="20">
        <v>45857</v>
      </c>
      <c r="C233" t="s">
        <v>537</v>
      </c>
      <c r="D233" t="s">
        <v>35</v>
      </c>
      <c r="E233" s="37">
        <v>34</v>
      </c>
      <c r="F233" t="s">
        <v>91</v>
      </c>
      <c r="G233" t="s">
        <v>92</v>
      </c>
      <c r="H233" t="s">
        <v>66</v>
      </c>
      <c r="I233" t="s">
        <v>82</v>
      </c>
      <c r="J233" t="s">
        <v>67</v>
      </c>
      <c r="K233" s="37">
        <v>12</v>
      </c>
      <c r="L233" t="s">
        <v>41</v>
      </c>
      <c r="M233" s="21">
        <v>58700</v>
      </c>
      <c r="N233" s="21">
        <v>753708</v>
      </c>
      <c r="O233" s="21">
        <v>49308</v>
      </c>
      <c r="P233">
        <v>5</v>
      </c>
      <c r="Q233" t="s">
        <v>126</v>
      </c>
      <c r="R233" s="37">
        <v>10</v>
      </c>
      <c r="S233" s="37">
        <v>12</v>
      </c>
      <c r="T233" t="s">
        <v>175</v>
      </c>
      <c r="U233" t="s">
        <v>44</v>
      </c>
      <c r="V233" t="s">
        <v>69</v>
      </c>
    </row>
    <row r="234" spans="1:22" ht="15" customHeight="1" x14ac:dyDescent="0.3">
      <c r="A234" t="s">
        <v>538</v>
      </c>
      <c r="B234" s="20">
        <v>45968</v>
      </c>
      <c r="C234" t="s">
        <v>539</v>
      </c>
      <c r="D234" t="s">
        <v>48</v>
      </c>
      <c r="E234" s="37">
        <v>47</v>
      </c>
      <c r="F234" t="s">
        <v>49</v>
      </c>
      <c r="G234" t="s">
        <v>50</v>
      </c>
      <c r="H234" t="s">
        <v>74</v>
      </c>
      <c r="I234" t="s">
        <v>39</v>
      </c>
      <c r="J234" t="s">
        <v>83</v>
      </c>
      <c r="K234" s="37">
        <v>18</v>
      </c>
      <c r="L234" t="s">
        <v>52</v>
      </c>
      <c r="M234" s="21">
        <v>35900</v>
      </c>
      <c r="N234" s="21">
        <v>473880</v>
      </c>
      <c r="O234" s="21">
        <v>43080</v>
      </c>
      <c r="P234">
        <v>4</v>
      </c>
      <c r="Q234" t="s">
        <v>42</v>
      </c>
      <c r="R234" s="37">
        <v>7</v>
      </c>
      <c r="S234" s="37">
        <v>7</v>
      </c>
      <c r="T234" t="s">
        <v>53</v>
      </c>
      <c r="U234" t="s">
        <v>63</v>
      </c>
      <c r="V234" t="s">
        <v>69</v>
      </c>
    </row>
    <row r="235" spans="1:22" ht="15" customHeight="1" x14ac:dyDescent="0.3">
      <c r="A235" t="s">
        <v>540</v>
      </c>
      <c r="B235" s="20">
        <v>45851</v>
      </c>
      <c r="C235" t="s">
        <v>346</v>
      </c>
      <c r="D235" t="s">
        <v>35</v>
      </c>
      <c r="E235" s="37">
        <v>33</v>
      </c>
      <c r="F235" t="s">
        <v>80</v>
      </c>
      <c r="G235" t="s">
        <v>81</v>
      </c>
      <c r="H235" t="s">
        <v>118</v>
      </c>
      <c r="I235" t="s">
        <v>39</v>
      </c>
      <c r="J235" t="s">
        <v>250</v>
      </c>
      <c r="K235" s="37">
        <v>12</v>
      </c>
      <c r="L235" t="s">
        <v>52</v>
      </c>
      <c r="M235" s="21">
        <v>37600</v>
      </c>
      <c r="N235" s="21">
        <v>496320</v>
      </c>
      <c r="O235" s="21">
        <v>45120</v>
      </c>
      <c r="P235">
        <v>4</v>
      </c>
      <c r="Q235" t="s">
        <v>42</v>
      </c>
      <c r="R235" s="37">
        <v>16</v>
      </c>
      <c r="S235" s="37">
        <v>6</v>
      </c>
      <c r="T235" t="s">
        <v>129</v>
      </c>
      <c r="U235" t="s">
        <v>44</v>
      </c>
      <c r="V235" t="s">
        <v>45</v>
      </c>
    </row>
    <row r="236" spans="1:22" ht="15" customHeight="1" x14ac:dyDescent="0.3">
      <c r="A236" t="s">
        <v>541</v>
      </c>
      <c r="B236" s="20">
        <v>45976</v>
      </c>
      <c r="C236" t="s">
        <v>542</v>
      </c>
      <c r="D236" t="s">
        <v>35</v>
      </c>
      <c r="E236" s="37">
        <v>47</v>
      </c>
      <c r="F236" t="s">
        <v>91</v>
      </c>
      <c r="G236" t="s">
        <v>92</v>
      </c>
      <c r="H236" t="s">
        <v>38</v>
      </c>
      <c r="I236" t="s">
        <v>82</v>
      </c>
      <c r="J236" t="s">
        <v>110</v>
      </c>
      <c r="K236" s="37">
        <v>13</v>
      </c>
      <c r="L236" t="s">
        <v>52</v>
      </c>
      <c r="M236" s="21">
        <v>61200</v>
      </c>
      <c r="N236" s="21">
        <v>881280</v>
      </c>
      <c r="O236" s="21">
        <v>146880</v>
      </c>
      <c r="P236">
        <v>4</v>
      </c>
      <c r="Q236" t="s">
        <v>42</v>
      </c>
      <c r="R236" s="37">
        <v>12</v>
      </c>
      <c r="S236" s="37">
        <v>14</v>
      </c>
      <c r="T236" t="s">
        <v>77</v>
      </c>
      <c r="U236" t="s">
        <v>54</v>
      </c>
      <c r="V236" t="s">
        <v>69</v>
      </c>
    </row>
    <row r="237" spans="1:22" ht="15" customHeight="1" x14ac:dyDescent="0.3">
      <c r="A237" t="s">
        <v>543</v>
      </c>
      <c r="B237" s="20">
        <v>45764</v>
      </c>
      <c r="C237" t="s">
        <v>544</v>
      </c>
      <c r="D237" t="s">
        <v>48</v>
      </c>
      <c r="E237" s="37">
        <v>44</v>
      </c>
      <c r="F237" t="s">
        <v>91</v>
      </c>
      <c r="G237" t="s">
        <v>92</v>
      </c>
      <c r="H237" t="s">
        <v>118</v>
      </c>
      <c r="I237" t="s">
        <v>75</v>
      </c>
      <c r="J237" t="s">
        <v>119</v>
      </c>
      <c r="K237" s="37">
        <v>16</v>
      </c>
      <c r="L237" t="s">
        <v>52</v>
      </c>
      <c r="M237" s="21">
        <v>84000</v>
      </c>
      <c r="N237" s="21">
        <v>1149120</v>
      </c>
      <c r="O237" s="21">
        <v>141120</v>
      </c>
      <c r="P237">
        <v>4</v>
      </c>
      <c r="Q237" t="s">
        <v>42</v>
      </c>
      <c r="R237" s="37">
        <v>19</v>
      </c>
      <c r="S237" s="37">
        <v>32</v>
      </c>
      <c r="T237" t="s">
        <v>68</v>
      </c>
      <c r="U237" t="s">
        <v>44</v>
      </c>
      <c r="V237" t="s">
        <v>45</v>
      </c>
    </row>
    <row r="238" spans="1:22" ht="15" customHeight="1" x14ac:dyDescent="0.3">
      <c r="A238" t="s">
        <v>545</v>
      </c>
      <c r="B238" s="20">
        <v>45752</v>
      </c>
      <c r="C238" t="s">
        <v>546</v>
      </c>
      <c r="D238" t="s">
        <v>48</v>
      </c>
      <c r="E238" s="37">
        <v>28</v>
      </c>
      <c r="F238" t="s">
        <v>86</v>
      </c>
      <c r="G238" t="s">
        <v>87</v>
      </c>
      <c r="H238" t="s">
        <v>118</v>
      </c>
      <c r="I238" t="s">
        <v>82</v>
      </c>
      <c r="J238" t="s">
        <v>219</v>
      </c>
      <c r="K238" s="37">
        <v>23</v>
      </c>
      <c r="L238" t="s">
        <v>52</v>
      </c>
      <c r="M238" s="21">
        <v>55700</v>
      </c>
      <c r="N238" s="21">
        <v>708504</v>
      </c>
      <c r="O238" s="21">
        <v>40104</v>
      </c>
      <c r="P238">
        <v>4</v>
      </c>
      <c r="Q238" t="s">
        <v>42</v>
      </c>
      <c r="R238" s="37">
        <v>17</v>
      </c>
      <c r="S238" s="37">
        <v>27</v>
      </c>
      <c r="T238" t="s">
        <v>105</v>
      </c>
      <c r="U238" t="s">
        <v>44</v>
      </c>
      <c r="V238" t="s">
        <v>69</v>
      </c>
    </row>
    <row r="239" spans="1:22" ht="15" customHeight="1" x14ac:dyDescent="0.3">
      <c r="A239" t="s">
        <v>547</v>
      </c>
      <c r="B239" s="20">
        <v>45999</v>
      </c>
      <c r="C239" t="s">
        <v>548</v>
      </c>
      <c r="D239" t="s">
        <v>35</v>
      </c>
      <c r="E239" s="37">
        <v>47</v>
      </c>
      <c r="F239" t="s">
        <v>57</v>
      </c>
      <c r="G239" t="s">
        <v>58</v>
      </c>
      <c r="H239" t="s">
        <v>66</v>
      </c>
      <c r="I239" t="s">
        <v>39</v>
      </c>
      <c r="J239" t="s">
        <v>170</v>
      </c>
      <c r="K239" s="37">
        <v>1</v>
      </c>
      <c r="L239" t="s">
        <v>52</v>
      </c>
      <c r="M239" s="21">
        <v>47500</v>
      </c>
      <c r="N239" s="21">
        <v>666900</v>
      </c>
      <c r="O239" s="21">
        <v>96900</v>
      </c>
      <c r="P239">
        <v>3</v>
      </c>
      <c r="Q239" t="s">
        <v>42</v>
      </c>
      <c r="R239" s="37">
        <v>0</v>
      </c>
      <c r="S239" s="37">
        <v>25</v>
      </c>
      <c r="T239" t="s">
        <v>94</v>
      </c>
      <c r="U239" t="s">
        <v>44</v>
      </c>
      <c r="V239" t="s">
        <v>69</v>
      </c>
    </row>
    <row r="240" spans="1:22" ht="15" customHeight="1" x14ac:dyDescent="0.3">
      <c r="A240" t="s">
        <v>549</v>
      </c>
      <c r="B240" s="20">
        <v>45826</v>
      </c>
      <c r="C240" t="s">
        <v>550</v>
      </c>
      <c r="D240" t="s">
        <v>48</v>
      </c>
      <c r="E240" s="37">
        <v>39</v>
      </c>
      <c r="F240" t="s">
        <v>36</v>
      </c>
      <c r="G240" t="s">
        <v>37</v>
      </c>
      <c r="H240" t="s">
        <v>38</v>
      </c>
      <c r="I240" t="s">
        <v>60</v>
      </c>
      <c r="J240" t="s">
        <v>134</v>
      </c>
      <c r="K240" s="37">
        <v>4</v>
      </c>
      <c r="L240" t="s">
        <v>52</v>
      </c>
      <c r="M240" s="21">
        <v>142600</v>
      </c>
      <c r="N240" s="21">
        <v>1882320</v>
      </c>
      <c r="O240" s="21">
        <v>171120</v>
      </c>
      <c r="P240">
        <v>5</v>
      </c>
      <c r="Q240" t="s">
        <v>126</v>
      </c>
      <c r="R240" s="37">
        <v>0</v>
      </c>
      <c r="S240" s="37">
        <v>14</v>
      </c>
      <c r="T240" t="s">
        <v>62</v>
      </c>
      <c r="U240" t="s">
        <v>63</v>
      </c>
      <c r="V240" t="s">
        <v>69</v>
      </c>
    </row>
    <row r="241" spans="1:22" ht="15" customHeight="1" x14ac:dyDescent="0.3">
      <c r="A241" t="s">
        <v>551</v>
      </c>
      <c r="B241" s="20">
        <v>45865</v>
      </c>
      <c r="C241" t="s">
        <v>552</v>
      </c>
      <c r="D241" t="s">
        <v>48</v>
      </c>
      <c r="E241" s="37">
        <v>58</v>
      </c>
      <c r="F241" t="s">
        <v>49</v>
      </c>
      <c r="G241" t="s">
        <v>50</v>
      </c>
      <c r="H241" t="s">
        <v>66</v>
      </c>
      <c r="I241" t="s">
        <v>39</v>
      </c>
      <c r="J241" t="s">
        <v>93</v>
      </c>
      <c r="K241" s="37">
        <v>10</v>
      </c>
      <c r="L241" t="s">
        <v>41</v>
      </c>
      <c r="M241" s="21">
        <v>43600</v>
      </c>
      <c r="N241" s="21">
        <v>575520</v>
      </c>
      <c r="O241" s="21">
        <v>52320</v>
      </c>
      <c r="P241">
        <v>4</v>
      </c>
      <c r="Q241" t="s">
        <v>42</v>
      </c>
      <c r="R241" s="37">
        <v>11</v>
      </c>
      <c r="S241" s="37">
        <v>5</v>
      </c>
      <c r="T241" t="s">
        <v>129</v>
      </c>
      <c r="U241" t="s">
        <v>63</v>
      </c>
      <c r="V241" t="s">
        <v>45</v>
      </c>
    </row>
    <row r="242" spans="1:22" ht="15" customHeight="1" x14ac:dyDescent="0.3">
      <c r="A242" t="s">
        <v>553</v>
      </c>
      <c r="B242" s="20">
        <v>45726</v>
      </c>
      <c r="C242" t="s">
        <v>554</v>
      </c>
      <c r="D242" t="s">
        <v>48</v>
      </c>
      <c r="E242" s="37">
        <v>49</v>
      </c>
      <c r="F242" t="s">
        <v>80</v>
      </c>
      <c r="G242" t="s">
        <v>81</v>
      </c>
      <c r="H242" t="s">
        <v>59</v>
      </c>
      <c r="I242" t="s">
        <v>82</v>
      </c>
      <c r="J242" t="s">
        <v>88</v>
      </c>
      <c r="K242" s="37">
        <v>21</v>
      </c>
      <c r="L242" t="s">
        <v>52</v>
      </c>
      <c r="M242" s="21">
        <v>55200</v>
      </c>
      <c r="N242" s="21">
        <v>768384</v>
      </c>
      <c r="O242" s="21">
        <v>105984</v>
      </c>
      <c r="P242">
        <v>4</v>
      </c>
      <c r="Q242" t="s">
        <v>42</v>
      </c>
      <c r="R242" s="37">
        <v>6</v>
      </c>
      <c r="S242" s="37">
        <v>14</v>
      </c>
      <c r="T242" t="s">
        <v>94</v>
      </c>
      <c r="U242" t="s">
        <v>44</v>
      </c>
      <c r="V242" t="s">
        <v>69</v>
      </c>
    </row>
    <row r="243" spans="1:22" ht="15" customHeight="1" x14ac:dyDescent="0.3">
      <c r="A243" t="s">
        <v>555</v>
      </c>
      <c r="B243" s="20">
        <v>45810</v>
      </c>
      <c r="C243" t="s">
        <v>556</v>
      </c>
      <c r="D243" t="s">
        <v>35</v>
      </c>
      <c r="E243" s="37">
        <v>27</v>
      </c>
      <c r="F243" t="s">
        <v>97</v>
      </c>
      <c r="G243" t="s">
        <v>98</v>
      </c>
      <c r="H243" t="s">
        <v>66</v>
      </c>
      <c r="I243" t="s">
        <v>82</v>
      </c>
      <c r="J243" t="s">
        <v>93</v>
      </c>
      <c r="K243" s="37">
        <v>19</v>
      </c>
      <c r="L243" t="s">
        <v>52</v>
      </c>
      <c r="M243" s="21">
        <v>53900</v>
      </c>
      <c r="N243" s="21">
        <v>679140</v>
      </c>
      <c r="O243" s="21">
        <v>32340</v>
      </c>
      <c r="P243">
        <v>4</v>
      </c>
      <c r="Q243" t="s">
        <v>42</v>
      </c>
      <c r="R243" s="37">
        <v>2</v>
      </c>
      <c r="S243" s="37">
        <v>8</v>
      </c>
      <c r="T243" t="s">
        <v>146</v>
      </c>
      <c r="U243" t="s">
        <v>44</v>
      </c>
      <c r="V243" t="s">
        <v>69</v>
      </c>
    </row>
    <row r="244" spans="1:22" ht="15" customHeight="1" x14ac:dyDescent="0.3">
      <c r="A244" t="s">
        <v>557</v>
      </c>
      <c r="B244" s="20">
        <v>45701</v>
      </c>
      <c r="C244" t="s">
        <v>186</v>
      </c>
      <c r="D244" t="s">
        <v>35</v>
      </c>
      <c r="E244" s="37">
        <v>22</v>
      </c>
      <c r="F244" t="s">
        <v>49</v>
      </c>
      <c r="G244" t="s">
        <v>50</v>
      </c>
      <c r="H244" t="s">
        <v>118</v>
      </c>
      <c r="I244" t="s">
        <v>60</v>
      </c>
      <c r="J244" t="s">
        <v>250</v>
      </c>
      <c r="K244" s="37">
        <v>24</v>
      </c>
      <c r="L244" t="s">
        <v>120</v>
      </c>
      <c r="M244" s="21">
        <v>153500</v>
      </c>
      <c r="N244" s="21">
        <v>2155140</v>
      </c>
      <c r="O244" s="21">
        <v>313140</v>
      </c>
      <c r="P244">
        <v>4</v>
      </c>
      <c r="Q244" t="s">
        <v>42</v>
      </c>
      <c r="R244" s="37">
        <v>3</v>
      </c>
      <c r="S244" s="37">
        <v>22</v>
      </c>
      <c r="T244" t="s">
        <v>43</v>
      </c>
      <c r="U244" t="s">
        <v>63</v>
      </c>
      <c r="V244" t="s">
        <v>45</v>
      </c>
    </row>
    <row r="245" spans="1:22" ht="15" customHeight="1" x14ac:dyDescent="0.3">
      <c r="A245" t="s">
        <v>558</v>
      </c>
      <c r="B245" s="20">
        <v>45690</v>
      </c>
      <c r="C245" t="s">
        <v>559</v>
      </c>
      <c r="D245" t="s">
        <v>35</v>
      </c>
      <c r="E245" s="37">
        <v>48</v>
      </c>
      <c r="F245" t="s">
        <v>91</v>
      </c>
      <c r="G245" t="s">
        <v>92</v>
      </c>
      <c r="H245" t="s">
        <v>66</v>
      </c>
      <c r="I245" t="s">
        <v>39</v>
      </c>
      <c r="J245" t="s">
        <v>161</v>
      </c>
      <c r="K245" s="37">
        <v>3</v>
      </c>
      <c r="L245" t="s">
        <v>52</v>
      </c>
      <c r="M245" s="21">
        <v>35700</v>
      </c>
      <c r="N245" s="21">
        <v>509796</v>
      </c>
      <c r="O245" s="21">
        <v>81396</v>
      </c>
      <c r="P245">
        <v>4</v>
      </c>
      <c r="Q245" t="s">
        <v>42</v>
      </c>
      <c r="R245" s="37">
        <v>15</v>
      </c>
      <c r="S245" s="37">
        <v>38</v>
      </c>
      <c r="T245" t="s">
        <v>146</v>
      </c>
      <c r="U245" t="s">
        <v>44</v>
      </c>
      <c r="V245" t="s">
        <v>69</v>
      </c>
    </row>
    <row r="246" spans="1:22" ht="15" customHeight="1" x14ac:dyDescent="0.3">
      <c r="A246" t="s">
        <v>560</v>
      </c>
      <c r="B246" s="20">
        <v>46014</v>
      </c>
      <c r="C246" t="s">
        <v>561</v>
      </c>
      <c r="D246" t="s">
        <v>48</v>
      </c>
      <c r="E246" s="37">
        <v>33</v>
      </c>
      <c r="F246" t="s">
        <v>86</v>
      </c>
      <c r="G246" t="s">
        <v>87</v>
      </c>
      <c r="H246" t="s">
        <v>59</v>
      </c>
      <c r="I246" t="s">
        <v>75</v>
      </c>
      <c r="J246" t="s">
        <v>61</v>
      </c>
      <c r="K246" s="37">
        <v>2</v>
      </c>
      <c r="L246" t="s">
        <v>52</v>
      </c>
      <c r="M246" s="21">
        <v>87900</v>
      </c>
      <c r="N246" s="21">
        <v>1255212</v>
      </c>
      <c r="O246" s="21">
        <v>200412</v>
      </c>
      <c r="P246">
        <v>4</v>
      </c>
      <c r="Q246" t="s">
        <v>42</v>
      </c>
      <c r="R246" s="37">
        <v>0</v>
      </c>
      <c r="S246" s="37">
        <v>21</v>
      </c>
      <c r="T246" t="s">
        <v>94</v>
      </c>
      <c r="U246" t="s">
        <v>44</v>
      </c>
      <c r="V246" t="s">
        <v>69</v>
      </c>
    </row>
    <row r="247" spans="1:22" ht="15" customHeight="1" x14ac:dyDescent="0.3">
      <c r="A247" t="s">
        <v>562</v>
      </c>
      <c r="B247" s="20">
        <v>46014</v>
      </c>
      <c r="C247" t="s">
        <v>563</v>
      </c>
      <c r="D247" t="s">
        <v>35</v>
      </c>
      <c r="E247" s="37">
        <v>49</v>
      </c>
      <c r="F247" t="s">
        <v>123</v>
      </c>
      <c r="G247" t="s">
        <v>124</v>
      </c>
      <c r="H247" t="s">
        <v>118</v>
      </c>
      <c r="I247" t="s">
        <v>39</v>
      </c>
      <c r="J247" t="s">
        <v>119</v>
      </c>
      <c r="K247" s="37">
        <v>2</v>
      </c>
      <c r="L247" t="s">
        <v>52</v>
      </c>
      <c r="M247" s="21">
        <v>33700</v>
      </c>
      <c r="N247" s="21">
        <v>456971</v>
      </c>
      <c r="O247" s="21">
        <v>52572</v>
      </c>
      <c r="P247">
        <v>3</v>
      </c>
      <c r="Q247" t="s">
        <v>42</v>
      </c>
      <c r="R247" s="37">
        <v>15</v>
      </c>
      <c r="S247" s="37">
        <v>27</v>
      </c>
      <c r="T247" t="s">
        <v>105</v>
      </c>
      <c r="U247" t="s">
        <v>44</v>
      </c>
      <c r="V247" t="s">
        <v>69</v>
      </c>
    </row>
    <row r="248" spans="1:22" ht="15" customHeight="1" x14ac:dyDescent="0.3">
      <c r="A248" t="s">
        <v>564</v>
      </c>
      <c r="B248" s="20">
        <v>45726</v>
      </c>
      <c r="C248" t="s">
        <v>154</v>
      </c>
      <c r="D248" t="s">
        <v>48</v>
      </c>
      <c r="E248" s="37">
        <v>22</v>
      </c>
      <c r="F248" t="s">
        <v>97</v>
      </c>
      <c r="G248" t="s">
        <v>98</v>
      </c>
      <c r="H248" t="s">
        <v>66</v>
      </c>
      <c r="I248" t="s">
        <v>75</v>
      </c>
      <c r="J248" t="s">
        <v>170</v>
      </c>
      <c r="K248" s="37">
        <v>10</v>
      </c>
      <c r="L248" t="s">
        <v>52</v>
      </c>
      <c r="M248" s="21">
        <v>97000</v>
      </c>
      <c r="N248" s="21">
        <v>1326960</v>
      </c>
      <c r="O248" s="21">
        <v>162960</v>
      </c>
      <c r="P248">
        <v>4</v>
      </c>
      <c r="Q248" t="s">
        <v>42</v>
      </c>
      <c r="R248" s="37">
        <v>6</v>
      </c>
      <c r="S248" s="37">
        <v>22</v>
      </c>
      <c r="T248" t="s">
        <v>62</v>
      </c>
      <c r="U248" t="s">
        <v>44</v>
      </c>
      <c r="V248" t="s">
        <v>45</v>
      </c>
    </row>
    <row r="249" spans="1:22" ht="15" customHeight="1" x14ac:dyDescent="0.3">
      <c r="A249" t="s">
        <v>565</v>
      </c>
      <c r="B249" s="20">
        <v>45948</v>
      </c>
      <c r="C249" t="s">
        <v>566</v>
      </c>
      <c r="D249" t="s">
        <v>35</v>
      </c>
      <c r="E249" s="37">
        <v>48</v>
      </c>
      <c r="F249" t="s">
        <v>97</v>
      </c>
      <c r="G249" t="s">
        <v>98</v>
      </c>
      <c r="H249" t="s">
        <v>66</v>
      </c>
      <c r="I249" t="s">
        <v>75</v>
      </c>
      <c r="J249" t="s">
        <v>161</v>
      </c>
      <c r="K249" s="37">
        <v>30</v>
      </c>
      <c r="L249" t="s">
        <v>52</v>
      </c>
      <c r="M249" s="21">
        <v>103100</v>
      </c>
      <c r="N249" s="21">
        <v>1323804</v>
      </c>
      <c r="O249" s="21">
        <v>86604</v>
      </c>
      <c r="P249">
        <v>3</v>
      </c>
      <c r="Q249" t="s">
        <v>42</v>
      </c>
      <c r="R249" s="37">
        <v>20</v>
      </c>
      <c r="S249" s="37">
        <v>27</v>
      </c>
      <c r="T249" t="s">
        <v>68</v>
      </c>
      <c r="U249" t="s">
        <v>63</v>
      </c>
      <c r="V249" t="s">
        <v>69</v>
      </c>
    </row>
    <row r="250" spans="1:22" ht="15" customHeight="1" x14ac:dyDescent="0.3">
      <c r="A250" t="s">
        <v>567</v>
      </c>
      <c r="B250" s="20">
        <v>45963</v>
      </c>
      <c r="C250" t="s">
        <v>435</v>
      </c>
      <c r="D250" t="s">
        <v>35</v>
      </c>
      <c r="E250" s="37">
        <v>27</v>
      </c>
      <c r="F250" t="s">
        <v>86</v>
      </c>
      <c r="G250" t="s">
        <v>87</v>
      </c>
      <c r="H250" t="s">
        <v>118</v>
      </c>
      <c r="I250" t="s">
        <v>39</v>
      </c>
      <c r="J250" t="s">
        <v>182</v>
      </c>
      <c r="K250" s="37">
        <v>0</v>
      </c>
      <c r="L250" t="s">
        <v>52</v>
      </c>
      <c r="M250" s="21">
        <v>36500</v>
      </c>
      <c r="N250" s="21">
        <v>494939</v>
      </c>
      <c r="O250" s="21">
        <v>56940</v>
      </c>
      <c r="P250">
        <v>3</v>
      </c>
      <c r="Q250" t="s">
        <v>42</v>
      </c>
      <c r="R250" s="37">
        <v>0</v>
      </c>
      <c r="S250" s="37">
        <v>35</v>
      </c>
      <c r="T250" t="s">
        <v>175</v>
      </c>
      <c r="U250" t="s">
        <v>44</v>
      </c>
      <c r="V250" t="s">
        <v>45</v>
      </c>
    </row>
    <row r="251" spans="1:22" ht="15" customHeight="1" x14ac:dyDescent="0.3">
      <c r="A251" t="s">
        <v>568</v>
      </c>
      <c r="B251" s="20">
        <v>45968</v>
      </c>
      <c r="C251" t="s">
        <v>569</v>
      </c>
      <c r="D251" t="s">
        <v>48</v>
      </c>
      <c r="E251" s="37">
        <v>44</v>
      </c>
      <c r="F251" t="s">
        <v>80</v>
      </c>
      <c r="G251" t="s">
        <v>81</v>
      </c>
      <c r="H251" t="s">
        <v>59</v>
      </c>
      <c r="I251" t="s">
        <v>39</v>
      </c>
      <c r="J251" t="s">
        <v>104</v>
      </c>
      <c r="K251" s="37">
        <v>0</v>
      </c>
      <c r="L251" t="s">
        <v>52</v>
      </c>
      <c r="M251" s="21">
        <v>29400</v>
      </c>
      <c r="N251" s="21">
        <v>381024</v>
      </c>
      <c r="O251" s="21">
        <v>28224</v>
      </c>
      <c r="P251">
        <v>4</v>
      </c>
      <c r="Q251" t="s">
        <v>42</v>
      </c>
      <c r="R251" s="37">
        <v>12</v>
      </c>
      <c r="S251" s="37">
        <v>5</v>
      </c>
      <c r="T251" t="s">
        <v>146</v>
      </c>
      <c r="U251" t="s">
        <v>44</v>
      </c>
      <c r="V251" t="s">
        <v>45</v>
      </c>
    </row>
    <row r="252" spans="1:22" ht="15" customHeight="1" x14ac:dyDescent="0.3">
      <c r="A252" t="s">
        <v>570</v>
      </c>
      <c r="B252" s="20">
        <v>45701</v>
      </c>
      <c r="C252" t="s">
        <v>571</v>
      </c>
      <c r="D252" t="s">
        <v>48</v>
      </c>
      <c r="E252" s="37">
        <v>39</v>
      </c>
      <c r="F252" t="s">
        <v>72</v>
      </c>
      <c r="G252" t="s">
        <v>73</v>
      </c>
      <c r="H252" t="s">
        <v>66</v>
      </c>
      <c r="I252" t="s">
        <v>75</v>
      </c>
      <c r="J252" t="s">
        <v>149</v>
      </c>
      <c r="K252" s="37">
        <v>30</v>
      </c>
      <c r="L252" t="s">
        <v>41</v>
      </c>
      <c r="M252" s="21">
        <v>95100</v>
      </c>
      <c r="N252" s="21">
        <v>1243908</v>
      </c>
      <c r="O252" s="21">
        <v>102708</v>
      </c>
      <c r="P252">
        <v>3</v>
      </c>
      <c r="Q252" t="s">
        <v>42</v>
      </c>
      <c r="R252" s="37">
        <v>19</v>
      </c>
      <c r="S252" s="37">
        <v>4</v>
      </c>
      <c r="T252" t="s">
        <v>94</v>
      </c>
      <c r="U252" t="s">
        <v>63</v>
      </c>
      <c r="V252" t="s">
        <v>45</v>
      </c>
    </row>
    <row r="253" spans="1:22" ht="15" customHeight="1" x14ac:dyDescent="0.3">
      <c r="A253" t="s">
        <v>572</v>
      </c>
      <c r="B253" s="20">
        <v>45840</v>
      </c>
      <c r="C253" t="s">
        <v>573</v>
      </c>
      <c r="D253" t="s">
        <v>35</v>
      </c>
      <c r="E253" s="37">
        <v>52</v>
      </c>
      <c r="F253" t="s">
        <v>91</v>
      </c>
      <c r="G253" t="s">
        <v>92</v>
      </c>
      <c r="H253" t="s">
        <v>118</v>
      </c>
      <c r="I253" t="s">
        <v>39</v>
      </c>
      <c r="J253" t="s">
        <v>250</v>
      </c>
      <c r="K253" s="37">
        <v>29</v>
      </c>
      <c r="L253" t="s">
        <v>52</v>
      </c>
      <c r="M253" s="21">
        <v>31100</v>
      </c>
      <c r="N253" s="21">
        <v>399324</v>
      </c>
      <c r="O253" s="21">
        <v>26124</v>
      </c>
      <c r="P253">
        <v>5</v>
      </c>
      <c r="Q253" t="s">
        <v>42</v>
      </c>
      <c r="R253" s="37">
        <v>11</v>
      </c>
      <c r="S253" s="37">
        <v>36</v>
      </c>
      <c r="T253" t="s">
        <v>129</v>
      </c>
      <c r="U253" t="s">
        <v>54</v>
      </c>
      <c r="V253" t="s">
        <v>69</v>
      </c>
    </row>
    <row r="254" spans="1:22" ht="15" customHeight="1" x14ac:dyDescent="0.3">
      <c r="A254" t="s">
        <v>574</v>
      </c>
      <c r="B254" s="20">
        <v>45734</v>
      </c>
      <c r="C254" t="s">
        <v>575</v>
      </c>
      <c r="D254" t="s">
        <v>48</v>
      </c>
      <c r="E254" s="37">
        <v>42</v>
      </c>
      <c r="F254" t="s">
        <v>57</v>
      </c>
      <c r="G254" t="s">
        <v>58</v>
      </c>
      <c r="H254" t="s">
        <v>66</v>
      </c>
      <c r="I254" t="s">
        <v>82</v>
      </c>
      <c r="J254" t="s">
        <v>67</v>
      </c>
      <c r="K254" s="37">
        <v>22</v>
      </c>
      <c r="L254" t="s">
        <v>52</v>
      </c>
      <c r="M254" s="21">
        <v>57600</v>
      </c>
      <c r="N254" s="21">
        <v>760320</v>
      </c>
      <c r="O254" s="21">
        <v>69120</v>
      </c>
      <c r="P254">
        <v>2</v>
      </c>
      <c r="Q254" t="s">
        <v>42</v>
      </c>
      <c r="R254" s="37">
        <v>12</v>
      </c>
      <c r="S254" s="37">
        <v>38</v>
      </c>
      <c r="T254" t="s">
        <v>129</v>
      </c>
      <c r="U254" t="s">
        <v>63</v>
      </c>
      <c r="V254" t="s">
        <v>69</v>
      </c>
    </row>
    <row r="255" spans="1:22" ht="15" customHeight="1" x14ac:dyDescent="0.3">
      <c r="A255" t="s">
        <v>576</v>
      </c>
      <c r="B255" s="20">
        <v>45816</v>
      </c>
      <c r="C255" t="s">
        <v>577</v>
      </c>
      <c r="D255" t="s">
        <v>35</v>
      </c>
      <c r="E255" s="37">
        <v>40</v>
      </c>
      <c r="F255" t="s">
        <v>97</v>
      </c>
      <c r="G255" t="s">
        <v>98</v>
      </c>
      <c r="H255" t="s">
        <v>66</v>
      </c>
      <c r="I255" t="s">
        <v>39</v>
      </c>
      <c r="J255" t="s">
        <v>161</v>
      </c>
      <c r="K255" s="37">
        <v>3</v>
      </c>
      <c r="L255" t="s">
        <v>52</v>
      </c>
      <c r="M255" s="21">
        <v>39400</v>
      </c>
      <c r="N255" s="21">
        <v>548448</v>
      </c>
      <c r="O255" s="21">
        <v>75648</v>
      </c>
      <c r="P255">
        <v>3</v>
      </c>
      <c r="Q255" t="s">
        <v>42</v>
      </c>
      <c r="R255" s="37">
        <v>3</v>
      </c>
      <c r="S255" s="37">
        <v>6</v>
      </c>
      <c r="T255" t="s">
        <v>105</v>
      </c>
      <c r="U255" t="s">
        <v>63</v>
      </c>
      <c r="V255" t="s">
        <v>45</v>
      </c>
    </row>
    <row r="256" spans="1:22" ht="15" customHeight="1" x14ac:dyDescent="0.3">
      <c r="A256" t="s">
        <v>578</v>
      </c>
      <c r="B256" s="20">
        <v>45994</v>
      </c>
      <c r="C256" t="s">
        <v>579</v>
      </c>
      <c r="D256" t="s">
        <v>48</v>
      </c>
      <c r="E256" s="37">
        <v>40</v>
      </c>
      <c r="F256" t="s">
        <v>49</v>
      </c>
      <c r="G256" t="s">
        <v>50</v>
      </c>
      <c r="H256" t="s">
        <v>66</v>
      </c>
      <c r="I256" t="s">
        <v>60</v>
      </c>
      <c r="J256" t="s">
        <v>170</v>
      </c>
      <c r="K256" s="37">
        <v>9</v>
      </c>
      <c r="L256" t="s">
        <v>52</v>
      </c>
      <c r="M256" s="21">
        <v>135800</v>
      </c>
      <c r="N256" s="21">
        <v>1874039</v>
      </c>
      <c r="O256" s="21">
        <v>244440</v>
      </c>
      <c r="P256">
        <v>5</v>
      </c>
      <c r="Q256" t="s">
        <v>42</v>
      </c>
      <c r="R256" s="37">
        <v>16</v>
      </c>
      <c r="S256" s="37">
        <v>23</v>
      </c>
      <c r="T256" t="s">
        <v>129</v>
      </c>
      <c r="U256" t="s">
        <v>44</v>
      </c>
      <c r="V256" t="s">
        <v>69</v>
      </c>
    </row>
    <row r="257" spans="1:22" ht="15" customHeight="1" x14ac:dyDescent="0.3">
      <c r="A257" t="s">
        <v>580</v>
      </c>
      <c r="B257" s="20">
        <v>45876</v>
      </c>
      <c r="C257" t="s">
        <v>201</v>
      </c>
      <c r="D257" t="s">
        <v>35</v>
      </c>
      <c r="E257" s="37">
        <v>47</v>
      </c>
      <c r="F257" t="s">
        <v>36</v>
      </c>
      <c r="G257" t="s">
        <v>37</v>
      </c>
      <c r="H257" t="s">
        <v>59</v>
      </c>
      <c r="I257" t="s">
        <v>39</v>
      </c>
      <c r="J257" t="s">
        <v>61</v>
      </c>
      <c r="K257" s="37">
        <v>7</v>
      </c>
      <c r="L257" t="s">
        <v>41</v>
      </c>
      <c r="M257" s="21">
        <v>31000</v>
      </c>
      <c r="N257" s="21">
        <v>435240</v>
      </c>
      <c r="O257" s="21">
        <v>63240</v>
      </c>
      <c r="P257">
        <v>4</v>
      </c>
      <c r="Q257" t="s">
        <v>42</v>
      </c>
      <c r="R257" s="37">
        <v>7</v>
      </c>
      <c r="S257" s="37">
        <v>3</v>
      </c>
      <c r="T257" t="s">
        <v>105</v>
      </c>
      <c r="U257" t="s">
        <v>54</v>
      </c>
      <c r="V257" t="s">
        <v>69</v>
      </c>
    </row>
    <row r="258" spans="1:22" ht="15" customHeight="1" x14ac:dyDescent="0.3">
      <c r="A258" t="s">
        <v>581</v>
      </c>
      <c r="B258" s="20">
        <v>45761</v>
      </c>
      <c r="C258" t="s">
        <v>582</v>
      </c>
      <c r="D258" t="s">
        <v>48</v>
      </c>
      <c r="E258" s="37">
        <v>28</v>
      </c>
      <c r="F258" t="s">
        <v>57</v>
      </c>
      <c r="G258" t="s">
        <v>58</v>
      </c>
      <c r="H258" t="s">
        <v>38</v>
      </c>
      <c r="I258" t="s">
        <v>60</v>
      </c>
      <c r="J258" t="s">
        <v>190</v>
      </c>
      <c r="K258" s="37">
        <v>0</v>
      </c>
      <c r="L258" t="s">
        <v>52</v>
      </c>
      <c r="M258" s="21">
        <v>147900</v>
      </c>
      <c r="N258" s="21">
        <v>2005523</v>
      </c>
      <c r="O258" s="21">
        <v>230724</v>
      </c>
      <c r="P258">
        <v>4</v>
      </c>
      <c r="Q258" t="s">
        <v>42</v>
      </c>
      <c r="R258" s="37">
        <v>4</v>
      </c>
      <c r="S258" s="37">
        <v>31</v>
      </c>
      <c r="T258" t="s">
        <v>105</v>
      </c>
      <c r="U258" t="s">
        <v>63</v>
      </c>
      <c r="V258" t="s">
        <v>69</v>
      </c>
    </row>
    <row r="259" spans="1:22" ht="15" customHeight="1" x14ac:dyDescent="0.3">
      <c r="A259" t="s">
        <v>583</v>
      </c>
      <c r="B259" s="20">
        <v>45764</v>
      </c>
      <c r="C259" t="s">
        <v>584</v>
      </c>
      <c r="D259" t="s">
        <v>48</v>
      </c>
      <c r="E259" s="37">
        <v>44</v>
      </c>
      <c r="F259" t="s">
        <v>86</v>
      </c>
      <c r="G259" t="s">
        <v>87</v>
      </c>
      <c r="H259" t="s">
        <v>66</v>
      </c>
      <c r="I259" t="s">
        <v>60</v>
      </c>
      <c r="J259" t="s">
        <v>170</v>
      </c>
      <c r="K259" s="37">
        <v>14</v>
      </c>
      <c r="L259" t="s">
        <v>41</v>
      </c>
      <c r="M259" s="21">
        <v>141000</v>
      </c>
      <c r="N259" s="21">
        <v>1945799</v>
      </c>
      <c r="O259" s="21">
        <v>253800</v>
      </c>
      <c r="P259">
        <v>4</v>
      </c>
      <c r="Q259" t="s">
        <v>42</v>
      </c>
      <c r="R259" s="37">
        <v>1</v>
      </c>
      <c r="S259" s="37">
        <v>23</v>
      </c>
      <c r="T259" t="s">
        <v>77</v>
      </c>
      <c r="U259" t="s">
        <v>44</v>
      </c>
      <c r="V259" t="s">
        <v>69</v>
      </c>
    </row>
    <row r="260" spans="1:22" ht="15" customHeight="1" x14ac:dyDescent="0.3">
      <c r="A260" t="s">
        <v>585</v>
      </c>
      <c r="B260" s="20">
        <v>45798</v>
      </c>
      <c r="C260" t="s">
        <v>586</v>
      </c>
      <c r="D260" t="s">
        <v>35</v>
      </c>
      <c r="E260" s="37">
        <v>35</v>
      </c>
      <c r="F260" t="s">
        <v>91</v>
      </c>
      <c r="G260" t="s">
        <v>92</v>
      </c>
      <c r="H260" t="s">
        <v>38</v>
      </c>
      <c r="I260" t="s">
        <v>39</v>
      </c>
      <c r="J260" t="s">
        <v>190</v>
      </c>
      <c r="K260" s="37">
        <v>22</v>
      </c>
      <c r="L260" t="s">
        <v>52</v>
      </c>
      <c r="M260" s="21">
        <v>36800</v>
      </c>
      <c r="N260" s="21">
        <v>472512</v>
      </c>
      <c r="O260" s="21">
        <v>30912</v>
      </c>
      <c r="P260">
        <v>5</v>
      </c>
      <c r="Q260" t="s">
        <v>42</v>
      </c>
      <c r="R260" s="37">
        <v>16</v>
      </c>
      <c r="S260" s="37">
        <v>36</v>
      </c>
      <c r="T260" t="s">
        <v>175</v>
      </c>
      <c r="U260" t="s">
        <v>63</v>
      </c>
      <c r="V260" t="s">
        <v>69</v>
      </c>
    </row>
    <row r="261" spans="1:22" ht="15" customHeight="1" x14ac:dyDescent="0.3">
      <c r="A261" t="s">
        <v>587</v>
      </c>
      <c r="B261" s="20">
        <v>45697</v>
      </c>
      <c r="C261" t="s">
        <v>342</v>
      </c>
      <c r="D261" t="s">
        <v>48</v>
      </c>
      <c r="E261" s="37">
        <v>38</v>
      </c>
      <c r="F261" t="s">
        <v>49</v>
      </c>
      <c r="G261" t="s">
        <v>50</v>
      </c>
      <c r="H261" t="s">
        <v>38</v>
      </c>
      <c r="I261" t="s">
        <v>60</v>
      </c>
      <c r="J261" t="s">
        <v>134</v>
      </c>
      <c r="K261" s="37">
        <v>29</v>
      </c>
      <c r="L261" t="s">
        <v>52</v>
      </c>
      <c r="M261" s="21">
        <v>162200</v>
      </c>
      <c r="N261" s="21">
        <v>2179968</v>
      </c>
      <c r="O261" s="21">
        <v>233568</v>
      </c>
      <c r="P261">
        <v>5</v>
      </c>
      <c r="Q261" t="s">
        <v>42</v>
      </c>
      <c r="R261" s="37">
        <v>8</v>
      </c>
      <c r="S261" s="37">
        <v>36</v>
      </c>
      <c r="T261" t="s">
        <v>77</v>
      </c>
      <c r="U261" t="s">
        <v>63</v>
      </c>
      <c r="V261" t="s">
        <v>45</v>
      </c>
    </row>
    <row r="262" spans="1:22" ht="15" customHeight="1" x14ac:dyDescent="0.3">
      <c r="A262" t="s">
        <v>588</v>
      </c>
      <c r="B262" s="20">
        <v>45711</v>
      </c>
      <c r="C262" t="s">
        <v>589</v>
      </c>
      <c r="D262" t="s">
        <v>35</v>
      </c>
      <c r="E262" s="37">
        <v>54</v>
      </c>
      <c r="F262" t="s">
        <v>86</v>
      </c>
      <c r="G262" t="s">
        <v>87</v>
      </c>
      <c r="H262" t="s">
        <v>74</v>
      </c>
      <c r="I262" t="s">
        <v>39</v>
      </c>
      <c r="J262" t="s">
        <v>152</v>
      </c>
      <c r="K262" s="37">
        <v>23</v>
      </c>
      <c r="L262" t="s">
        <v>52</v>
      </c>
      <c r="M262" s="21">
        <v>35700</v>
      </c>
      <c r="N262" s="21">
        <v>454104</v>
      </c>
      <c r="O262" s="21">
        <v>25704</v>
      </c>
      <c r="P262">
        <v>4</v>
      </c>
      <c r="Q262" t="s">
        <v>42</v>
      </c>
      <c r="R262" s="37">
        <v>9</v>
      </c>
      <c r="S262" s="37">
        <v>40</v>
      </c>
      <c r="T262" t="s">
        <v>94</v>
      </c>
      <c r="U262" t="s">
        <v>44</v>
      </c>
      <c r="V262" t="s">
        <v>45</v>
      </c>
    </row>
    <row r="263" spans="1:22" ht="15" customHeight="1" x14ac:dyDescent="0.3">
      <c r="A263" t="s">
        <v>590</v>
      </c>
      <c r="B263" s="20">
        <v>45875</v>
      </c>
      <c r="C263" t="s">
        <v>591</v>
      </c>
      <c r="D263" t="s">
        <v>48</v>
      </c>
      <c r="E263" s="37">
        <v>39</v>
      </c>
      <c r="F263" t="s">
        <v>97</v>
      </c>
      <c r="G263" t="s">
        <v>98</v>
      </c>
      <c r="H263" t="s">
        <v>66</v>
      </c>
      <c r="I263" t="s">
        <v>82</v>
      </c>
      <c r="J263" t="s">
        <v>67</v>
      </c>
      <c r="K263" s="37">
        <v>9</v>
      </c>
      <c r="L263" t="s">
        <v>41</v>
      </c>
      <c r="M263" s="21">
        <v>73300</v>
      </c>
      <c r="N263" s="21">
        <v>1011539</v>
      </c>
      <c r="O263" s="21">
        <v>131940</v>
      </c>
      <c r="P263">
        <v>2</v>
      </c>
      <c r="Q263" t="s">
        <v>42</v>
      </c>
      <c r="R263" s="37">
        <v>3</v>
      </c>
      <c r="S263" s="37">
        <v>2</v>
      </c>
      <c r="T263" t="s">
        <v>94</v>
      </c>
      <c r="U263" t="s">
        <v>63</v>
      </c>
      <c r="V263" t="s">
        <v>45</v>
      </c>
    </row>
    <row r="264" spans="1:22" ht="15" customHeight="1" x14ac:dyDescent="0.3">
      <c r="A264" t="s">
        <v>592</v>
      </c>
      <c r="B264" s="20">
        <v>45841</v>
      </c>
      <c r="C264" t="s">
        <v>288</v>
      </c>
      <c r="D264" t="s">
        <v>35</v>
      </c>
      <c r="E264" s="37">
        <v>50</v>
      </c>
      <c r="F264" t="s">
        <v>36</v>
      </c>
      <c r="G264" t="s">
        <v>37</v>
      </c>
      <c r="H264" t="s">
        <v>66</v>
      </c>
      <c r="I264" t="s">
        <v>60</v>
      </c>
      <c r="J264" t="s">
        <v>149</v>
      </c>
      <c r="K264" s="37">
        <v>9</v>
      </c>
      <c r="L264" t="s">
        <v>52</v>
      </c>
      <c r="M264" s="21">
        <v>176000</v>
      </c>
      <c r="N264" s="21">
        <v>2323200</v>
      </c>
      <c r="O264" s="21">
        <v>211200</v>
      </c>
      <c r="P264">
        <v>4</v>
      </c>
      <c r="Q264" t="s">
        <v>126</v>
      </c>
      <c r="R264" s="37">
        <v>0</v>
      </c>
      <c r="S264" s="37">
        <v>23</v>
      </c>
      <c r="T264" t="s">
        <v>94</v>
      </c>
      <c r="U264" t="s">
        <v>44</v>
      </c>
      <c r="V264" t="s">
        <v>45</v>
      </c>
    </row>
    <row r="265" spans="1:22" ht="15" customHeight="1" x14ac:dyDescent="0.3">
      <c r="A265" t="s">
        <v>593</v>
      </c>
      <c r="B265" s="20">
        <v>45677</v>
      </c>
      <c r="C265" t="s">
        <v>594</v>
      </c>
      <c r="D265" t="s">
        <v>35</v>
      </c>
      <c r="E265" s="37">
        <v>50</v>
      </c>
      <c r="F265" t="s">
        <v>80</v>
      </c>
      <c r="G265" t="s">
        <v>81</v>
      </c>
      <c r="H265" t="s">
        <v>66</v>
      </c>
      <c r="I265" t="s">
        <v>39</v>
      </c>
      <c r="J265" t="s">
        <v>93</v>
      </c>
      <c r="K265" s="37">
        <v>22</v>
      </c>
      <c r="L265" t="s">
        <v>120</v>
      </c>
      <c r="M265" s="21">
        <v>39200</v>
      </c>
      <c r="N265" s="21">
        <v>540960</v>
      </c>
      <c r="O265" s="21">
        <v>70560</v>
      </c>
      <c r="P265">
        <v>5</v>
      </c>
      <c r="Q265" t="s">
        <v>42</v>
      </c>
      <c r="R265" s="37">
        <v>2</v>
      </c>
      <c r="S265" s="37">
        <v>18</v>
      </c>
      <c r="T265" t="s">
        <v>175</v>
      </c>
      <c r="U265" t="s">
        <v>44</v>
      </c>
      <c r="V265" t="s">
        <v>45</v>
      </c>
    </row>
    <row r="266" spans="1:22" ht="15" customHeight="1" x14ac:dyDescent="0.3">
      <c r="A266" t="s">
        <v>595</v>
      </c>
      <c r="B266" s="20">
        <v>45784</v>
      </c>
      <c r="C266" t="s">
        <v>596</v>
      </c>
      <c r="D266" t="s">
        <v>48</v>
      </c>
      <c r="E266" s="37">
        <v>22</v>
      </c>
      <c r="F266" t="s">
        <v>80</v>
      </c>
      <c r="G266" t="s">
        <v>81</v>
      </c>
      <c r="H266" t="s">
        <v>66</v>
      </c>
      <c r="I266" t="s">
        <v>75</v>
      </c>
      <c r="J266" t="s">
        <v>149</v>
      </c>
      <c r="K266" s="37">
        <v>26</v>
      </c>
      <c r="L266" t="s">
        <v>41</v>
      </c>
      <c r="M266" s="21">
        <v>83600</v>
      </c>
      <c r="N266" s="21">
        <v>1133616</v>
      </c>
      <c r="O266" s="21">
        <v>130416</v>
      </c>
      <c r="P266">
        <v>4</v>
      </c>
      <c r="Q266" t="s">
        <v>42</v>
      </c>
      <c r="R266" s="37">
        <v>10</v>
      </c>
      <c r="S266" s="37">
        <v>16</v>
      </c>
      <c r="T266" t="s">
        <v>175</v>
      </c>
      <c r="U266" t="s">
        <v>138</v>
      </c>
      <c r="V266" t="s">
        <v>45</v>
      </c>
    </row>
    <row r="267" spans="1:22" ht="15" customHeight="1" x14ac:dyDescent="0.3">
      <c r="A267" t="s">
        <v>597</v>
      </c>
      <c r="B267" s="20">
        <v>45861</v>
      </c>
      <c r="C267" t="s">
        <v>598</v>
      </c>
      <c r="D267" t="s">
        <v>35</v>
      </c>
      <c r="E267" s="37">
        <v>25</v>
      </c>
      <c r="F267" t="s">
        <v>57</v>
      </c>
      <c r="G267" t="s">
        <v>58</v>
      </c>
      <c r="H267" t="s">
        <v>59</v>
      </c>
      <c r="I267" t="s">
        <v>75</v>
      </c>
      <c r="J267" t="s">
        <v>141</v>
      </c>
      <c r="K267" s="37">
        <v>28</v>
      </c>
      <c r="L267" t="s">
        <v>52</v>
      </c>
      <c r="M267" s="21">
        <v>92400</v>
      </c>
      <c r="N267" s="21">
        <v>1275120</v>
      </c>
      <c r="O267" s="21">
        <v>166320</v>
      </c>
      <c r="P267">
        <v>3</v>
      </c>
      <c r="Q267" t="s">
        <v>42</v>
      </c>
      <c r="R267" s="37">
        <v>14</v>
      </c>
      <c r="S267" s="37">
        <v>5</v>
      </c>
      <c r="T267" t="s">
        <v>105</v>
      </c>
      <c r="U267" t="s">
        <v>44</v>
      </c>
      <c r="V267" t="s">
        <v>69</v>
      </c>
    </row>
    <row r="268" spans="1:22" ht="15" customHeight="1" x14ac:dyDescent="0.3">
      <c r="A268" t="s">
        <v>599</v>
      </c>
      <c r="B268" s="20">
        <v>45689</v>
      </c>
      <c r="C268" t="s">
        <v>600</v>
      </c>
      <c r="D268" t="s">
        <v>35</v>
      </c>
      <c r="E268" s="37">
        <v>48</v>
      </c>
      <c r="F268" t="s">
        <v>49</v>
      </c>
      <c r="G268" t="s">
        <v>50</v>
      </c>
      <c r="H268" t="s">
        <v>74</v>
      </c>
      <c r="I268" t="s">
        <v>75</v>
      </c>
      <c r="J268" t="s">
        <v>83</v>
      </c>
      <c r="K268" s="37">
        <v>24</v>
      </c>
      <c r="L268" t="s">
        <v>52</v>
      </c>
      <c r="M268" s="21">
        <v>96500</v>
      </c>
      <c r="N268" s="21">
        <v>1354860</v>
      </c>
      <c r="O268" s="21">
        <v>196860</v>
      </c>
      <c r="P268">
        <v>4</v>
      </c>
      <c r="Q268" t="s">
        <v>42</v>
      </c>
      <c r="R268" s="37">
        <v>15</v>
      </c>
      <c r="S268" s="37">
        <v>13</v>
      </c>
      <c r="T268" t="s">
        <v>129</v>
      </c>
      <c r="U268" t="s">
        <v>63</v>
      </c>
      <c r="V268" t="s">
        <v>45</v>
      </c>
    </row>
    <row r="269" spans="1:22" ht="15" customHeight="1" x14ac:dyDescent="0.3">
      <c r="A269" t="s">
        <v>601</v>
      </c>
      <c r="B269" s="20">
        <v>45949</v>
      </c>
      <c r="C269" t="s">
        <v>602</v>
      </c>
      <c r="D269" t="s">
        <v>48</v>
      </c>
      <c r="E269" s="37">
        <v>53</v>
      </c>
      <c r="F269" t="s">
        <v>86</v>
      </c>
      <c r="G269" t="s">
        <v>87</v>
      </c>
      <c r="H269" t="s">
        <v>118</v>
      </c>
      <c r="I269" t="s">
        <v>60</v>
      </c>
      <c r="J269" t="s">
        <v>219</v>
      </c>
      <c r="K269" s="37">
        <v>13</v>
      </c>
      <c r="L269" t="s">
        <v>52</v>
      </c>
      <c r="M269" s="21">
        <v>150700</v>
      </c>
      <c r="N269" s="21">
        <v>2061576</v>
      </c>
      <c r="O269" s="21">
        <v>253176</v>
      </c>
      <c r="P269">
        <v>4</v>
      </c>
      <c r="Q269" t="s">
        <v>42</v>
      </c>
      <c r="R269" s="37">
        <v>20</v>
      </c>
      <c r="S269" s="37">
        <v>16</v>
      </c>
      <c r="T269" t="s">
        <v>68</v>
      </c>
      <c r="U269" t="s">
        <v>44</v>
      </c>
      <c r="V269" t="s">
        <v>69</v>
      </c>
    </row>
    <row r="270" spans="1:22" ht="15" customHeight="1" x14ac:dyDescent="0.3">
      <c r="A270" t="s">
        <v>603</v>
      </c>
      <c r="B270" s="20">
        <v>45783</v>
      </c>
      <c r="C270" t="s">
        <v>604</v>
      </c>
      <c r="D270" t="s">
        <v>48</v>
      </c>
      <c r="E270" s="37">
        <v>53</v>
      </c>
      <c r="F270" t="s">
        <v>108</v>
      </c>
      <c r="G270" t="s">
        <v>109</v>
      </c>
      <c r="H270" t="s">
        <v>38</v>
      </c>
      <c r="I270" t="s">
        <v>82</v>
      </c>
      <c r="J270" t="s">
        <v>134</v>
      </c>
      <c r="K270" s="37">
        <v>1</v>
      </c>
      <c r="L270" t="s">
        <v>52</v>
      </c>
      <c r="M270" s="21">
        <v>58100</v>
      </c>
      <c r="N270" s="21">
        <v>773892</v>
      </c>
      <c r="O270" s="21">
        <v>76692</v>
      </c>
      <c r="P270">
        <v>3</v>
      </c>
      <c r="Q270" t="s">
        <v>42</v>
      </c>
      <c r="R270" s="37">
        <v>0</v>
      </c>
      <c r="S270" s="37">
        <v>10</v>
      </c>
      <c r="T270" t="s">
        <v>129</v>
      </c>
      <c r="U270" t="s">
        <v>63</v>
      </c>
      <c r="V270" t="s">
        <v>69</v>
      </c>
    </row>
    <row r="271" spans="1:22" ht="15" customHeight="1" x14ac:dyDescent="0.3">
      <c r="A271" t="s">
        <v>605</v>
      </c>
      <c r="B271" s="20">
        <v>45879</v>
      </c>
      <c r="C271" t="s">
        <v>606</v>
      </c>
      <c r="D271" t="s">
        <v>35</v>
      </c>
      <c r="E271" s="37">
        <v>54</v>
      </c>
      <c r="F271" t="s">
        <v>108</v>
      </c>
      <c r="G271" t="s">
        <v>109</v>
      </c>
      <c r="H271" t="s">
        <v>38</v>
      </c>
      <c r="I271" t="s">
        <v>60</v>
      </c>
      <c r="J271" t="s">
        <v>99</v>
      </c>
      <c r="K271" s="37">
        <v>27</v>
      </c>
      <c r="L271" t="s">
        <v>52</v>
      </c>
      <c r="M271" s="21">
        <v>126400</v>
      </c>
      <c r="N271" s="21">
        <v>1804992</v>
      </c>
      <c r="O271" s="21">
        <v>288192</v>
      </c>
      <c r="P271">
        <v>3</v>
      </c>
      <c r="Q271" t="s">
        <v>42</v>
      </c>
      <c r="R271" s="37">
        <v>7</v>
      </c>
      <c r="S271" s="37">
        <v>10</v>
      </c>
      <c r="T271" t="s">
        <v>146</v>
      </c>
      <c r="U271" t="s">
        <v>63</v>
      </c>
      <c r="V271" t="s">
        <v>45</v>
      </c>
    </row>
    <row r="272" spans="1:22" ht="15" customHeight="1" x14ac:dyDescent="0.3">
      <c r="A272" t="s">
        <v>607</v>
      </c>
      <c r="B272" s="20">
        <v>45955</v>
      </c>
      <c r="C272" t="s">
        <v>608</v>
      </c>
      <c r="D272" t="s">
        <v>35</v>
      </c>
      <c r="E272" s="37">
        <v>41</v>
      </c>
      <c r="F272" t="s">
        <v>36</v>
      </c>
      <c r="G272" t="s">
        <v>37</v>
      </c>
      <c r="H272" t="s">
        <v>59</v>
      </c>
      <c r="I272" t="s">
        <v>39</v>
      </c>
      <c r="J272" t="s">
        <v>104</v>
      </c>
      <c r="K272" s="37">
        <v>28</v>
      </c>
      <c r="L272" t="s">
        <v>52</v>
      </c>
      <c r="M272" s="21">
        <v>39600</v>
      </c>
      <c r="N272" s="21">
        <v>551232</v>
      </c>
      <c r="O272" s="21">
        <v>76032</v>
      </c>
      <c r="P272">
        <v>4</v>
      </c>
      <c r="Q272" t="s">
        <v>42</v>
      </c>
      <c r="R272" s="37">
        <v>8</v>
      </c>
      <c r="S272" s="37">
        <v>12</v>
      </c>
      <c r="T272" t="s">
        <v>146</v>
      </c>
      <c r="U272" t="s">
        <v>54</v>
      </c>
      <c r="V272" t="s">
        <v>69</v>
      </c>
    </row>
    <row r="273" spans="1:22" ht="15" customHeight="1" x14ac:dyDescent="0.3">
      <c r="A273" t="s">
        <v>609</v>
      </c>
      <c r="B273" s="20">
        <v>45763</v>
      </c>
      <c r="C273" t="s">
        <v>610</v>
      </c>
      <c r="D273" t="s">
        <v>48</v>
      </c>
      <c r="E273" s="37">
        <v>39</v>
      </c>
      <c r="F273" t="s">
        <v>36</v>
      </c>
      <c r="G273" t="s">
        <v>37</v>
      </c>
      <c r="H273" t="s">
        <v>38</v>
      </c>
      <c r="I273" t="s">
        <v>60</v>
      </c>
      <c r="J273" t="s">
        <v>40</v>
      </c>
      <c r="K273" s="37">
        <v>16</v>
      </c>
      <c r="L273" t="s">
        <v>52</v>
      </c>
      <c r="M273" s="21">
        <v>132900</v>
      </c>
      <c r="N273" s="21">
        <v>1754280</v>
      </c>
      <c r="O273" s="21">
        <v>159480</v>
      </c>
      <c r="P273">
        <v>4</v>
      </c>
      <c r="Q273" t="s">
        <v>42</v>
      </c>
      <c r="R273" s="37">
        <v>2</v>
      </c>
      <c r="S273" s="37">
        <v>7</v>
      </c>
      <c r="T273" t="s">
        <v>53</v>
      </c>
      <c r="U273" t="s">
        <v>63</v>
      </c>
      <c r="V273" t="s">
        <v>45</v>
      </c>
    </row>
    <row r="274" spans="1:22" ht="15" customHeight="1" x14ac:dyDescent="0.3">
      <c r="A274" t="s">
        <v>611</v>
      </c>
      <c r="B274" s="20">
        <v>45736</v>
      </c>
      <c r="C274" t="s">
        <v>612</v>
      </c>
      <c r="D274" t="s">
        <v>35</v>
      </c>
      <c r="E274" s="37">
        <v>46</v>
      </c>
      <c r="F274" t="s">
        <v>49</v>
      </c>
      <c r="G274" t="s">
        <v>50</v>
      </c>
      <c r="H274" t="s">
        <v>38</v>
      </c>
      <c r="I274" t="s">
        <v>82</v>
      </c>
      <c r="J274" t="s">
        <v>190</v>
      </c>
      <c r="K274" s="37">
        <v>6</v>
      </c>
      <c r="L274" t="s">
        <v>52</v>
      </c>
      <c r="M274" s="21">
        <v>60700</v>
      </c>
      <c r="N274" s="21">
        <v>786672</v>
      </c>
      <c r="O274" s="21">
        <v>58272</v>
      </c>
      <c r="P274">
        <v>4</v>
      </c>
      <c r="Q274" t="s">
        <v>42</v>
      </c>
      <c r="R274" s="37">
        <v>13</v>
      </c>
      <c r="S274" s="37">
        <v>6</v>
      </c>
      <c r="T274" t="s">
        <v>68</v>
      </c>
      <c r="U274" t="s">
        <v>63</v>
      </c>
      <c r="V274" t="s">
        <v>45</v>
      </c>
    </row>
    <row r="275" spans="1:22" ht="15" customHeight="1" x14ac:dyDescent="0.3">
      <c r="A275" t="s">
        <v>613</v>
      </c>
      <c r="B275" s="20">
        <v>45993</v>
      </c>
      <c r="C275" t="s">
        <v>614</v>
      </c>
      <c r="D275" t="s">
        <v>35</v>
      </c>
      <c r="E275" s="37">
        <v>35</v>
      </c>
      <c r="F275" t="s">
        <v>108</v>
      </c>
      <c r="G275" t="s">
        <v>109</v>
      </c>
      <c r="H275" t="s">
        <v>118</v>
      </c>
      <c r="I275" t="s">
        <v>82</v>
      </c>
      <c r="J275" t="s">
        <v>219</v>
      </c>
      <c r="K275" s="37">
        <v>13</v>
      </c>
      <c r="L275" t="s">
        <v>52</v>
      </c>
      <c r="M275" s="21">
        <v>53700</v>
      </c>
      <c r="N275" s="21">
        <v>689508</v>
      </c>
      <c r="O275" s="21">
        <v>45108</v>
      </c>
      <c r="P275">
        <v>3</v>
      </c>
      <c r="Q275" t="s">
        <v>126</v>
      </c>
      <c r="R275" s="37">
        <v>1</v>
      </c>
      <c r="S275" s="37">
        <v>8</v>
      </c>
      <c r="T275" t="s">
        <v>94</v>
      </c>
      <c r="U275" t="s">
        <v>44</v>
      </c>
      <c r="V275" t="s">
        <v>45</v>
      </c>
    </row>
    <row r="276" spans="1:22" ht="15" customHeight="1" x14ac:dyDescent="0.3">
      <c r="A276" t="s">
        <v>615</v>
      </c>
      <c r="B276" s="20">
        <v>45722</v>
      </c>
      <c r="C276" t="s">
        <v>616</v>
      </c>
      <c r="D276" t="s">
        <v>35</v>
      </c>
      <c r="E276" s="37">
        <v>33</v>
      </c>
      <c r="F276" t="s">
        <v>72</v>
      </c>
      <c r="G276" t="s">
        <v>73</v>
      </c>
      <c r="H276" t="s">
        <v>74</v>
      </c>
      <c r="I276" t="s">
        <v>51</v>
      </c>
      <c r="J276" t="s">
        <v>83</v>
      </c>
      <c r="K276" s="37">
        <v>1</v>
      </c>
      <c r="L276" t="s">
        <v>120</v>
      </c>
      <c r="M276" s="21">
        <v>239500</v>
      </c>
      <c r="N276" s="21">
        <v>3218880</v>
      </c>
      <c r="O276" s="21">
        <v>344880</v>
      </c>
      <c r="P276">
        <v>3</v>
      </c>
      <c r="Q276" t="s">
        <v>126</v>
      </c>
      <c r="R276" s="37">
        <v>19</v>
      </c>
      <c r="S276" s="37">
        <v>29</v>
      </c>
      <c r="T276" t="s">
        <v>146</v>
      </c>
      <c r="U276" t="s">
        <v>44</v>
      </c>
      <c r="V276" t="s">
        <v>69</v>
      </c>
    </row>
    <row r="277" spans="1:22" ht="15" customHeight="1" x14ac:dyDescent="0.3">
      <c r="A277" t="s">
        <v>617</v>
      </c>
      <c r="B277" s="20">
        <v>45954</v>
      </c>
      <c r="C277" t="s">
        <v>618</v>
      </c>
      <c r="D277" t="s">
        <v>35</v>
      </c>
      <c r="E277" s="37">
        <v>28</v>
      </c>
      <c r="F277" t="s">
        <v>36</v>
      </c>
      <c r="G277" t="s">
        <v>37</v>
      </c>
      <c r="H277" t="s">
        <v>38</v>
      </c>
      <c r="I277" t="s">
        <v>82</v>
      </c>
      <c r="J277" t="s">
        <v>134</v>
      </c>
      <c r="K277" s="37">
        <v>4</v>
      </c>
      <c r="L277" t="s">
        <v>52</v>
      </c>
      <c r="M277" s="21">
        <v>58500</v>
      </c>
      <c r="N277" s="21">
        <v>807299</v>
      </c>
      <c r="O277" s="21">
        <v>105300</v>
      </c>
      <c r="P277">
        <v>3</v>
      </c>
      <c r="Q277" t="s">
        <v>42</v>
      </c>
      <c r="R277" s="37">
        <v>20</v>
      </c>
      <c r="S277" s="37">
        <v>7</v>
      </c>
      <c r="T277" t="s">
        <v>146</v>
      </c>
      <c r="U277" t="s">
        <v>138</v>
      </c>
      <c r="V277" t="s">
        <v>45</v>
      </c>
    </row>
    <row r="278" spans="1:22" ht="15" customHeight="1" x14ac:dyDescent="0.3">
      <c r="A278" t="s">
        <v>619</v>
      </c>
      <c r="B278" s="20">
        <v>45765</v>
      </c>
      <c r="C278" t="s">
        <v>620</v>
      </c>
      <c r="D278" t="s">
        <v>48</v>
      </c>
      <c r="E278" s="37">
        <v>31</v>
      </c>
      <c r="F278" t="s">
        <v>97</v>
      </c>
      <c r="G278" t="s">
        <v>98</v>
      </c>
      <c r="H278" t="s">
        <v>66</v>
      </c>
      <c r="I278" t="s">
        <v>39</v>
      </c>
      <c r="J278" t="s">
        <v>161</v>
      </c>
      <c r="K278" s="37">
        <v>9</v>
      </c>
      <c r="L278" t="s">
        <v>52</v>
      </c>
      <c r="M278" s="21">
        <v>36100</v>
      </c>
      <c r="N278" s="21">
        <v>476520</v>
      </c>
      <c r="O278" s="21">
        <v>43320</v>
      </c>
      <c r="P278">
        <v>4</v>
      </c>
      <c r="Q278" t="s">
        <v>42</v>
      </c>
      <c r="R278" s="37">
        <v>3</v>
      </c>
      <c r="S278" s="37">
        <v>12</v>
      </c>
      <c r="T278" t="s">
        <v>62</v>
      </c>
      <c r="U278" t="s">
        <v>44</v>
      </c>
      <c r="V278" t="s">
        <v>45</v>
      </c>
    </row>
    <row r="279" spans="1:22" ht="15" customHeight="1" x14ac:dyDescent="0.3">
      <c r="A279" t="s">
        <v>621</v>
      </c>
      <c r="B279" s="20">
        <v>45757</v>
      </c>
      <c r="C279" t="s">
        <v>622</v>
      </c>
      <c r="D279" t="s">
        <v>48</v>
      </c>
      <c r="E279" s="37">
        <v>38</v>
      </c>
      <c r="F279" t="s">
        <v>49</v>
      </c>
      <c r="G279" t="s">
        <v>50</v>
      </c>
      <c r="H279" t="s">
        <v>59</v>
      </c>
      <c r="I279" t="s">
        <v>39</v>
      </c>
      <c r="J279" t="s">
        <v>61</v>
      </c>
      <c r="K279" s="37">
        <v>10</v>
      </c>
      <c r="L279" t="s">
        <v>52</v>
      </c>
      <c r="M279" s="21">
        <v>35100</v>
      </c>
      <c r="N279" s="21">
        <v>471744</v>
      </c>
      <c r="O279" s="21">
        <v>50544</v>
      </c>
      <c r="P279">
        <v>4</v>
      </c>
      <c r="Q279" t="s">
        <v>42</v>
      </c>
      <c r="R279" s="37">
        <v>20</v>
      </c>
      <c r="S279" s="37">
        <v>35</v>
      </c>
      <c r="T279" t="s">
        <v>129</v>
      </c>
      <c r="U279" t="s">
        <v>138</v>
      </c>
      <c r="V279" t="s">
        <v>69</v>
      </c>
    </row>
    <row r="280" spans="1:22" ht="15" customHeight="1" x14ac:dyDescent="0.3">
      <c r="A280" t="s">
        <v>623</v>
      </c>
      <c r="B280" s="20">
        <v>45734</v>
      </c>
      <c r="C280" t="s">
        <v>112</v>
      </c>
      <c r="D280" t="s">
        <v>35</v>
      </c>
      <c r="E280" s="37">
        <v>42</v>
      </c>
      <c r="F280" t="s">
        <v>97</v>
      </c>
      <c r="G280" t="s">
        <v>98</v>
      </c>
      <c r="H280" t="s">
        <v>66</v>
      </c>
      <c r="I280" t="s">
        <v>82</v>
      </c>
      <c r="J280" t="s">
        <v>149</v>
      </c>
      <c r="K280" s="37">
        <v>23</v>
      </c>
      <c r="L280" t="s">
        <v>52</v>
      </c>
      <c r="M280" s="21">
        <v>61000</v>
      </c>
      <c r="N280" s="21">
        <v>849119</v>
      </c>
      <c r="O280" s="21">
        <v>117120</v>
      </c>
      <c r="P280">
        <v>5</v>
      </c>
      <c r="Q280" t="s">
        <v>42</v>
      </c>
      <c r="R280" s="37">
        <v>11</v>
      </c>
      <c r="S280" s="37">
        <v>9</v>
      </c>
      <c r="T280" t="s">
        <v>94</v>
      </c>
      <c r="U280" t="s">
        <v>44</v>
      </c>
      <c r="V280" t="s">
        <v>69</v>
      </c>
    </row>
    <row r="281" spans="1:22" ht="15" customHeight="1" x14ac:dyDescent="0.3">
      <c r="A281" t="s">
        <v>624</v>
      </c>
      <c r="B281" s="20">
        <v>45713</v>
      </c>
      <c r="C281" t="s">
        <v>625</v>
      </c>
      <c r="D281" t="s">
        <v>35</v>
      </c>
      <c r="E281" s="37">
        <v>29</v>
      </c>
      <c r="F281" t="s">
        <v>36</v>
      </c>
      <c r="G281" t="s">
        <v>37</v>
      </c>
      <c r="H281" t="s">
        <v>66</v>
      </c>
      <c r="I281" t="s">
        <v>75</v>
      </c>
      <c r="J281" t="s">
        <v>161</v>
      </c>
      <c r="K281" s="37">
        <v>26</v>
      </c>
      <c r="L281" t="s">
        <v>52</v>
      </c>
      <c r="M281" s="21">
        <v>112400</v>
      </c>
      <c r="N281" s="21">
        <v>1510656</v>
      </c>
      <c r="O281" s="21">
        <v>161856</v>
      </c>
      <c r="P281">
        <v>5</v>
      </c>
      <c r="Q281" t="s">
        <v>126</v>
      </c>
      <c r="R281" s="37">
        <v>9</v>
      </c>
      <c r="S281" s="37">
        <v>31</v>
      </c>
      <c r="T281" t="s">
        <v>129</v>
      </c>
      <c r="U281" t="s">
        <v>63</v>
      </c>
      <c r="V281" t="s">
        <v>69</v>
      </c>
    </row>
    <row r="282" spans="1:22" ht="15" customHeight="1" x14ac:dyDescent="0.3">
      <c r="A282" t="s">
        <v>626</v>
      </c>
      <c r="B282" s="20">
        <v>45963</v>
      </c>
      <c r="C282" t="s">
        <v>627</v>
      </c>
      <c r="D282" t="s">
        <v>35</v>
      </c>
      <c r="E282" s="37">
        <v>54</v>
      </c>
      <c r="F282" t="s">
        <v>36</v>
      </c>
      <c r="G282" t="s">
        <v>37</v>
      </c>
      <c r="H282" t="s">
        <v>38</v>
      </c>
      <c r="I282" t="s">
        <v>39</v>
      </c>
      <c r="J282" t="s">
        <v>190</v>
      </c>
      <c r="K282" s="37">
        <v>1</v>
      </c>
      <c r="L282" t="s">
        <v>52</v>
      </c>
      <c r="M282" s="21">
        <v>41800</v>
      </c>
      <c r="N282" s="21">
        <v>551760</v>
      </c>
      <c r="O282" s="21">
        <v>50160</v>
      </c>
      <c r="P282">
        <v>4</v>
      </c>
      <c r="Q282" t="s">
        <v>42</v>
      </c>
      <c r="R282" s="37">
        <v>7</v>
      </c>
      <c r="S282" s="37">
        <v>29</v>
      </c>
      <c r="T282" t="s">
        <v>146</v>
      </c>
      <c r="U282" t="s">
        <v>44</v>
      </c>
      <c r="V282" t="s">
        <v>45</v>
      </c>
    </row>
    <row r="283" spans="1:22" ht="15" customHeight="1" x14ac:dyDescent="0.3">
      <c r="A283" t="s">
        <v>628</v>
      </c>
      <c r="B283" s="20">
        <v>45821</v>
      </c>
      <c r="C283" t="s">
        <v>546</v>
      </c>
      <c r="D283" t="s">
        <v>48</v>
      </c>
      <c r="E283" s="37">
        <v>34</v>
      </c>
      <c r="F283" t="s">
        <v>72</v>
      </c>
      <c r="G283" t="s">
        <v>73</v>
      </c>
      <c r="H283" t="s">
        <v>66</v>
      </c>
      <c r="I283" t="s">
        <v>60</v>
      </c>
      <c r="J283" t="s">
        <v>93</v>
      </c>
      <c r="K283" s="37">
        <v>4</v>
      </c>
      <c r="L283" t="s">
        <v>52</v>
      </c>
      <c r="M283" s="21">
        <v>139100</v>
      </c>
      <c r="N283" s="21">
        <v>1819428</v>
      </c>
      <c r="O283" s="21">
        <v>150228</v>
      </c>
      <c r="P283">
        <v>3</v>
      </c>
      <c r="Q283" t="s">
        <v>126</v>
      </c>
      <c r="R283" s="37">
        <v>1</v>
      </c>
      <c r="S283" s="37">
        <v>7</v>
      </c>
      <c r="T283" t="s">
        <v>62</v>
      </c>
      <c r="U283" t="s">
        <v>54</v>
      </c>
      <c r="V283" t="s">
        <v>45</v>
      </c>
    </row>
    <row r="284" spans="1:22" ht="15" customHeight="1" x14ac:dyDescent="0.3">
      <c r="A284" t="s">
        <v>629</v>
      </c>
      <c r="B284" s="20">
        <v>45790</v>
      </c>
      <c r="C284" t="s">
        <v>269</v>
      </c>
      <c r="D284" t="s">
        <v>35</v>
      </c>
      <c r="E284" s="37">
        <v>33</v>
      </c>
      <c r="F284" t="s">
        <v>86</v>
      </c>
      <c r="G284" t="s">
        <v>87</v>
      </c>
      <c r="H284" t="s">
        <v>38</v>
      </c>
      <c r="I284" t="s">
        <v>51</v>
      </c>
      <c r="J284" t="s">
        <v>190</v>
      </c>
      <c r="K284" s="37">
        <v>4</v>
      </c>
      <c r="L284" t="s">
        <v>52</v>
      </c>
      <c r="M284" s="21">
        <v>185100</v>
      </c>
      <c r="N284" s="21">
        <v>2554380</v>
      </c>
      <c r="O284" s="21">
        <v>333180</v>
      </c>
      <c r="P284">
        <v>5</v>
      </c>
      <c r="Q284" t="s">
        <v>42</v>
      </c>
      <c r="R284" s="37">
        <v>15</v>
      </c>
      <c r="S284" s="37">
        <v>22</v>
      </c>
      <c r="T284" t="s">
        <v>77</v>
      </c>
      <c r="U284" t="s">
        <v>63</v>
      </c>
      <c r="V284" t="s">
        <v>45</v>
      </c>
    </row>
    <row r="285" spans="1:22" ht="15" customHeight="1" x14ac:dyDescent="0.3">
      <c r="A285" t="s">
        <v>630</v>
      </c>
      <c r="B285" s="20">
        <v>45800</v>
      </c>
      <c r="C285" t="s">
        <v>571</v>
      </c>
      <c r="D285" t="s">
        <v>48</v>
      </c>
      <c r="E285" s="37">
        <v>34</v>
      </c>
      <c r="F285" t="s">
        <v>91</v>
      </c>
      <c r="G285" t="s">
        <v>92</v>
      </c>
      <c r="H285" t="s">
        <v>38</v>
      </c>
      <c r="I285" t="s">
        <v>39</v>
      </c>
      <c r="J285" t="s">
        <v>134</v>
      </c>
      <c r="K285" s="37">
        <v>23</v>
      </c>
      <c r="L285" t="s">
        <v>41</v>
      </c>
      <c r="M285" s="21">
        <v>40300</v>
      </c>
      <c r="N285" s="21">
        <v>556140</v>
      </c>
      <c r="O285" s="21">
        <v>72540</v>
      </c>
      <c r="P285">
        <v>3</v>
      </c>
      <c r="Q285" t="s">
        <v>42</v>
      </c>
      <c r="R285" s="37">
        <v>20</v>
      </c>
      <c r="S285" s="37">
        <v>5</v>
      </c>
      <c r="T285" t="s">
        <v>68</v>
      </c>
      <c r="U285" t="s">
        <v>44</v>
      </c>
      <c r="V285" t="s">
        <v>45</v>
      </c>
    </row>
    <row r="286" spans="1:22" ht="15" customHeight="1" x14ac:dyDescent="0.3">
      <c r="A286" t="s">
        <v>631</v>
      </c>
      <c r="B286" s="20">
        <v>45832</v>
      </c>
      <c r="C286" t="s">
        <v>528</v>
      </c>
      <c r="D286" t="s">
        <v>35</v>
      </c>
      <c r="E286" s="37">
        <v>48</v>
      </c>
      <c r="F286" t="s">
        <v>57</v>
      </c>
      <c r="G286" t="s">
        <v>58</v>
      </c>
      <c r="H286" t="s">
        <v>38</v>
      </c>
      <c r="I286" t="s">
        <v>39</v>
      </c>
      <c r="J286" t="s">
        <v>190</v>
      </c>
      <c r="K286" s="37">
        <v>30</v>
      </c>
      <c r="L286" t="s">
        <v>52</v>
      </c>
      <c r="M286" s="21">
        <v>37600</v>
      </c>
      <c r="N286" s="21">
        <v>473760</v>
      </c>
      <c r="O286" s="21">
        <v>22560</v>
      </c>
      <c r="P286">
        <v>2</v>
      </c>
      <c r="Q286" t="s">
        <v>42</v>
      </c>
      <c r="R286" s="37">
        <v>4</v>
      </c>
      <c r="S286" s="37">
        <v>32</v>
      </c>
      <c r="T286" t="s">
        <v>175</v>
      </c>
      <c r="U286" t="s">
        <v>63</v>
      </c>
      <c r="V286" t="s">
        <v>45</v>
      </c>
    </row>
    <row r="287" spans="1:22" ht="15" customHeight="1" x14ac:dyDescent="0.3">
      <c r="A287" t="s">
        <v>632</v>
      </c>
      <c r="B287" s="20">
        <v>45738</v>
      </c>
      <c r="C287" t="s">
        <v>598</v>
      </c>
      <c r="D287" t="s">
        <v>35</v>
      </c>
      <c r="E287" s="37">
        <v>55</v>
      </c>
      <c r="F287" t="s">
        <v>57</v>
      </c>
      <c r="G287" t="s">
        <v>58</v>
      </c>
      <c r="H287" t="s">
        <v>118</v>
      </c>
      <c r="I287" t="s">
        <v>75</v>
      </c>
      <c r="J287" t="s">
        <v>182</v>
      </c>
      <c r="K287" s="37">
        <v>9</v>
      </c>
      <c r="L287" t="s">
        <v>52</v>
      </c>
      <c r="M287" s="21">
        <v>88900</v>
      </c>
      <c r="N287" s="21">
        <v>1152144</v>
      </c>
      <c r="O287" s="21">
        <v>85344</v>
      </c>
      <c r="P287">
        <v>4</v>
      </c>
      <c r="Q287" t="s">
        <v>42</v>
      </c>
      <c r="R287" s="37">
        <v>18</v>
      </c>
      <c r="S287" s="37">
        <v>9</v>
      </c>
      <c r="T287" t="s">
        <v>175</v>
      </c>
      <c r="U287" t="s">
        <v>44</v>
      </c>
      <c r="V287" t="s">
        <v>69</v>
      </c>
    </row>
    <row r="288" spans="1:22" ht="15" customHeight="1" x14ac:dyDescent="0.3">
      <c r="A288" t="s">
        <v>633</v>
      </c>
      <c r="B288" s="20">
        <v>45703</v>
      </c>
      <c r="C288" t="s">
        <v>634</v>
      </c>
      <c r="D288" t="s">
        <v>35</v>
      </c>
      <c r="E288" s="37">
        <v>52</v>
      </c>
      <c r="F288" t="s">
        <v>86</v>
      </c>
      <c r="G288" t="s">
        <v>87</v>
      </c>
      <c r="H288" t="s">
        <v>38</v>
      </c>
      <c r="I288" t="s">
        <v>82</v>
      </c>
      <c r="J288" t="s">
        <v>110</v>
      </c>
      <c r="K288" s="37">
        <v>1</v>
      </c>
      <c r="L288" t="s">
        <v>52</v>
      </c>
      <c r="M288" s="21">
        <v>56300</v>
      </c>
      <c r="N288" s="21">
        <v>797208</v>
      </c>
      <c r="O288" s="21">
        <v>121608</v>
      </c>
      <c r="P288">
        <v>3</v>
      </c>
      <c r="Q288" t="s">
        <v>42</v>
      </c>
      <c r="R288" s="37">
        <v>1</v>
      </c>
      <c r="S288" s="37">
        <v>40</v>
      </c>
      <c r="T288" t="s">
        <v>53</v>
      </c>
      <c r="U288" t="s">
        <v>63</v>
      </c>
      <c r="V288" t="s">
        <v>69</v>
      </c>
    </row>
    <row r="289" spans="1:22" ht="15" customHeight="1" x14ac:dyDescent="0.3">
      <c r="A289" t="s">
        <v>635</v>
      </c>
      <c r="B289" s="20">
        <v>45904</v>
      </c>
      <c r="C289" t="s">
        <v>282</v>
      </c>
      <c r="D289" t="s">
        <v>35</v>
      </c>
      <c r="E289" s="37">
        <v>26</v>
      </c>
      <c r="F289" t="s">
        <v>86</v>
      </c>
      <c r="G289" t="s">
        <v>87</v>
      </c>
      <c r="H289" t="s">
        <v>66</v>
      </c>
      <c r="I289" t="s">
        <v>39</v>
      </c>
      <c r="J289" t="s">
        <v>93</v>
      </c>
      <c r="K289" s="37">
        <v>16</v>
      </c>
      <c r="L289" t="s">
        <v>52</v>
      </c>
      <c r="M289" s="21">
        <v>35100</v>
      </c>
      <c r="N289" s="21">
        <v>480168</v>
      </c>
      <c r="O289" s="21">
        <v>58968</v>
      </c>
      <c r="P289">
        <v>5</v>
      </c>
      <c r="Q289" t="s">
        <v>126</v>
      </c>
      <c r="R289" s="37">
        <v>16</v>
      </c>
      <c r="S289" s="37">
        <v>37</v>
      </c>
      <c r="T289" t="s">
        <v>94</v>
      </c>
      <c r="U289" t="s">
        <v>44</v>
      </c>
      <c r="V289" t="s">
        <v>45</v>
      </c>
    </row>
    <row r="290" spans="1:22" ht="15" customHeight="1" x14ac:dyDescent="0.3">
      <c r="A290" t="s">
        <v>636</v>
      </c>
      <c r="B290" s="20">
        <v>45750</v>
      </c>
      <c r="C290" t="s">
        <v>637</v>
      </c>
      <c r="D290" t="s">
        <v>35</v>
      </c>
      <c r="E290" s="37">
        <v>45</v>
      </c>
      <c r="F290" t="s">
        <v>72</v>
      </c>
      <c r="G290" t="s">
        <v>73</v>
      </c>
      <c r="H290" t="s">
        <v>59</v>
      </c>
      <c r="I290" t="s">
        <v>39</v>
      </c>
      <c r="J290" t="s">
        <v>61</v>
      </c>
      <c r="K290" s="37">
        <v>10</v>
      </c>
      <c r="L290" t="s">
        <v>52</v>
      </c>
      <c r="M290" s="21">
        <v>39000</v>
      </c>
      <c r="N290" s="21">
        <v>542880</v>
      </c>
      <c r="O290" s="21">
        <v>74880</v>
      </c>
      <c r="P290">
        <v>4</v>
      </c>
      <c r="Q290" t="s">
        <v>42</v>
      </c>
      <c r="R290" s="37">
        <v>14</v>
      </c>
      <c r="S290" s="37">
        <v>26</v>
      </c>
      <c r="T290" t="s">
        <v>53</v>
      </c>
      <c r="U290" t="s">
        <v>54</v>
      </c>
      <c r="V290" t="s">
        <v>69</v>
      </c>
    </row>
    <row r="291" spans="1:22" ht="15" customHeight="1" x14ac:dyDescent="0.3">
      <c r="A291" t="s">
        <v>638</v>
      </c>
      <c r="B291" s="20">
        <v>45702</v>
      </c>
      <c r="C291" t="s">
        <v>352</v>
      </c>
      <c r="D291" t="s">
        <v>48</v>
      </c>
      <c r="E291" s="37">
        <v>33</v>
      </c>
      <c r="F291" t="s">
        <v>57</v>
      </c>
      <c r="G291" t="s">
        <v>58</v>
      </c>
      <c r="H291" t="s">
        <v>38</v>
      </c>
      <c r="I291" t="s">
        <v>75</v>
      </c>
      <c r="J291" t="s">
        <v>110</v>
      </c>
      <c r="K291" s="37">
        <v>30</v>
      </c>
      <c r="L291" t="s">
        <v>52</v>
      </c>
      <c r="M291" s="21">
        <v>77600</v>
      </c>
      <c r="N291" s="21">
        <v>987072</v>
      </c>
      <c r="O291" s="21">
        <v>55872</v>
      </c>
      <c r="P291">
        <v>4</v>
      </c>
      <c r="Q291" t="s">
        <v>42</v>
      </c>
      <c r="R291" s="37">
        <v>20</v>
      </c>
      <c r="S291" s="37">
        <v>14</v>
      </c>
      <c r="T291" t="s">
        <v>68</v>
      </c>
      <c r="U291" t="s">
        <v>63</v>
      </c>
      <c r="V291" t="s">
        <v>45</v>
      </c>
    </row>
    <row r="292" spans="1:22" ht="15" customHeight="1" x14ac:dyDescent="0.3">
      <c r="A292" t="s">
        <v>639</v>
      </c>
      <c r="B292" s="20">
        <v>45785</v>
      </c>
      <c r="C292" t="s">
        <v>640</v>
      </c>
      <c r="D292" t="s">
        <v>35</v>
      </c>
      <c r="E292" s="37">
        <v>40</v>
      </c>
      <c r="F292" t="s">
        <v>57</v>
      </c>
      <c r="G292" t="s">
        <v>58</v>
      </c>
      <c r="H292" t="s">
        <v>38</v>
      </c>
      <c r="I292" t="s">
        <v>39</v>
      </c>
      <c r="J292" t="s">
        <v>40</v>
      </c>
      <c r="K292" s="37">
        <v>1</v>
      </c>
      <c r="L292" t="s">
        <v>41</v>
      </c>
      <c r="M292" s="21">
        <v>29800</v>
      </c>
      <c r="N292" s="21">
        <v>400512</v>
      </c>
      <c r="O292" s="21">
        <v>42912</v>
      </c>
      <c r="P292">
        <v>3</v>
      </c>
      <c r="Q292" t="s">
        <v>126</v>
      </c>
      <c r="R292" s="37">
        <v>9</v>
      </c>
      <c r="S292" s="37">
        <v>9</v>
      </c>
      <c r="T292" t="s">
        <v>43</v>
      </c>
      <c r="U292" t="s">
        <v>44</v>
      </c>
      <c r="V292" t="s">
        <v>45</v>
      </c>
    </row>
    <row r="293" spans="1:22" ht="15" customHeight="1" x14ac:dyDescent="0.3">
      <c r="A293" t="s">
        <v>641</v>
      </c>
      <c r="B293" s="20">
        <v>45668</v>
      </c>
      <c r="C293" t="s">
        <v>212</v>
      </c>
      <c r="D293" t="s">
        <v>35</v>
      </c>
      <c r="E293" s="37">
        <v>35</v>
      </c>
      <c r="F293" t="s">
        <v>36</v>
      </c>
      <c r="G293" t="s">
        <v>37</v>
      </c>
      <c r="H293" t="s">
        <v>74</v>
      </c>
      <c r="I293" t="s">
        <v>39</v>
      </c>
      <c r="J293" t="s">
        <v>152</v>
      </c>
      <c r="K293" s="37">
        <v>4</v>
      </c>
      <c r="L293" t="s">
        <v>52</v>
      </c>
      <c r="M293" s="21">
        <v>34900</v>
      </c>
      <c r="N293" s="21">
        <v>464868</v>
      </c>
      <c r="O293" s="21">
        <v>46068</v>
      </c>
      <c r="P293">
        <v>5</v>
      </c>
      <c r="Q293" t="s">
        <v>42</v>
      </c>
      <c r="R293" s="37">
        <v>18</v>
      </c>
      <c r="S293" s="37">
        <v>35</v>
      </c>
      <c r="T293" t="s">
        <v>62</v>
      </c>
      <c r="U293" t="s">
        <v>44</v>
      </c>
      <c r="V293" t="s">
        <v>45</v>
      </c>
    </row>
    <row r="294" spans="1:22" ht="15" customHeight="1" x14ac:dyDescent="0.3">
      <c r="A294" t="s">
        <v>642</v>
      </c>
      <c r="B294" s="20">
        <v>45717</v>
      </c>
      <c r="C294" t="s">
        <v>454</v>
      </c>
      <c r="D294" t="s">
        <v>35</v>
      </c>
      <c r="E294" s="37">
        <v>52</v>
      </c>
      <c r="F294" t="s">
        <v>97</v>
      </c>
      <c r="G294" t="s">
        <v>98</v>
      </c>
      <c r="H294" t="s">
        <v>118</v>
      </c>
      <c r="I294" t="s">
        <v>75</v>
      </c>
      <c r="J294" t="s">
        <v>182</v>
      </c>
      <c r="K294" s="37">
        <v>20</v>
      </c>
      <c r="L294" t="s">
        <v>120</v>
      </c>
      <c r="M294" s="21">
        <v>70400</v>
      </c>
      <c r="N294" s="21">
        <v>1005312</v>
      </c>
      <c r="O294" s="21">
        <v>160512</v>
      </c>
      <c r="P294">
        <v>2</v>
      </c>
      <c r="Q294" t="s">
        <v>42</v>
      </c>
      <c r="R294" s="37">
        <v>4</v>
      </c>
      <c r="S294" s="37">
        <v>20</v>
      </c>
      <c r="T294" t="s">
        <v>62</v>
      </c>
      <c r="U294" t="s">
        <v>44</v>
      </c>
      <c r="V294" t="s">
        <v>45</v>
      </c>
    </row>
    <row r="295" spans="1:22" ht="15" customHeight="1" x14ac:dyDescent="0.3">
      <c r="A295" t="s">
        <v>643</v>
      </c>
      <c r="B295" s="20">
        <v>45847</v>
      </c>
      <c r="C295" t="s">
        <v>338</v>
      </c>
      <c r="D295" t="s">
        <v>48</v>
      </c>
      <c r="E295" s="37">
        <v>42</v>
      </c>
      <c r="F295" t="s">
        <v>80</v>
      </c>
      <c r="G295" t="s">
        <v>81</v>
      </c>
      <c r="H295" t="s">
        <v>38</v>
      </c>
      <c r="I295" t="s">
        <v>39</v>
      </c>
      <c r="J295" t="s">
        <v>190</v>
      </c>
      <c r="K295" s="37">
        <v>5</v>
      </c>
      <c r="L295" t="s">
        <v>52</v>
      </c>
      <c r="M295" s="21">
        <v>30700</v>
      </c>
      <c r="N295" s="21">
        <v>394188</v>
      </c>
      <c r="O295" s="21">
        <v>25788</v>
      </c>
      <c r="P295">
        <v>5</v>
      </c>
      <c r="Q295" t="s">
        <v>42</v>
      </c>
      <c r="R295" s="37">
        <v>15</v>
      </c>
      <c r="S295" s="37">
        <v>22</v>
      </c>
      <c r="T295" t="s">
        <v>43</v>
      </c>
      <c r="U295" t="s">
        <v>44</v>
      </c>
      <c r="V295" t="s">
        <v>45</v>
      </c>
    </row>
    <row r="296" spans="1:22" ht="15" customHeight="1" x14ac:dyDescent="0.3">
      <c r="A296" t="s">
        <v>644</v>
      </c>
      <c r="B296" s="20">
        <v>45855</v>
      </c>
      <c r="C296" t="s">
        <v>645</v>
      </c>
      <c r="D296" t="s">
        <v>35</v>
      </c>
      <c r="E296" s="37">
        <v>40</v>
      </c>
      <c r="F296" t="s">
        <v>72</v>
      </c>
      <c r="G296" t="s">
        <v>73</v>
      </c>
      <c r="H296" t="s">
        <v>38</v>
      </c>
      <c r="I296" t="s">
        <v>39</v>
      </c>
      <c r="J296" t="s">
        <v>134</v>
      </c>
      <c r="K296" s="37">
        <v>26</v>
      </c>
      <c r="L296" t="s">
        <v>52</v>
      </c>
      <c r="M296" s="21">
        <v>29900</v>
      </c>
      <c r="N296" s="21">
        <v>391092</v>
      </c>
      <c r="O296" s="21">
        <v>32292</v>
      </c>
      <c r="P296">
        <v>3</v>
      </c>
      <c r="Q296" t="s">
        <v>42</v>
      </c>
      <c r="R296" s="37">
        <v>16</v>
      </c>
      <c r="S296" s="37">
        <v>4</v>
      </c>
      <c r="T296" t="s">
        <v>94</v>
      </c>
      <c r="U296" t="s">
        <v>54</v>
      </c>
      <c r="V296" t="s">
        <v>45</v>
      </c>
    </row>
    <row r="297" spans="1:22" ht="15" customHeight="1" x14ac:dyDescent="0.3">
      <c r="A297" t="s">
        <v>646</v>
      </c>
      <c r="B297" s="20">
        <v>45739</v>
      </c>
      <c r="C297" t="s">
        <v>396</v>
      </c>
      <c r="D297" t="s">
        <v>48</v>
      </c>
      <c r="E297" s="37">
        <v>25</v>
      </c>
      <c r="F297" t="s">
        <v>97</v>
      </c>
      <c r="G297" t="s">
        <v>98</v>
      </c>
      <c r="H297" t="s">
        <v>38</v>
      </c>
      <c r="I297" t="s">
        <v>39</v>
      </c>
      <c r="J297" t="s">
        <v>110</v>
      </c>
      <c r="K297" s="37">
        <v>23</v>
      </c>
      <c r="L297" t="s">
        <v>52</v>
      </c>
      <c r="M297" s="21">
        <v>33500</v>
      </c>
      <c r="N297" s="21">
        <v>430140</v>
      </c>
      <c r="O297" s="21">
        <v>28140</v>
      </c>
      <c r="P297">
        <v>3</v>
      </c>
      <c r="Q297" t="s">
        <v>126</v>
      </c>
      <c r="R297" s="37">
        <v>18</v>
      </c>
      <c r="S297" s="37">
        <v>11</v>
      </c>
      <c r="T297" t="s">
        <v>62</v>
      </c>
      <c r="U297" t="s">
        <v>44</v>
      </c>
      <c r="V297" t="s">
        <v>45</v>
      </c>
    </row>
    <row r="298" spans="1:22" ht="15" customHeight="1" x14ac:dyDescent="0.3">
      <c r="A298" t="s">
        <v>647</v>
      </c>
      <c r="B298" s="20">
        <v>46009</v>
      </c>
      <c r="C298" t="s">
        <v>229</v>
      </c>
      <c r="D298" t="s">
        <v>35</v>
      </c>
      <c r="E298" s="37">
        <v>36</v>
      </c>
      <c r="F298" t="s">
        <v>72</v>
      </c>
      <c r="G298" t="s">
        <v>73</v>
      </c>
      <c r="H298" t="s">
        <v>66</v>
      </c>
      <c r="I298" t="s">
        <v>82</v>
      </c>
      <c r="J298" t="s">
        <v>170</v>
      </c>
      <c r="K298" s="37">
        <v>18</v>
      </c>
      <c r="L298" t="s">
        <v>52</v>
      </c>
      <c r="M298" s="21">
        <v>71600</v>
      </c>
      <c r="N298" s="21">
        <v>927936</v>
      </c>
      <c r="O298" s="21">
        <v>68736</v>
      </c>
      <c r="P298">
        <v>4</v>
      </c>
      <c r="Q298" t="s">
        <v>42</v>
      </c>
      <c r="R298" s="37">
        <v>6</v>
      </c>
      <c r="S298" s="37">
        <v>21</v>
      </c>
      <c r="T298" t="s">
        <v>62</v>
      </c>
      <c r="U298" t="s">
        <v>138</v>
      </c>
      <c r="V298" t="s">
        <v>69</v>
      </c>
    </row>
    <row r="299" spans="1:22" ht="15" customHeight="1" x14ac:dyDescent="0.3">
      <c r="A299" t="s">
        <v>648</v>
      </c>
      <c r="B299" s="20">
        <v>45754</v>
      </c>
      <c r="C299" t="s">
        <v>649</v>
      </c>
      <c r="D299" t="s">
        <v>48</v>
      </c>
      <c r="E299" s="37">
        <v>29</v>
      </c>
      <c r="F299" t="s">
        <v>97</v>
      </c>
      <c r="G299" t="s">
        <v>98</v>
      </c>
      <c r="H299" t="s">
        <v>118</v>
      </c>
      <c r="I299" t="s">
        <v>75</v>
      </c>
      <c r="J299" t="s">
        <v>137</v>
      </c>
      <c r="K299" s="37">
        <v>17</v>
      </c>
      <c r="L299" t="s">
        <v>52</v>
      </c>
      <c r="M299" s="21">
        <v>77100</v>
      </c>
      <c r="N299" s="21">
        <v>1054728</v>
      </c>
      <c r="O299" s="21">
        <v>129528</v>
      </c>
      <c r="P299">
        <v>4</v>
      </c>
      <c r="Q299" t="s">
        <v>126</v>
      </c>
      <c r="R299" s="37">
        <v>18</v>
      </c>
      <c r="S299" s="37">
        <v>34</v>
      </c>
      <c r="T299" t="s">
        <v>62</v>
      </c>
      <c r="U299" t="s">
        <v>44</v>
      </c>
      <c r="V299" t="s">
        <v>69</v>
      </c>
    </row>
    <row r="300" spans="1:22" ht="15" customHeight="1" x14ac:dyDescent="0.3">
      <c r="A300" t="s">
        <v>650</v>
      </c>
      <c r="B300" s="20">
        <v>45856</v>
      </c>
      <c r="C300" t="s">
        <v>651</v>
      </c>
      <c r="D300" t="s">
        <v>48</v>
      </c>
      <c r="E300" s="37">
        <v>35</v>
      </c>
      <c r="F300" t="s">
        <v>97</v>
      </c>
      <c r="G300" t="s">
        <v>98</v>
      </c>
      <c r="H300" t="s">
        <v>38</v>
      </c>
      <c r="I300" t="s">
        <v>39</v>
      </c>
      <c r="J300" t="s">
        <v>190</v>
      </c>
      <c r="K300" s="37">
        <v>5</v>
      </c>
      <c r="L300" t="s">
        <v>52</v>
      </c>
      <c r="M300" s="21">
        <v>41200</v>
      </c>
      <c r="N300" s="21">
        <v>529008</v>
      </c>
      <c r="O300" s="21">
        <v>34608</v>
      </c>
      <c r="P300">
        <v>4</v>
      </c>
      <c r="Q300" t="s">
        <v>126</v>
      </c>
      <c r="R300" s="37">
        <v>9</v>
      </c>
      <c r="S300" s="37">
        <v>4</v>
      </c>
      <c r="T300" t="s">
        <v>62</v>
      </c>
      <c r="U300" t="s">
        <v>44</v>
      </c>
      <c r="V300" t="s">
        <v>45</v>
      </c>
    </row>
    <row r="301" spans="1:22" ht="15" customHeight="1" x14ac:dyDescent="0.3">
      <c r="A301" t="s">
        <v>652</v>
      </c>
      <c r="B301" s="20">
        <v>45719</v>
      </c>
      <c r="C301" t="s">
        <v>653</v>
      </c>
      <c r="D301" t="s">
        <v>48</v>
      </c>
      <c r="E301" s="37">
        <v>38</v>
      </c>
      <c r="F301" t="s">
        <v>123</v>
      </c>
      <c r="G301" t="s">
        <v>124</v>
      </c>
      <c r="H301" t="s">
        <v>66</v>
      </c>
      <c r="I301" t="s">
        <v>39</v>
      </c>
      <c r="J301" t="s">
        <v>170</v>
      </c>
      <c r="K301" s="37">
        <v>27</v>
      </c>
      <c r="L301" t="s">
        <v>52</v>
      </c>
      <c r="M301" s="21">
        <v>42100</v>
      </c>
      <c r="N301" s="21">
        <v>530460</v>
      </c>
      <c r="O301" s="21">
        <v>25260</v>
      </c>
      <c r="P301">
        <v>4</v>
      </c>
      <c r="Q301" t="s">
        <v>42</v>
      </c>
      <c r="R301" s="37">
        <v>18</v>
      </c>
      <c r="S301" s="37">
        <v>33</v>
      </c>
      <c r="T301" t="s">
        <v>43</v>
      </c>
      <c r="U301" t="s">
        <v>138</v>
      </c>
      <c r="V301" t="s">
        <v>69</v>
      </c>
    </row>
    <row r="302" spans="1:22" ht="15" customHeight="1" x14ac:dyDescent="0.3">
      <c r="A302" t="s">
        <v>654</v>
      </c>
      <c r="B302" s="20">
        <v>45964</v>
      </c>
      <c r="C302" t="s">
        <v>655</v>
      </c>
      <c r="D302" t="s">
        <v>35</v>
      </c>
      <c r="E302" s="37">
        <v>24</v>
      </c>
      <c r="F302" t="s">
        <v>108</v>
      </c>
      <c r="G302" t="s">
        <v>109</v>
      </c>
      <c r="H302" t="s">
        <v>59</v>
      </c>
      <c r="I302" t="s">
        <v>82</v>
      </c>
      <c r="J302" t="s">
        <v>125</v>
      </c>
      <c r="K302" s="37">
        <v>9</v>
      </c>
      <c r="L302" t="s">
        <v>52</v>
      </c>
      <c r="M302" s="21">
        <v>47800</v>
      </c>
      <c r="N302" s="21">
        <v>619488</v>
      </c>
      <c r="O302" s="21">
        <v>45888</v>
      </c>
      <c r="P302">
        <v>3</v>
      </c>
      <c r="Q302" t="s">
        <v>42</v>
      </c>
      <c r="R302" s="37">
        <v>12</v>
      </c>
      <c r="S302" s="37">
        <v>18</v>
      </c>
      <c r="T302" t="s">
        <v>146</v>
      </c>
      <c r="U302" t="s">
        <v>44</v>
      </c>
      <c r="V302" t="s">
        <v>45</v>
      </c>
    </row>
    <row r="303" spans="1:22" ht="15" customHeight="1" x14ac:dyDescent="0.3">
      <c r="A303" t="s">
        <v>656</v>
      </c>
      <c r="B303" s="20">
        <v>46002</v>
      </c>
      <c r="C303" t="s">
        <v>657</v>
      </c>
      <c r="D303" t="s">
        <v>48</v>
      </c>
      <c r="E303" s="37">
        <v>56</v>
      </c>
      <c r="F303" t="s">
        <v>72</v>
      </c>
      <c r="G303" t="s">
        <v>73</v>
      </c>
      <c r="H303" t="s">
        <v>66</v>
      </c>
      <c r="I303" t="s">
        <v>75</v>
      </c>
      <c r="J303" t="s">
        <v>149</v>
      </c>
      <c r="K303" s="37">
        <v>13</v>
      </c>
      <c r="L303" t="s">
        <v>41</v>
      </c>
      <c r="M303" s="21">
        <v>97100</v>
      </c>
      <c r="N303" s="21">
        <v>1339980</v>
      </c>
      <c r="O303" s="21">
        <v>174780</v>
      </c>
      <c r="P303">
        <v>3</v>
      </c>
      <c r="Q303" t="s">
        <v>126</v>
      </c>
      <c r="R303" s="37">
        <v>8</v>
      </c>
      <c r="S303" s="37">
        <v>1</v>
      </c>
      <c r="T303" t="s">
        <v>175</v>
      </c>
      <c r="U303" t="s">
        <v>63</v>
      </c>
      <c r="V303" t="s">
        <v>69</v>
      </c>
    </row>
    <row r="304" spans="1:22" ht="15" customHeight="1" x14ac:dyDescent="0.3">
      <c r="A304" t="s">
        <v>658</v>
      </c>
      <c r="B304" s="20">
        <v>45719</v>
      </c>
      <c r="C304" t="s">
        <v>659</v>
      </c>
      <c r="D304" t="s">
        <v>48</v>
      </c>
      <c r="E304" s="37">
        <v>24</v>
      </c>
      <c r="F304" t="s">
        <v>80</v>
      </c>
      <c r="G304" t="s">
        <v>81</v>
      </c>
      <c r="H304" t="s">
        <v>74</v>
      </c>
      <c r="I304" t="s">
        <v>51</v>
      </c>
      <c r="J304" t="s">
        <v>76</v>
      </c>
      <c r="K304" s="37">
        <v>19</v>
      </c>
      <c r="L304" t="s">
        <v>41</v>
      </c>
      <c r="M304" s="21">
        <v>197500</v>
      </c>
      <c r="N304" s="21">
        <v>2535900</v>
      </c>
      <c r="O304" s="21">
        <v>165900</v>
      </c>
      <c r="P304">
        <v>4</v>
      </c>
      <c r="Q304" t="s">
        <v>42</v>
      </c>
      <c r="R304" s="37">
        <v>9</v>
      </c>
      <c r="S304" s="37">
        <v>32</v>
      </c>
      <c r="T304" t="s">
        <v>175</v>
      </c>
      <c r="U304" t="s">
        <v>63</v>
      </c>
      <c r="V304" t="s">
        <v>45</v>
      </c>
    </row>
    <row r="305" spans="1:22" ht="15" customHeight="1" x14ac:dyDescent="0.3">
      <c r="A305" t="s">
        <v>660</v>
      </c>
      <c r="B305" s="20">
        <v>45967</v>
      </c>
      <c r="C305" t="s">
        <v>272</v>
      </c>
      <c r="D305" t="s">
        <v>35</v>
      </c>
      <c r="E305" s="37">
        <v>31</v>
      </c>
      <c r="F305" t="s">
        <v>49</v>
      </c>
      <c r="G305" t="s">
        <v>50</v>
      </c>
      <c r="H305" t="s">
        <v>74</v>
      </c>
      <c r="I305" t="s">
        <v>82</v>
      </c>
      <c r="J305" t="s">
        <v>83</v>
      </c>
      <c r="K305" s="37">
        <v>12</v>
      </c>
      <c r="L305" t="s">
        <v>52</v>
      </c>
      <c r="M305" s="21">
        <v>57800</v>
      </c>
      <c r="N305" s="21">
        <v>749088</v>
      </c>
      <c r="O305" s="21">
        <v>55488</v>
      </c>
      <c r="P305">
        <v>4</v>
      </c>
      <c r="Q305" t="s">
        <v>42</v>
      </c>
      <c r="R305" s="37">
        <v>17</v>
      </c>
      <c r="S305" s="37">
        <v>15</v>
      </c>
      <c r="T305" t="s">
        <v>175</v>
      </c>
      <c r="U305" t="s">
        <v>63</v>
      </c>
      <c r="V305" t="s">
        <v>69</v>
      </c>
    </row>
    <row r="306" spans="1:22" ht="15" customHeight="1" x14ac:dyDescent="0.3">
      <c r="A306" t="s">
        <v>661</v>
      </c>
      <c r="B306" s="20">
        <v>45945</v>
      </c>
      <c r="C306" t="s">
        <v>662</v>
      </c>
      <c r="D306" t="s">
        <v>48</v>
      </c>
      <c r="E306" s="37">
        <v>23</v>
      </c>
      <c r="F306" t="s">
        <v>97</v>
      </c>
      <c r="G306" t="s">
        <v>98</v>
      </c>
      <c r="H306" t="s">
        <v>59</v>
      </c>
      <c r="I306" t="s">
        <v>82</v>
      </c>
      <c r="J306" t="s">
        <v>104</v>
      </c>
      <c r="K306" s="37">
        <v>28</v>
      </c>
      <c r="L306" t="s">
        <v>52</v>
      </c>
      <c r="M306" s="21">
        <v>58400</v>
      </c>
      <c r="N306" s="21">
        <v>763872</v>
      </c>
      <c r="O306" s="21">
        <v>63072</v>
      </c>
      <c r="P306">
        <v>4</v>
      </c>
      <c r="Q306" t="s">
        <v>42</v>
      </c>
      <c r="R306" s="37">
        <v>17</v>
      </c>
      <c r="S306" s="37">
        <v>37</v>
      </c>
      <c r="T306" t="s">
        <v>43</v>
      </c>
      <c r="U306" t="s">
        <v>44</v>
      </c>
      <c r="V306" t="s">
        <v>69</v>
      </c>
    </row>
    <row r="307" spans="1:22" ht="15" customHeight="1" x14ac:dyDescent="0.3">
      <c r="A307" t="s">
        <v>663</v>
      </c>
      <c r="B307" s="20">
        <v>45943</v>
      </c>
      <c r="C307" t="s">
        <v>282</v>
      </c>
      <c r="D307" t="s">
        <v>35</v>
      </c>
      <c r="E307" s="37">
        <v>39</v>
      </c>
      <c r="F307" t="s">
        <v>57</v>
      </c>
      <c r="G307" t="s">
        <v>58</v>
      </c>
      <c r="H307" t="s">
        <v>38</v>
      </c>
      <c r="I307" t="s">
        <v>39</v>
      </c>
      <c r="J307" t="s">
        <v>40</v>
      </c>
      <c r="K307" s="37">
        <v>1</v>
      </c>
      <c r="L307" t="s">
        <v>41</v>
      </c>
      <c r="M307" s="21">
        <v>37100</v>
      </c>
      <c r="N307" s="21">
        <v>498624</v>
      </c>
      <c r="O307" s="21">
        <v>53424</v>
      </c>
      <c r="P307">
        <v>2</v>
      </c>
      <c r="Q307" t="s">
        <v>42</v>
      </c>
      <c r="R307" s="37">
        <v>20</v>
      </c>
      <c r="S307" s="37">
        <v>38</v>
      </c>
      <c r="T307" t="s">
        <v>53</v>
      </c>
      <c r="U307" t="s">
        <v>63</v>
      </c>
      <c r="V307" t="s">
        <v>69</v>
      </c>
    </row>
    <row r="308" spans="1:22" ht="15" customHeight="1" x14ac:dyDescent="0.3">
      <c r="A308" t="s">
        <v>664</v>
      </c>
      <c r="B308" s="20">
        <v>45663</v>
      </c>
      <c r="C308" t="s">
        <v>665</v>
      </c>
      <c r="D308" t="s">
        <v>35</v>
      </c>
      <c r="E308" s="37">
        <v>26</v>
      </c>
      <c r="F308" t="s">
        <v>57</v>
      </c>
      <c r="G308" t="s">
        <v>58</v>
      </c>
      <c r="H308" t="s">
        <v>74</v>
      </c>
      <c r="I308" t="s">
        <v>51</v>
      </c>
      <c r="J308" t="s">
        <v>367</v>
      </c>
      <c r="K308" s="37">
        <v>15</v>
      </c>
      <c r="L308" t="s">
        <v>52</v>
      </c>
      <c r="M308" s="21">
        <v>259500</v>
      </c>
      <c r="N308" s="21">
        <v>3394260</v>
      </c>
      <c r="O308" s="21">
        <v>280260</v>
      </c>
      <c r="P308">
        <v>4</v>
      </c>
      <c r="Q308" t="s">
        <v>42</v>
      </c>
      <c r="R308" s="37">
        <v>3</v>
      </c>
      <c r="S308" s="37">
        <v>2</v>
      </c>
      <c r="T308" t="s">
        <v>77</v>
      </c>
      <c r="U308" t="s">
        <v>44</v>
      </c>
      <c r="V308" t="s">
        <v>45</v>
      </c>
    </row>
    <row r="309" spans="1:22" ht="15" customHeight="1" x14ac:dyDescent="0.3">
      <c r="A309" t="s">
        <v>666</v>
      </c>
      <c r="B309" s="20">
        <v>45700</v>
      </c>
      <c r="C309" t="s">
        <v>348</v>
      </c>
      <c r="D309" t="s">
        <v>48</v>
      </c>
      <c r="E309" s="37">
        <v>52</v>
      </c>
      <c r="F309" t="s">
        <v>97</v>
      </c>
      <c r="G309" t="s">
        <v>98</v>
      </c>
      <c r="H309" t="s">
        <v>118</v>
      </c>
      <c r="I309" t="s">
        <v>39</v>
      </c>
      <c r="J309" t="s">
        <v>182</v>
      </c>
      <c r="K309" s="37">
        <v>14</v>
      </c>
      <c r="L309" t="s">
        <v>52</v>
      </c>
      <c r="M309" s="21">
        <v>36800</v>
      </c>
      <c r="N309" s="21">
        <v>472512</v>
      </c>
      <c r="O309" s="21">
        <v>30912</v>
      </c>
      <c r="P309">
        <v>4</v>
      </c>
      <c r="Q309" t="s">
        <v>42</v>
      </c>
      <c r="R309" s="37">
        <v>10</v>
      </c>
      <c r="S309" s="37">
        <v>37</v>
      </c>
      <c r="T309" t="s">
        <v>53</v>
      </c>
      <c r="U309" t="s">
        <v>44</v>
      </c>
      <c r="V309" t="s">
        <v>69</v>
      </c>
    </row>
    <row r="310" spans="1:22" ht="15" customHeight="1" x14ac:dyDescent="0.3">
      <c r="A310" t="s">
        <v>667</v>
      </c>
      <c r="B310" s="20">
        <v>45820</v>
      </c>
      <c r="C310" t="s">
        <v>668</v>
      </c>
      <c r="D310" t="s">
        <v>48</v>
      </c>
      <c r="E310" s="37">
        <v>30</v>
      </c>
      <c r="F310" t="s">
        <v>86</v>
      </c>
      <c r="G310" t="s">
        <v>87</v>
      </c>
      <c r="H310" t="s">
        <v>66</v>
      </c>
      <c r="I310" t="s">
        <v>75</v>
      </c>
      <c r="J310" t="s">
        <v>93</v>
      </c>
      <c r="K310" s="37">
        <v>17</v>
      </c>
      <c r="L310" t="s">
        <v>52</v>
      </c>
      <c r="M310" s="21">
        <v>103600</v>
      </c>
      <c r="N310" s="21">
        <v>1317792</v>
      </c>
      <c r="O310" s="21">
        <v>74592</v>
      </c>
      <c r="P310">
        <v>5</v>
      </c>
      <c r="Q310" t="s">
        <v>42</v>
      </c>
      <c r="R310" s="37">
        <v>9</v>
      </c>
      <c r="S310" s="37">
        <v>4</v>
      </c>
      <c r="T310" t="s">
        <v>129</v>
      </c>
      <c r="U310" t="s">
        <v>63</v>
      </c>
      <c r="V310" t="s">
        <v>45</v>
      </c>
    </row>
    <row r="311" spans="1:22" ht="15" customHeight="1" x14ac:dyDescent="0.3">
      <c r="A311" t="s">
        <v>669</v>
      </c>
      <c r="B311" s="20">
        <v>45829</v>
      </c>
      <c r="C311" t="s">
        <v>670</v>
      </c>
      <c r="D311" t="s">
        <v>35</v>
      </c>
      <c r="E311" s="37">
        <v>37</v>
      </c>
      <c r="F311" t="s">
        <v>108</v>
      </c>
      <c r="G311" t="s">
        <v>109</v>
      </c>
      <c r="H311" t="s">
        <v>38</v>
      </c>
      <c r="I311" t="s">
        <v>39</v>
      </c>
      <c r="J311" t="s">
        <v>190</v>
      </c>
      <c r="K311" s="37">
        <v>23</v>
      </c>
      <c r="L311" t="s">
        <v>120</v>
      </c>
      <c r="M311" s="21">
        <v>36600</v>
      </c>
      <c r="N311" s="21">
        <v>518256</v>
      </c>
      <c r="O311" s="21">
        <v>79056</v>
      </c>
      <c r="P311">
        <v>4</v>
      </c>
      <c r="Q311" t="s">
        <v>42</v>
      </c>
      <c r="R311" s="37">
        <v>5</v>
      </c>
      <c r="S311" s="37">
        <v>24</v>
      </c>
      <c r="T311" t="s">
        <v>77</v>
      </c>
      <c r="U311" t="s">
        <v>44</v>
      </c>
      <c r="V311" t="s">
        <v>45</v>
      </c>
    </row>
    <row r="312" spans="1:22" ht="15" customHeight="1" x14ac:dyDescent="0.3">
      <c r="A312" t="s">
        <v>671</v>
      </c>
      <c r="B312" s="20">
        <v>45778</v>
      </c>
      <c r="C312" t="s">
        <v>672</v>
      </c>
      <c r="D312" t="s">
        <v>35</v>
      </c>
      <c r="E312" s="37">
        <v>52</v>
      </c>
      <c r="F312" t="s">
        <v>86</v>
      </c>
      <c r="G312" t="s">
        <v>87</v>
      </c>
      <c r="H312" t="s">
        <v>66</v>
      </c>
      <c r="I312" t="s">
        <v>82</v>
      </c>
      <c r="J312" t="s">
        <v>93</v>
      </c>
      <c r="K312" s="37">
        <v>9</v>
      </c>
      <c r="L312" t="s">
        <v>52</v>
      </c>
      <c r="M312" s="21">
        <v>58400</v>
      </c>
      <c r="N312" s="21">
        <v>756864</v>
      </c>
      <c r="O312" s="21">
        <v>56064</v>
      </c>
      <c r="P312">
        <v>3</v>
      </c>
      <c r="Q312" t="s">
        <v>126</v>
      </c>
      <c r="R312" s="37">
        <v>8</v>
      </c>
      <c r="S312" s="37">
        <v>39</v>
      </c>
      <c r="T312" t="s">
        <v>43</v>
      </c>
      <c r="U312" t="s">
        <v>44</v>
      </c>
      <c r="V312" t="s">
        <v>45</v>
      </c>
    </row>
    <row r="313" spans="1:22" ht="15" customHeight="1" x14ac:dyDescent="0.3">
      <c r="A313" t="s">
        <v>673</v>
      </c>
      <c r="B313" s="20">
        <v>45936</v>
      </c>
      <c r="C313" t="s">
        <v>674</v>
      </c>
      <c r="D313" t="s">
        <v>35</v>
      </c>
      <c r="E313" s="37">
        <v>49</v>
      </c>
      <c r="F313" t="s">
        <v>72</v>
      </c>
      <c r="G313" t="s">
        <v>73</v>
      </c>
      <c r="H313" t="s">
        <v>74</v>
      </c>
      <c r="I313" t="s">
        <v>75</v>
      </c>
      <c r="J313" t="s">
        <v>367</v>
      </c>
      <c r="K313" s="37">
        <v>3</v>
      </c>
      <c r="L313" t="s">
        <v>52</v>
      </c>
      <c r="M313" s="21">
        <v>103500</v>
      </c>
      <c r="N313" s="21">
        <v>1366200</v>
      </c>
      <c r="O313" s="21">
        <v>124200</v>
      </c>
      <c r="P313">
        <v>4</v>
      </c>
      <c r="Q313" t="s">
        <v>42</v>
      </c>
      <c r="R313" s="37">
        <v>9</v>
      </c>
      <c r="S313" s="37">
        <v>24</v>
      </c>
      <c r="T313" t="s">
        <v>43</v>
      </c>
      <c r="U313" t="s">
        <v>44</v>
      </c>
      <c r="V313" t="s">
        <v>45</v>
      </c>
    </row>
    <row r="314" spans="1:22" ht="15" customHeight="1" x14ac:dyDescent="0.3">
      <c r="A314" t="s">
        <v>675</v>
      </c>
      <c r="B314" s="20">
        <v>45943</v>
      </c>
      <c r="C314" t="s">
        <v>676</v>
      </c>
      <c r="D314" t="s">
        <v>48</v>
      </c>
      <c r="E314" s="37">
        <v>33</v>
      </c>
      <c r="F314" t="s">
        <v>97</v>
      </c>
      <c r="G314" t="s">
        <v>98</v>
      </c>
      <c r="H314" t="s">
        <v>74</v>
      </c>
      <c r="I314" t="s">
        <v>60</v>
      </c>
      <c r="J314" t="s">
        <v>115</v>
      </c>
      <c r="K314" s="37">
        <v>0</v>
      </c>
      <c r="L314" t="s">
        <v>52</v>
      </c>
      <c r="M314" s="21">
        <v>143600</v>
      </c>
      <c r="N314" s="21">
        <v>1809360</v>
      </c>
      <c r="O314" s="21">
        <v>86160</v>
      </c>
      <c r="P314">
        <v>5</v>
      </c>
      <c r="Q314" t="s">
        <v>42</v>
      </c>
      <c r="R314" s="37">
        <v>2</v>
      </c>
      <c r="S314" s="37">
        <v>10</v>
      </c>
      <c r="T314" t="s">
        <v>77</v>
      </c>
      <c r="U314" t="s">
        <v>44</v>
      </c>
      <c r="V314" t="s">
        <v>45</v>
      </c>
    </row>
    <row r="315" spans="1:22" ht="15" customHeight="1" x14ac:dyDescent="0.3">
      <c r="A315" t="s">
        <v>677</v>
      </c>
      <c r="B315" s="20">
        <v>45690</v>
      </c>
      <c r="C315" t="s">
        <v>678</v>
      </c>
      <c r="D315" t="s">
        <v>35</v>
      </c>
      <c r="E315" s="37">
        <v>45</v>
      </c>
      <c r="F315" t="s">
        <v>123</v>
      </c>
      <c r="G315" t="s">
        <v>124</v>
      </c>
      <c r="H315" t="s">
        <v>118</v>
      </c>
      <c r="I315" t="s">
        <v>39</v>
      </c>
      <c r="J315" t="s">
        <v>250</v>
      </c>
      <c r="K315" s="37">
        <v>18</v>
      </c>
      <c r="L315" t="s">
        <v>52</v>
      </c>
      <c r="M315" s="21">
        <v>30300</v>
      </c>
      <c r="N315" s="21">
        <v>418139</v>
      </c>
      <c r="O315" s="21">
        <v>54540</v>
      </c>
      <c r="P315">
        <v>4</v>
      </c>
      <c r="Q315" t="s">
        <v>42</v>
      </c>
      <c r="R315" s="37">
        <v>18</v>
      </c>
      <c r="S315" s="37">
        <v>3</v>
      </c>
      <c r="T315" t="s">
        <v>146</v>
      </c>
      <c r="U315" t="s">
        <v>44</v>
      </c>
      <c r="V315" t="s">
        <v>45</v>
      </c>
    </row>
    <row r="316" spans="1:22" ht="15" customHeight="1" x14ac:dyDescent="0.3">
      <c r="A316" t="s">
        <v>679</v>
      </c>
      <c r="B316" s="20">
        <v>45812</v>
      </c>
      <c r="C316" t="s">
        <v>680</v>
      </c>
      <c r="D316" t="s">
        <v>35</v>
      </c>
      <c r="E316" s="37">
        <v>44</v>
      </c>
      <c r="F316" t="s">
        <v>57</v>
      </c>
      <c r="G316" t="s">
        <v>58</v>
      </c>
      <c r="H316" t="s">
        <v>38</v>
      </c>
      <c r="I316" t="s">
        <v>60</v>
      </c>
      <c r="J316" t="s">
        <v>99</v>
      </c>
      <c r="K316" s="37">
        <v>25</v>
      </c>
      <c r="L316" t="s">
        <v>52</v>
      </c>
      <c r="M316" s="21">
        <v>159700</v>
      </c>
      <c r="N316" s="21">
        <v>2069712</v>
      </c>
      <c r="O316" s="21">
        <v>153312</v>
      </c>
      <c r="P316">
        <v>4</v>
      </c>
      <c r="Q316" t="s">
        <v>42</v>
      </c>
      <c r="R316" s="37">
        <v>19</v>
      </c>
      <c r="S316" s="37">
        <v>35</v>
      </c>
      <c r="T316" t="s">
        <v>68</v>
      </c>
      <c r="U316" t="s">
        <v>63</v>
      </c>
      <c r="V316" t="s">
        <v>69</v>
      </c>
    </row>
    <row r="317" spans="1:22" ht="15" customHeight="1" x14ac:dyDescent="0.3">
      <c r="A317" t="s">
        <v>681</v>
      </c>
      <c r="B317" s="20">
        <v>45759</v>
      </c>
      <c r="C317" t="s">
        <v>114</v>
      </c>
      <c r="D317" t="s">
        <v>35</v>
      </c>
      <c r="E317" s="37">
        <v>22</v>
      </c>
      <c r="F317" t="s">
        <v>36</v>
      </c>
      <c r="G317" t="s">
        <v>37</v>
      </c>
      <c r="H317" t="s">
        <v>38</v>
      </c>
      <c r="I317" t="s">
        <v>39</v>
      </c>
      <c r="J317" t="s">
        <v>40</v>
      </c>
      <c r="K317" s="37">
        <v>12</v>
      </c>
      <c r="L317" t="s">
        <v>52</v>
      </c>
      <c r="M317" s="21">
        <v>31100</v>
      </c>
      <c r="N317" s="21">
        <v>403056</v>
      </c>
      <c r="O317" s="21">
        <v>29856</v>
      </c>
      <c r="P317">
        <v>5</v>
      </c>
      <c r="Q317" t="s">
        <v>42</v>
      </c>
      <c r="R317" s="37">
        <v>17</v>
      </c>
      <c r="S317" s="37">
        <v>15</v>
      </c>
      <c r="T317" t="s">
        <v>175</v>
      </c>
      <c r="U317" t="s">
        <v>44</v>
      </c>
      <c r="V317" t="s">
        <v>69</v>
      </c>
    </row>
    <row r="318" spans="1:22" ht="15" customHeight="1" x14ac:dyDescent="0.3">
      <c r="A318" t="s">
        <v>682</v>
      </c>
      <c r="B318" s="20">
        <v>45795</v>
      </c>
      <c r="C318" t="s">
        <v>302</v>
      </c>
      <c r="D318" t="s">
        <v>48</v>
      </c>
      <c r="E318" s="37">
        <v>37</v>
      </c>
      <c r="F318" t="s">
        <v>80</v>
      </c>
      <c r="G318" t="s">
        <v>81</v>
      </c>
      <c r="H318" t="s">
        <v>74</v>
      </c>
      <c r="I318" t="s">
        <v>51</v>
      </c>
      <c r="J318" t="s">
        <v>76</v>
      </c>
      <c r="K318" s="37">
        <v>1</v>
      </c>
      <c r="L318" t="s">
        <v>52</v>
      </c>
      <c r="M318" s="21">
        <v>253900</v>
      </c>
      <c r="N318" s="21">
        <v>3656160</v>
      </c>
      <c r="O318" s="21">
        <v>609360</v>
      </c>
      <c r="P318">
        <v>5</v>
      </c>
      <c r="Q318" t="s">
        <v>42</v>
      </c>
      <c r="R318" s="37">
        <v>14</v>
      </c>
      <c r="S318" s="37">
        <v>19</v>
      </c>
      <c r="T318" t="s">
        <v>62</v>
      </c>
      <c r="U318" t="s">
        <v>44</v>
      </c>
      <c r="V318" t="s">
        <v>45</v>
      </c>
    </row>
    <row r="319" spans="1:22" ht="15" customHeight="1" x14ac:dyDescent="0.3">
      <c r="A319" t="s">
        <v>683</v>
      </c>
      <c r="B319" s="20">
        <v>45702</v>
      </c>
      <c r="C319" t="s">
        <v>684</v>
      </c>
      <c r="D319" t="s">
        <v>35</v>
      </c>
      <c r="E319" s="37">
        <v>35</v>
      </c>
      <c r="F319" t="s">
        <v>57</v>
      </c>
      <c r="G319" t="s">
        <v>58</v>
      </c>
      <c r="H319" t="s">
        <v>38</v>
      </c>
      <c r="I319" t="s">
        <v>82</v>
      </c>
      <c r="J319" t="s">
        <v>134</v>
      </c>
      <c r="K319" s="37">
        <v>9</v>
      </c>
      <c r="L319" t="s">
        <v>52</v>
      </c>
      <c r="M319" s="21">
        <v>67400</v>
      </c>
      <c r="N319" s="21">
        <v>962472</v>
      </c>
      <c r="O319" s="21">
        <v>153672</v>
      </c>
      <c r="P319">
        <v>3</v>
      </c>
      <c r="Q319" t="s">
        <v>42</v>
      </c>
      <c r="R319" s="37">
        <v>3</v>
      </c>
      <c r="S319" s="37">
        <v>35</v>
      </c>
      <c r="T319" t="s">
        <v>62</v>
      </c>
      <c r="U319" t="s">
        <v>44</v>
      </c>
      <c r="V319" t="s">
        <v>45</v>
      </c>
    </row>
    <row r="320" spans="1:22" ht="15" customHeight="1" x14ac:dyDescent="0.3">
      <c r="A320" t="s">
        <v>685</v>
      </c>
      <c r="B320" s="20">
        <v>45925</v>
      </c>
      <c r="C320" t="s">
        <v>686</v>
      </c>
      <c r="D320" t="s">
        <v>35</v>
      </c>
      <c r="E320" s="37">
        <v>50</v>
      </c>
      <c r="F320" t="s">
        <v>123</v>
      </c>
      <c r="G320" t="s">
        <v>124</v>
      </c>
      <c r="H320" t="s">
        <v>59</v>
      </c>
      <c r="I320" t="s">
        <v>39</v>
      </c>
      <c r="J320" t="s">
        <v>125</v>
      </c>
      <c r="K320" s="37">
        <v>6</v>
      </c>
      <c r="L320" t="s">
        <v>52</v>
      </c>
      <c r="M320" s="21">
        <v>35700</v>
      </c>
      <c r="N320" s="21">
        <v>475524</v>
      </c>
      <c r="O320" s="21">
        <v>47124</v>
      </c>
      <c r="P320">
        <v>4</v>
      </c>
      <c r="Q320" t="s">
        <v>126</v>
      </c>
      <c r="R320" s="37">
        <v>12</v>
      </c>
      <c r="S320" s="37">
        <v>17</v>
      </c>
      <c r="T320" t="s">
        <v>129</v>
      </c>
      <c r="U320" t="s">
        <v>44</v>
      </c>
      <c r="V320" t="s">
        <v>45</v>
      </c>
    </row>
    <row r="321" spans="1:22" ht="15" customHeight="1" x14ac:dyDescent="0.3">
      <c r="A321" t="s">
        <v>687</v>
      </c>
      <c r="B321" s="20">
        <v>45926</v>
      </c>
      <c r="C321" t="s">
        <v>688</v>
      </c>
      <c r="D321" t="s">
        <v>35</v>
      </c>
      <c r="E321" s="37">
        <v>54</v>
      </c>
      <c r="F321" t="s">
        <v>123</v>
      </c>
      <c r="G321" t="s">
        <v>124</v>
      </c>
      <c r="H321" t="s">
        <v>118</v>
      </c>
      <c r="I321" t="s">
        <v>82</v>
      </c>
      <c r="J321" t="s">
        <v>137</v>
      </c>
      <c r="K321" s="37">
        <v>4</v>
      </c>
      <c r="L321" t="s">
        <v>52</v>
      </c>
      <c r="M321" s="21">
        <v>64800</v>
      </c>
      <c r="N321" s="21">
        <v>925344</v>
      </c>
      <c r="O321" s="21">
        <v>147744</v>
      </c>
      <c r="P321">
        <v>3</v>
      </c>
      <c r="Q321" t="s">
        <v>42</v>
      </c>
      <c r="R321" s="37">
        <v>17</v>
      </c>
      <c r="S321" s="37">
        <v>11</v>
      </c>
      <c r="T321" t="s">
        <v>105</v>
      </c>
      <c r="U321" t="s">
        <v>44</v>
      </c>
      <c r="V321" t="s">
        <v>69</v>
      </c>
    </row>
    <row r="322" spans="1:22" ht="15" customHeight="1" x14ac:dyDescent="0.3">
      <c r="A322" t="s">
        <v>689</v>
      </c>
      <c r="B322" s="20">
        <v>45942</v>
      </c>
      <c r="C322" t="s">
        <v>690</v>
      </c>
      <c r="D322" t="s">
        <v>35</v>
      </c>
      <c r="E322" s="37">
        <v>25</v>
      </c>
      <c r="F322" t="s">
        <v>91</v>
      </c>
      <c r="G322" t="s">
        <v>92</v>
      </c>
      <c r="H322" t="s">
        <v>74</v>
      </c>
      <c r="I322" t="s">
        <v>60</v>
      </c>
      <c r="J322" t="s">
        <v>83</v>
      </c>
      <c r="K322" s="37">
        <v>22</v>
      </c>
      <c r="L322" t="s">
        <v>52</v>
      </c>
      <c r="M322" s="21">
        <v>120300</v>
      </c>
      <c r="N322" s="21">
        <v>1544652</v>
      </c>
      <c r="O322" s="21">
        <v>101052</v>
      </c>
      <c r="P322">
        <v>4</v>
      </c>
      <c r="Q322" t="s">
        <v>42</v>
      </c>
      <c r="R322" s="37">
        <v>14</v>
      </c>
      <c r="S322" s="37">
        <v>1</v>
      </c>
      <c r="T322" t="s">
        <v>62</v>
      </c>
      <c r="U322" t="s">
        <v>44</v>
      </c>
      <c r="V322" t="s">
        <v>45</v>
      </c>
    </row>
    <row r="323" spans="1:22" ht="15" customHeight="1" x14ac:dyDescent="0.3">
      <c r="A323" t="s">
        <v>691</v>
      </c>
      <c r="B323" s="20">
        <v>45714</v>
      </c>
      <c r="C323" t="s">
        <v>692</v>
      </c>
      <c r="D323" t="s">
        <v>48</v>
      </c>
      <c r="E323" s="37">
        <v>58</v>
      </c>
      <c r="F323" t="s">
        <v>57</v>
      </c>
      <c r="G323" t="s">
        <v>58</v>
      </c>
      <c r="H323" t="s">
        <v>38</v>
      </c>
      <c r="I323" t="s">
        <v>82</v>
      </c>
      <c r="J323" t="s">
        <v>40</v>
      </c>
      <c r="K323" s="37">
        <v>12</v>
      </c>
      <c r="L323" t="s">
        <v>52</v>
      </c>
      <c r="M323" s="21">
        <v>60700</v>
      </c>
      <c r="N323" s="21">
        <v>859512</v>
      </c>
      <c r="O323" s="21">
        <v>131112</v>
      </c>
      <c r="P323">
        <v>3</v>
      </c>
      <c r="Q323" t="s">
        <v>42</v>
      </c>
      <c r="R323" s="37">
        <v>16</v>
      </c>
      <c r="S323" s="37">
        <v>11</v>
      </c>
      <c r="T323" t="s">
        <v>68</v>
      </c>
      <c r="U323" t="s">
        <v>63</v>
      </c>
      <c r="V323" t="s">
        <v>69</v>
      </c>
    </row>
    <row r="324" spans="1:22" ht="15" customHeight="1" x14ac:dyDescent="0.3">
      <c r="A324" t="s">
        <v>693</v>
      </c>
      <c r="B324" s="20">
        <v>45957</v>
      </c>
      <c r="C324" t="s">
        <v>478</v>
      </c>
      <c r="D324" t="s">
        <v>35</v>
      </c>
      <c r="E324" s="37">
        <v>43</v>
      </c>
      <c r="F324" t="s">
        <v>36</v>
      </c>
      <c r="G324" t="s">
        <v>37</v>
      </c>
      <c r="H324" t="s">
        <v>38</v>
      </c>
      <c r="I324" t="s">
        <v>39</v>
      </c>
      <c r="J324" t="s">
        <v>190</v>
      </c>
      <c r="K324" s="37">
        <v>27</v>
      </c>
      <c r="L324" t="s">
        <v>52</v>
      </c>
      <c r="M324" s="21">
        <v>42000</v>
      </c>
      <c r="N324" s="21">
        <v>599760</v>
      </c>
      <c r="O324" s="21">
        <v>95760</v>
      </c>
      <c r="P324">
        <v>3</v>
      </c>
      <c r="Q324" t="s">
        <v>42</v>
      </c>
      <c r="R324" s="37">
        <v>18</v>
      </c>
      <c r="S324" s="37">
        <v>4</v>
      </c>
      <c r="T324" t="s">
        <v>77</v>
      </c>
      <c r="U324" t="s">
        <v>63</v>
      </c>
      <c r="V324" t="s">
        <v>45</v>
      </c>
    </row>
    <row r="325" spans="1:22" ht="15" customHeight="1" x14ac:dyDescent="0.3">
      <c r="A325" t="s">
        <v>694</v>
      </c>
      <c r="B325" s="20">
        <v>45823</v>
      </c>
      <c r="C325" t="s">
        <v>608</v>
      </c>
      <c r="D325" t="s">
        <v>35</v>
      </c>
      <c r="E325" s="37">
        <v>50</v>
      </c>
      <c r="F325" t="s">
        <v>57</v>
      </c>
      <c r="G325" t="s">
        <v>58</v>
      </c>
      <c r="H325" t="s">
        <v>74</v>
      </c>
      <c r="I325" t="s">
        <v>39</v>
      </c>
      <c r="J325" t="s">
        <v>76</v>
      </c>
      <c r="K325" s="37">
        <v>18</v>
      </c>
      <c r="L325" t="s">
        <v>52</v>
      </c>
      <c r="M325" s="21">
        <v>46900</v>
      </c>
      <c r="N325" s="21">
        <v>624708</v>
      </c>
      <c r="O325" s="21">
        <v>61908</v>
      </c>
      <c r="P325">
        <v>3</v>
      </c>
      <c r="Q325" t="s">
        <v>42</v>
      </c>
      <c r="R325" s="37">
        <v>9</v>
      </c>
      <c r="S325" s="37">
        <v>27</v>
      </c>
      <c r="T325" t="s">
        <v>146</v>
      </c>
      <c r="U325" t="s">
        <v>138</v>
      </c>
      <c r="V325" t="s">
        <v>69</v>
      </c>
    </row>
    <row r="326" spans="1:22" ht="15" customHeight="1" x14ac:dyDescent="0.3">
      <c r="A326" t="s">
        <v>695</v>
      </c>
      <c r="B326" s="20">
        <v>45879</v>
      </c>
      <c r="C326" t="s">
        <v>696</v>
      </c>
      <c r="D326" t="s">
        <v>48</v>
      </c>
      <c r="E326" s="37">
        <v>44</v>
      </c>
      <c r="F326" t="s">
        <v>108</v>
      </c>
      <c r="G326" t="s">
        <v>109</v>
      </c>
      <c r="H326" t="s">
        <v>66</v>
      </c>
      <c r="I326" t="s">
        <v>39</v>
      </c>
      <c r="J326" t="s">
        <v>93</v>
      </c>
      <c r="K326" s="37">
        <v>15</v>
      </c>
      <c r="L326" t="s">
        <v>52</v>
      </c>
      <c r="M326" s="21">
        <v>42300</v>
      </c>
      <c r="N326" s="21">
        <v>568512</v>
      </c>
      <c r="O326" s="21">
        <v>60912</v>
      </c>
      <c r="P326">
        <v>3</v>
      </c>
      <c r="Q326" t="s">
        <v>42</v>
      </c>
      <c r="R326" s="37">
        <v>5</v>
      </c>
      <c r="S326" s="37">
        <v>37</v>
      </c>
      <c r="T326" t="s">
        <v>129</v>
      </c>
      <c r="U326" t="s">
        <v>63</v>
      </c>
      <c r="V326" t="s">
        <v>45</v>
      </c>
    </row>
    <row r="327" spans="1:22" ht="15" customHeight="1" x14ac:dyDescent="0.3">
      <c r="A327" t="s">
        <v>697</v>
      </c>
      <c r="B327" s="20">
        <v>45749</v>
      </c>
      <c r="C327" t="s">
        <v>698</v>
      </c>
      <c r="D327" t="s">
        <v>35</v>
      </c>
      <c r="E327" s="37">
        <v>43</v>
      </c>
      <c r="F327" t="s">
        <v>97</v>
      </c>
      <c r="G327" t="s">
        <v>98</v>
      </c>
      <c r="H327" t="s">
        <v>118</v>
      </c>
      <c r="I327" t="s">
        <v>82</v>
      </c>
      <c r="J327" t="s">
        <v>182</v>
      </c>
      <c r="K327" s="37">
        <v>13</v>
      </c>
      <c r="L327" t="s">
        <v>52</v>
      </c>
      <c r="M327" s="21">
        <v>47100</v>
      </c>
      <c r="N327" s="21">
        <v>627372</v>
      </c>
      <c r="O327" s="21">
        <v>62172</v>
      </c>
      <c r="P327">
        <v>2</v>
      </c>
      <c r="Q327" t="s">
        <v>42</v>
      </c>
      <c r="R327" s="37">
        <v>8</v>
      </c>
      <c r="S327" s="37">
        <v>9</v>
      </c>
      <c r="T327" t="s">
        <v>146</v>
      </c>
      <c r="U327" t="s">
        <v>44</v>
      </c>
      <c r="V327" t="s">
        <v>69</v>
      </c>
    </row>
    <row r="328" spans="1:22" ht="15" customHeight="1" x14ac:dyDescent="0.3">
      <c r="A328" t="s">
        <v>699</v>
      </c>
      <c r="B328" s="20">
        <v>45778</v>
      </c>
      <c r="C328" t="s">
        <v>569</v>
      </c>
      <c r="D328" t="s">
        <v>48</v>
      </c>
      <c r="E328" s="37">
        <v>55</v>
      </c>
      <c r="F328" t="s">
        <v>80</v>
      </c>
      <c r="G328" t="s">
        <v>81</v>
      </c>
      <c r="H328" t="s">
        <v>66</v>
      </c>
      <c r="I328" t="s">
        <v>39</v>
      </c>
      <c r="J328" t="s">
        <v>170</v>
      </c>
      <c r="K328" s="37">
        <v>5</v>
      </c>
      <c r="L328" t="s">
        <v>52</v>
      </c>
      <c r="M328" s="21">
        <v>44300</v>
      </c>
      <c r="N328" s="21">
        <v>616656</v>
      </c>
      <c r="O328" s="21">
        <v>85056</v>
      </c>
      <c r="P328">
        <v>3</v>
      </c>
      <c r="Q328" t="s">
        <v>42</v>
      </c>
      <c r="R328" s="37">
        <v>11</v>
      </c>
      <c r="S328" s="37">
        <v>4</v>
      </c>
      <c r="T328" t="s">
        <v>105</v>
      </c>
      <c r="U328" t="s">
        <v>44</v>
      </c>
      <c r="V328" t="s">
        <v>45</v>
      </c>
    </row>
    <row r="329" spans="1:22" ht="15" customHeight="1" x14ac:dyDescent="0.3">
      <c r="A329" t="s">
        <v>700</v>
      </c>
      <c r="B329" s="20">
        <v>45718</v>
      </c>
      <c r="C329" t="s">
        <v>701</v>
      </c>
      <c r="D329" t="s">
        <v>48</v>
      </c>
      <c r="E329" s="37">
        <v>34</v>
      </c>
      <c r="F329" t="s">
        <v>91</v>
      </c>
      <c r="G329" t="s">
        <v>92</v>
      </c>
      <c r="H329" t="s">
        <v>66</v>
      </c>
      <c r="I329" t="s">
        <v>39</v>
      </c>
      <c r="J329" t="s">
        <v>170</v>
      </c>
      <c r="K329" s="37">
        <v>21</v>
      </c>
      <c r="L329" t="s">
        <v>52</v>
      </c>
      <c r="M329" s="21">
        <v>45200</v>
      </c>
      <c r="N329" s="21">
        <v>585792</v>
      </c>
      <c r="O329" s="21">
        <v>43392</v>
      </c>
      <c r="P329">
        <v>3</v>
      </c>
      <c r="Q329" t="s">
        <v>42</v>
      </c>
      <c r="R329" s="37">
        <v>9</v>
      </c>
      <c r="S329" s="37">
        <v>40</v>
      </c>
      <c r="T329" t="s">
        <v>129</v>
      </c>
      <c r="U329" t="s">
        <v>44</v>
      </c>
      <c r="V329" t="s">
        <v>45</v>
      </c>
    </row>
    <row r="330" spans="1:22" ht="15" customHeight="1" x14ac:dyDescent="0.3">
      <c r="A330" t="s">
        <v>702</v>
      </c>
      <c r="B330" s="20">
        <v>45957</v>
      </c>
      <c r="C330" t="s">
        <v>589</v>
      </c>
      <c r="D330" t="s">
        <v>35</v>
      </c>
      <c r="E330" s="37">
        <v>52</v>
      </c>
      <c r="F330" t="s">
        <v>80</v>
      </c>
      <c r="G330" t="s">
        <v>81</v>
      </c>
      <c r="H330" t="s">
        <v>66</v>
      </c>
      <c r="I330" t="s">
        <v>51</v>
      </c>
      <c r="J330" t="s">
        <v>93</v>
      </c>
      <c r="K330" s="37">
        <v>13</v>
      </c>
      <c r="L330" t="s">
        <v>52</v>
      </c>
      <c r="M330" s="21">
        <v>208300</v>
      </c>
      <c r="N330" s="21">
        <v>2674572</v>
      </c>
      <c r="O330" s="21">
        <v>174972</v>
      </c>
      <c r="P330">
        <v>4</v>
      </c>
      <c r="Q330" t="s">
        <v>42</v>
      </c>
      <c r="R330" s="37">
        <v>5</v>
      </c>
      <c r="S330" s="37">
        <v>22</v>
      </c>
      <c r="T330" t="s">
        <v>146</v>
      </c>
      <c r="U330" t="s">
        <v>138</v>
      </c>
      <c r="V330" t="s">
        <v>69</v>
      </c>
    </row>
    <row r="331" spans="1:22" ht="15" customHeight="1" x14ac:dyDescent="0.3">
      <c r="A331" t="s">
        <v>703</v>
      </c>
      <c r="B331" s="20">
        <v>45870</v>
      </c>
      <c r="C331" t="s">
        <v>634</v>
      </c>
      <c r="D331" t="s">
        <v>35</v>
      </c>
      <c r="E331" s="37">
        <v>49</v>
      </c>
      <c r="F331" t="s">
        <v>108</v>
      </c>
      <c r="G331" t="s">
        <v>109</v>
      </c>
      <c r="H331" t="s">
        <v>118</v>
      </c>
      <c r="I331" t="s">
        <v>39</v>
      </c>
      <c r="J331" t="s">
        <v>137</v>
      </c>
      <c r="K331" s="37">
        <v>2</v>
      </c>
      <c r="L331" t="s">
        <v>41</v>
      </c>
      <c r="M331" s="21">
        <v>38700</v>
      </c>
      <c r="N331" s="21">
        <v>501552</v>
      </c>
      <c r="O331" s="21">
        <v>37152</v>
      </c>
      <c r="P331">
        <v>4</v>
      </c>
      <c r="Q331" t="s">
        <v>42</v>
      </c>
      <c r="R331" s="37">
        <v>8</v>
      </c>
      <c r="S331" s="37">
        <v>20</v>
      </c>
      <c r="T331" t="s">
        <v>146</v>
      </c>
      <c r="U331" t="s">
        <v>44</v>
      </c>
      <c r="V331" t="s">
        <v>69</v>
      </c>
    </row>
    <row r="332" spans="1:22" ht="15" customHeight="1" x14ac:dyDescent="0.3">
      <c r="A332" t="s">
        <v>704</v>
      </c>
      <c r="B332" s="20">
        <v>45936</v>
      </c>
      <c r="C332" t="s">
        <v>705</v>
      </c>
      <c r="D332" t="s">
        <v>35</v>
      </c>
      <c r="E332" s="37">
        <v>49</v>
      </c>
      <c r="F332" t="s">
        <v>57</v>
      </c>
      <c r="G332" t="s">
        <v>58</v>
      </c>
      <c r="H332" t="s">
        <v>38</v>
      </c>
      <c r="I332" t="s">
        <v>75</v>
      </c>
      <c r="J332" t="s">
        <v>40</v>
      </c>
      <c r="K332" s="37">
        <v>2</v>
      </c>
      <c r="L332" t="s">
        <v>52</v>
      </c>
      <c r="M332" s="21">
        <v>92600</v>
      </c>
      <c r="N332" s="21">
        <v>1222320</v>
      </c>
      <c r="O332" s="21">
        <v>111120</v>
      </c>
      <c r="P332">
        <v>5</v>
      </c>
      <c r="Q332" t="s">
        <v>42</v>
      </c>
      <c r="R332" s="37">
        <v>19</v>
      </c>
      <c r="S332" s="37">
        <v>37</v>
      </c>
      <c r="T332" t="s">
        <v>53</v>
      </c>
      <c r="U332" t="s">
        <v>63</v>
      </c>
      <c r="V332" t="s">
        <v>45</v>
      </c>
    </row>
    <row r="333" spans="1:22" ht="15" customHeight="1" x14ac:dyDescent="0.3">
      <c r="A333" t="s">
        <v>706</v>
      </c>
      <c r="B333" s="20">
        <v>45891</v>
      </c>
      <c r="C333" t="s">
        <v>707</v>
      </c>
      <c r="D333" t="s">
        <v>35</v>
      </c>
      <c r="E333" s="37">
        <v>22</v>
      </c>
      <c r="F333" t="s">
        <v>80</v>
      </c>
      <c r="G333" t="s">
        <v>81</v>
      </c>
      <c r="H333" t="s">
        <v>118</v>
      </c>
      <c r="I333" t="s">
        <v>39</v>
      </c>
      <c r="J333" t="s">
        <v>250</v>
      </c>
      <c r="K333" s="37">
        <v>24</v>
      </c>
      <c r="L333" t="s">
        <v>120</v>
      </c>
      <c r="M333" s="21">
        <v>35100</v>
      </c>
      <c r="N333" s="21">
        <v>446472</v>
      </c>
      <c r="O333" s="21">
        <v>25272</v>
      </c>
      <c r="P333">
        <v>4</v>
      </c>
      <c r="Q333" t="s">
        <v>42</v>
      </c>
      <c r="R333" s="37">
        <v>14</v>
      </c>
      <c r="S333" s="37">
        <v>2</v>
      </c>
      <c r="T333" t="s">
        <v>146</v>
      </c>
      <c r="U333" t="s">
        <v>54</v>
      </c>
      <c r="V333" t="s">
        <v>69</v>
      </c>
    </row>
    <row r="334" spans="1:22" ht="15" customHeight="1" x14ac:dyDescent="0.3">
      <c r="A334" t="s">
        <v>708</v>
      </c>
      <c r="B334" s="20">
        <v>45703</v>
      </c>
      <c r="C334" t="s">
        <v>709</v>
      </c>
      <c r="D334" t="s">
        <v>48</v>
      </c>
      <c r="E334" s="37">
        <v>37</v>
      </c>
      <c r="F334" t="s">
        <v>86</v>
      </c>
      <c r="G334" t="s">
        <v>87</v>
      </c>
      <c r="H334" t="s">
        <v>38</v>
      </c>
      <c r="I334" t="s">
        <v>39</v>
      </c>
      <c r="J334" t="s">
        <v>134</v>
      </c>
      <c r="K334" s="37">
        <v>6</v>
      </c>
      <c r="L334" t="s">
        <v>120</v>
      </c>
      <c r="M334" s="21">
        <v>42500</v>
      </c>
      <c r="N334" s="21">
        <v>591600</v>
      </c>
      <c r="O334" s="21">
        <v>81600</v>
      </c>
      <c r="P334">
        <v>2</v>
      </c>
      <c r="Q334" t="s">
        <v>42</v>
      </c>
      <c r="R334" s="37">
        <v>7</v>
      </c>
      <c r="S334" s="37">
        <v>22</v>
      </c>
      <c r="T334" t="s">
        <v>62</v>
      </c>
      <c r="U334" t="s">
        <v>63</v>
      </c>
      <c r="V334" t="s">
        <v>69</v>
      </c>
    </row>
    <row r="335" spans="1:22" ht="15" customHeight="1" x14ac:dyDescent="0.3">
      <c r="A335" t="s">
        <v>710</v>
      </c>
      <c r="B335" s="20">
        <v>45863</v>
      </c>
      <c r="C335" t="s">
        <v>231</v>
      </c>
      <c r="D335" t="s">
        <v>35</v>
      </c>
      <c r="E335" s="37">
        <v>31</v>
      </c>
      <c r="F335" t="s">
        <v>72</v>
      </c>
      <c r="G335" t="s">
        <v>73</v>
      </c>
      <c r="H335" t="s">
        <v>74</v>
      </c>
      <c r="I335" t="s">
        <v>82</v>
      </c>
      <c r="J335" t="s">
        <v>115</v>
      </c>
      <c r="K335" s="37">
        <v>25</v>
      </c>
      <c r="L335" t="s">
        <v>52</v>
      </c>
      <c r="M335" s="21">
        <v>57300</v>
      </c>
      <c r="N335" s="21">
        <v>770112</v>
      </c>
      <c r="O335" s="21">
        <v>82512</v>
      </c>
      <c r="P335">
        <v>2</v>
      </c>
      <c r="Q335" t="s">
        <v>42</v>
      </c>
      <c r="R335" s="37">
        <v>20</v>
      </c>
      <c r="S335" s="37">
        <v>13</v>
      </c>
      <c r="T335" t="s">
        <v>68</v>
      </c>
      <c r="U335" t="s">
        <v>44</v>
      </c>
      <c r="V335" t="s">
        <v>69</v>
      </c>
    </row>
    <row r="336" spans="1:22" ht="15" customHeight="1" x14ac:dyDescent="0.3">
      <c r="A336" t="s">
        <v>711</v>
      </c>
      <c r="B336" s="20">
        <v>45772</v>
      </c>
      <c r="C336" t="s">
        <v>712</v>
      </c>
      <c r="D336" t="s">
        <v>35</v>
      </c>
      <c r="E336" s="37">
        <v>51</v>
      </c>
      <c r="F336" t="s">
        <v>80</v>
      </c>
      <c r="G336" t="s">
        <v>81</v>
      </c>
      <c r="H336" t="s">
        <v>74</v>
      </c>
      <c r="I336" t="s">
        <v>82</v>
      </c>
      <c r="J336" t="s">
        <v>367</v>
      </c>
      <c r="K336" s="37">
        <v>22</v>
      </c>
      <c r="L336" t="s">
        <v>52</v>
      </c>
      <c r="M336" s="21">
        <v>51800</v>
      </c>
      <c r="N336" s="21">
        <v>702407</v>
      </c>
      <c r="O336" s="21">
        <v>80808</v>
      </c>
      <c r="P336">
        <v>4</v>
      </c>
      <c r="Q336" t="s">
        <v>42</v>
      </c>
      <c r="R336" s="37">
        <v>16</v>
      </c>
      <c r="S336" s="37">
        <v>18</v>
      </c>
      <c r="T336" t="s">
        <v>43</v>
      </c>
      <c r="U336" t="s">
        <v>63</v>
      </c>
      <c r="V336" t="s">
        <v>45</v>
      </c>
    </row>
    <row r="337" spans="1:22" ht="15" customHeight="1" x14ac:dyDescent="0.3">
      <c r="A337" t="s">
        <v>713</v>
      </c>
      <c r="B337" s="20">
        <v>45981</v>
      </c>
      <c r="C337" t="s">
        <v>714</v>
      </c>
      <c r="D337" t="s">
        <v>35</v>
      </c>
      <c r="E337" s="37">
        <v>48</v>
      </c>
      <c r="F337" t="s">
        <v>49</v>
      </c>
      <c r="G337" t="s">
        <v>50</v>
      </c>
      <c r="H337" t="s">
        <v>38</v>
      </c>
      <c r="I337" t="s">
        <v>82</v>
      </c>
      <c r="J337" t="s">
        <v>99</v>
      </c>
      <c r="K337" s="37">
        <v>15</v>
      </c>
      <c r="L337" t="s">
        <v>52</v>
      </c>
      <c r="M337" s="21">
        <v>66000</v>
      </c>
      <c r="N337" s="21">
        <v>863280</v>
      </c>
      <c r="O337" s="21">
        <v>71280</v>
      </c>
      <c r="P337">
        <v>2</v>
      </c>
      <c r="Q337" t="s">
        <v>42</v>
      </c>
      <c r="R337" s="37">
        <v>20</v>
      </c>
      <c r="S337" s="37">
        <v>35</v>
      </c>
      <c r="T337" t="s">
        <v>68</v>
      </c>
      <c r="U337" t="s">
        <v>44</v>
      </c>
      <c r="V337" t="s">
        <v>45</v>
      </c>
    </row>
    <row r="338" spans="1:22" ht="15" customHeight="1" x14ac:dyDescent="0.3">
      <c r="A338" t="s">
        <v>715</v>
      </c>
      <c r="B338" s="20">
        <v>45671</v>
      </c>
      <c r="C338" t="s">
        <v>716</v>
      </c>
      <c r="D338" t="s">
        <v>48</v>
      </c>
      <c r="E338" s="37">
        <v>24</v>
      </c>
      <c r="F338" t="s">
        <v>123</v>
      </c>
      <c r="G338" t="s">
        <v>124</v>
      </c>
      <c r="H338" t="s">
        <v>74</v>
      </c>
      <c r="I338" t="s">
        <v>82</v>
      </c>
      <c r="J338" t="s">
        <v>152</v>
      </c>
      <c r="K338" s="37">
        <v>4</v>
      </c>
      <c r="L338" t="s">
        <v>52</v>
      </c>
      <c r="M338" s="21">
        <v>68100</v>
      </c>
      <c r="N338" s="21">
        <v>866232</v>
      </c>
      <c r="O338" s="21">
        <v>49032</v>
      </c>
      <c r="P338">
        <v>5</v>
      </c>
      <c r="Q338" t="s">
        <v>42</v>
      </c>
      <c r="R338" s="37">
        <v>6</v>
      </c>
      <c r="S338" s="37">
        <v>30</v>
      </c>
      <c r="T338" t="s">
        <v>77</v>
      </c>
      <c r="U338" t="s">
        <v>44</v>
      </c>
      <c r="V338" t="s">
        <v>69</v>
      </c>
    </row>
    <row r="339" spans="1:22" ht="15" customHeight="1" x14ac:dyDescent="0.3">
      <c r="A339" t="s">
        <v>717</v>
      </c>
      <c r="B339" s="20">
        <v>45978</v>
      </c>
      <c r="C339" t="s">
        <v>528</v>
      </c>
      <c r="D339" t="s">
        <v>35</v>
      </c>
      <c r="E339" s="37">
        <v>48</v>
      </c>
      <c r="F339" t="s">
        <v>91</v>
      </c>
      <c r="G339" t="s">
        <v>92</v>
      </c>
      <c r="H339" t="s">
        <v>66</v>
      </c>
      <c r="I339" t="s">
        <v>39</v>
      </c>
      <c r="J339" t="s">
        <v>93</v>
      </c>
      <c r="K339" s="37">
        <v>4</v>
      </c>
      <c r="L339" t="s">
        <v>52</v>
      </c>
      <c r="M339" s="21">
        <v>44800</v>
      </c>
      <c r="N339" s="21">
        <v>645120</v>
      </c>
      <c r="O339" s="21">
        <v>107520</v>
      </c>
      <c r="P339">
        <v>3</v>
      </c>
      <c r="Q339" t="s">
        <v>42</v>
      </c>
      <c r="R339" s="37">
        <v>18</v>
      </c>
      <c r="S339" s="37">
        <v>29</v>
      </c>
      <c r="T339" t="s">
        <v>146</v>
      </c>
      <c r="U339" t="s">
        <v>44</v>
      </c>
      <c r="V339" t="s">
        <v>69</v>
      </c>
    </row>
    <row r="340" spans="1:22" ht="15" customHeight="1" x14ac:dyDescent="0.3">
      <c r="A340" t="s">
        <v>718</v>
      </c>
      <c r="B340" s="20">
        <v>45966</v>
      </c>
      <c r="C340" t="s">
        <v>719</v>
      </c>
      <c r="D340" t="s">
        <v>48</v>
      </c>
      <c r="E340" s="37">
        <v>33</v>
      </c>
      <c r="F340" t="s">
        <v>36</v>
      </c>
      <c r="G340" t="s">
        <v>37</v>
      </c>
      <c r="H340" t="s">
        <v>38</v>
      </c>
      <c r="I340" t="s">
        <v>60</v>
      </c>
      <c r="J340" t="s">
        <v>40</v>
      </c>
      <c r="K340" s="37">
        <v>25</v>
      </c>
      <c r="L340" t="s">
        <v>52</v>
      </c>
      <c r="M340" s="21">
        <v>142700</v>
      </c>
      <c r="N340" s="21">
        <v>1969259</v>
      </c>
      <c r="O340" s="21">
        <v>256860</v>
      </c>
      <c r="P340">
        <v>4</v>
      </c>
      <c r="Q340" t="s">
        <v>126</v>
      </c>
      <c r="R340" s="37">
        <v>18</v>
      </c>
      <c r="S340" s="37">
        <v>10</v>
      </c>
      <c r="T340" t="s">
        <v>77</v>
      </c>
      <c r="U340" t="s">
        <v>54</v>
      </c>
      <c r="V340" t="s">
        <v>45</v>
      </c>
    </row>
    <row r="341" spans="1:22" ht="15" customHeight="1" x14ac:dyDescent="0.3">
      <c r="A341" t="s">
        <v>720</v>
      </c>
      <c r="B341" s="20">
        <v>45759</v>
      </c>
      <c r="C341" t="s">
        <v>721</v>
      </c>
      <c r="D341" t="s">
        <v>48</v>
      </c>
      <c r="E341" s="37">
        <v>31</v>
      </c>
      <c r="F341" t="s">
        <v>80</v>
      </c>
      <c r="G341" t="s">
        <v>81</v>
      </c>
      <c r="H341" t="s">
        <v>118</v>
      </c>
      <c r="I341" t="s">
        <v>39</v>
      </c>
      <c r="J341" t="s">
        <v>137</v>
      </c>
      <c r="K341" s="37">
        <v>11</v>
      </c>
      <c r="L341" t="s">
        <v>52</v>
      </c>
      <c r="M341" s="21">
        <v>37900</v>
      </c>
      <c r="N341" s="21">
        <v>513923</v>
      </c>
      <c r="O341" s="21">
        <v>59124</v>
      </c>
      <c r="P341">
        <v>4</v>
      </c>
      <c r="Q341" t="s">
        <v>42</v>
      </c>
      <c r="R341" s="37">
        <v>9</v>
      </c>
      <c r="S341" s="37">
        <v>14</v>
      </c>
      <c r="T341" t="s">
        <v>105</v>
      </c>
      <c r="U341" t="s">
        <v>63</v>
      </c>
      <c r="V341" t="s">
        <v>45</v>
      </c>
    </row>
    <row r="342" spans="1:22" ht="15" customHeight="1" x14ac:dyDescent="0.3">
      <c r="A342" t="s">
        <v>722</v>
      </c>
      <c r="B342" s="20">
        <v>46004</v>
      </c>
      <c r="C342" t="s">
        <v>723</v>
      </c>
      <c r="D342" t="s">
        <v>35</v>
      </c>
      <c r="E342" s="37">
        <v>25</v>
      </c>
      <c r="F342" t="s">
        <v>72</v>
      </c>
      <c r="G342" t="s">
        <v>73</v>
      </c>
      <c r="H342" t="s">
        <v>66</v>
      </c>
      <c r="I342" t="s">
        <v>51</v>
      </c>
      <c r="J342" t="s">
        <v>67</v>
      </c>
      <c r="K342" s="37">
        <v>20</v>
      </c>
      <c r="L342" t="s">
        <v>52</v>
      </c>
      <c r="M342" s="21">
        <v>210300</v>
      </c>
      <c r="N342" s="21">
        <v>2876904</v>
      </c>
      <c r="O342" s="21">
        <v>353304</v>
      </c>
      <c r="P342">
        <v>2</v>
      </c>
      <c r="Q342" t="s">
        <v>42</v>
      </c>
      <c r="R342" s="37">
        <v>1</v>
      </c>
      <c r="S342" s="37">
        <v>5</v>
      </c>
      <c r="T342" t="s">
        <v>43</v>
      </c>
      <c r="U342" t="s">
        <v>44</v>
      </c>
      <c r="V342" t="s">
        <v>45</v>
      </c>
    </row>
    <row r="343" spans="1:22" ht="15" customHeight="1" x14ac:dyDescent="0.3">
      <c r="A343" t="s">
        <v>724</v>
      </c>
      <c r="B343" s="20">
        <v>45832</v>
      </c>
      <c r="C343" t="s">
        <v>133</v>
      </c>
      <c r="D343" t="s">
        <v>35</v>
      </c>
      <c r="E343" s="37">
        <v>53</v>
      </c>
      <c r="F343" t="s">
        <v>57</v>
      </c>
      <c r="G343" t="s">
        <v>58</v>
      </c>
      <c r="H343" t="s">
        <v>38</v>
      </c>
      <c r="I343" t="s">
        <v>82</v>
      </c>
      <c r="J343" t="s">
        <v>99</v>
      </c>
      <c r="K343" s="37">
        <v>13</v>
      </c>
      <c r="L343" t="s">
        <v>52</v>
      </c>
      <c r="M343" s="21">
        <v>48700</v>
      </c>
      <c r="N343" s="21">
        <v>636996</v>
      </c>
      <c r="O343" s="21">
        <v>52596</v>
      </c>
      <c r="P343">
        <v>2</v>
      </c>
      <c r="Q343" t="s">
        <v>126</v>
      </c>
      <c r="R343" s="37">
        <v>5</v>
      </c>
      <c r="S343" s="37">
        <v>33</v>
      </c>
      <c r="T343" t="s">
        <v>77</v>
      </c>
      <c r="U343" t="s">
        <v>54</v>
      </c>
      <c r="V343" t="s">
        <v>45</v>
      </c>
    </row>
    <row r="344" spans="1:22" ht="15" customHeight="1" x14ac:dyDescent="0.3">
      <c r="A344" t="s">
        <v>725</v>
      </c>
      <c r="B344" s="20">
        <v>45785</v>
      </c>
      <c r="C344" t="s">
        <v>390</v>
      </c>
      <c r="D344" t="s">
        <v>35</v>
      </c>
      <c r="E344" s="37">
        <v>49</v>
      </c>
      <c r="F344" t="s">
        <v>72</v>
      </c>
      <c r="G344" t="s">
        <v>73</v>
      </c>
      <c r="H344" t="s">
        <v>74</v>
      </c>
      <c r="I344" t="s">
        <v>82</v>
      </c>
      <c r="J344" t="s">
        <v>367</v>
      </c>
      <c r="K344" s="37">
        <v>10</v>
      </c>
      <c r="L344" t="s">
        <v>52</v>
      </c>
      <c r="M344" s="21">
        <v>52600</v>
      </c>
      <c r="N344" s="21">
        <v>751128</v>
      </c>
      <c r="O344" s="21">
        <v>119928</v>
      </c>
      <c r="P344">
        <v>3</v>
      </c>
      <c r="Q344" t="s">
        <v>42</v>
      </c>
      <c r="R344" s="37">
        <v>17</v>
      </c>
      <c r="S344" s="37">
        <v>27</v>
      </c>
      <c r="T344" t="s">
        <v>77</v>
      </c>
      <c r="U344" t="s">
        <v>63</v>
      </c>
      <c r="V344" t="s">
        <v>45</v>
      </c>
    </row>
    <row r="345" spans="1:22" ht="15" customHeight="1" x14ac:dyDescent="0.3">
      <c r="A345" t="s">
        <v>726</v>
      </c>
      <c r="B345" s="20">
        <v>45907</v>
      </c>
      <c r="C345" t="s">
        <v>411</v>
      </c>
      <c r="D345" t="s">
        <v>35</v>
      </c>
      <c r="E345" s="37">
        <v>54</v>
      </c>
      <c r="F345" t="s">
        <v>108</v>
      </c>
      <c r="G345" t="s">
        <v>109</v>
      </c>
      <c r="H345" t="s">
        <v>38</v>
      </c>
      <c r="I345" t="s">
        <v>82</v>
      </c>
      <c r="J345" t="s">
        <v>134</v>
      </c>
      <c r="K345" s="37">
        <v>24</v>
      </c>
      <c r="L345" t="s">
        <v>52</v>
      </c>
      <c r="M345" s="21">
        <v>54700</v>
      </c>
      <c r="N345" s="21">
        <v>728604</v>
      </c>
      <c r="O345" s="21">
        <v>72204</v>
      </c>
      <c r="P345">
        <v>4</v>
      </c>
      <c r="Q345" t="s">
        <v>42</v>
      </c>
      <c r="R345" s="37">
        <v>13</v>
      </c>
      <c r="S345" s="37">
        <v>37</v>
      </c>
      <c r="T345" t="s">
        <v>53</v>
      </c>
      <c r="U345" t="s">
        <v>44</v>
      </c>
      <c r="V345" t="s">
        <v>69</v>
      </c>
    </row>
    <row r="346" spans="1:22" ht="15" customHeight="1" x14ac:dyDescent="0.3">
      <c r="A346" t="s">
        <v>727</v>
      </c>
      <c r="B346" s="20">
        <v>45955</v>
      </c>
      <c r="C346" t="s">
        <v>331</v>
      </c>
      <c r="D346" t="s">
        <v>35</v>
      </c>
      <c r="E346" s="37">
        <v>52</v>
      </c>
      <c r="F346" t="s">
        <v>49</v>
      </c>
      <c r="G346" t="s">
        <v>50</v>
      </c>
      <c r="H346" t="s">
        <v>118</v>
      </c>
      <c r="I346" t="s">
        <v>39</v>
      </c>
      <c r="J346" t="s">
        <v>137</v>
      </c>
      <c r="K346" s="37">
        <v>10</v>
      </c>
      <c r="L346" t="s">
        <v>52</v>
      </c>
      <c r="M346" s="21">
        <v>33400</v>
      </c>
      <c r="N346" s="21">
        <v>460919</v>
      </c>
      <c r="O346" s="21">
        <v>60120</v>
      </c>
      <c r="P346">
        <v>3</v>
      </c>
      <c r="Q346" t="s">
        <v>42</v>
      </c>
      <c r="R346" s="37">
        <v>18</v>
      </c>
      <c r="S346" s="37">
        <v>8</v>
      </c>
      <c r="T346" t="s">
        <v>105</v>
      </c>
      <c r="U346" t="s">
        <v>63</v>
      </c>
      <c r="V346" t="s">
        <v>69</v>
      </c>
    </row>
    <row r="347" spans="1:22" ht="15" customHeight="1" x14ac:dyDescent="0.3">
      <c r="A347" t="s">
        <v>728</v>
      </c>
      <c r="B347" s="20">
        <v>46013</v>
      </c>
      <c r="C347" t="s">
        <v>729</v>
      </c>
      <c r="D347" t="s">
        <v>48</v>
      </c>
      <c r="E347" s="37">
        <v>36</v>
      </c>
      <c r="F347" t="s">
        <v>72</v>
      </c>
      <c r="G347" t="s">
        <v>73</v>
      </c>
      <c r="H347" t="s">
        <v>38</v>
      </c>
      <c r="I347" t="s">
        <v>82</v>
      </c>
      <c r="J347" t="s">
        <v>40</v>
      </c>
      <c r="K347" s="37">
        <v>30</v>
      </c>
      <c r="L347" t="s">
        <v>41</v>
      </c>
      <c r="M347" s="21">
        <v>61500</v>
      </c>
      <c r="N347" s="21">
        <v>885600</v>
      </c>
      <c r="O347" s="21">
        <v>147600</v>
      </c>
      <c r="P347">
        <v>5</v>
      </c>
      <c r="Q347" t="s">
        <v>42</v>
      </c>
      <c r="R347" s="37">
        <v>2</v>
      </c>
      <c r="S347" s="37">
        <v>36</v>
      </c>
      <c r="T347" t="s">
        <v>175</v>
      </c>
      <c r="U347" t="s">
        <v>63</v>
      </c>
      <c r="V347" t="s">
        <v>45</v>
      </c>
    </row>
    <row r="348" spans="1:22" ht="15" customHeight="1" x14ac:dyDescent="0.3">
      <c r="A348" t="s">
        <v>730</v>
      </c>
      <c r="B348" s="20">
        <v>45748</v>
      </c>
      <c r="C348" t="s">
        <v>221</v>
      </c>
      <c r="D348" t="s">
        <v>48</v>
      </c>
      <c r="E348" s="37">
        <v>50</v>
      </c>
      <c r="F348" t="s">
        <v>86</v>
      </c>
      <c r="G348" t="s">
        <v>87</v>
      </c>
      <c r="H348" t="s">
        <v>118</v>
      </c>
      <c r="I348" t="s">
        <v>39</v>
      </c>
      <c r="J348" t="s">
        <v>250</v>
      </c>
      <c r="K348" s="37">
        <v>9</v>
      </c>
      <c r="L348" t="s">
        <v>52</v>
      </c>
      <c r="M348" s="21">
        <v>36900</v>
      </c>
      <c r="N348" s="21">
        <v>482652</v>
      </c>
      <c r="O348" s="21">
        <v>39852</v>
      </c>
      <c r="P348">
        <v>3</v>
      </c>
      <c r="Q348" t="s">
        <v>42</v>
      </c>
      <c r="R348" s="37">
        <v>11</v>
      </c>
      <c r="S348" s="37">
        <v>39</v>
      </c>
      <c r="T348" t="s">
        <v>105</v>
      </c>
      <c r="U348" t="s">
        <v>63</v>
      </c>
      <c r="V348" t="s">
        <v>69</v>
      </c>
    </row>
    <row r="349" spans="1:22" ht="15" customHeight="1" x14ac:dyDescent="0.3">
      <c r="A349" t="s">
        <v>731</v>
      </c>
      <c r="B349" s="20">
        <v>45876</v>
      </c>
      <c r="C349" t="s">
        <v>732</v>
      </c>
      <c r="D349" t="s">
        <v>35</v>
      </c>
      <c r="E349" s="37">
        <v>29</v>
      </c>
      <c r="F349" t="s">
        <v>91</v>
      </c>
      <c r="G349" t="s">
        <v>92</v>
      </c>
      <c r="H349" t="s">
        <v>38</v>
      </c>
      <c r="I349" t="s">
        <v>39</v>
      </c>
      <c r="J349" t="s">
        <v>40</v>
      </c>
      <c r="K349" s="37">
        <v>17</v>
      </c>
      <c r="L349" t="s">
        <v>120</v>
      </c>
      <c r="M349" s="21">
        <v>34200</v>
      </c>
      <c r="N349" s="21">
        <v>484272</v>
      </c>
      <c r="O349" s="21">
        <v>73872</v>
      </c>
      <c r="P349">
        <v>5</v>
      </c>
      <c r="Q349" t="s">
        <v>42</v>
      </c>
      <c r="R349" s="37">
        <v>13</v>
      </c>
      <c r="S349" s="37">
        <v>23</v>
      </c>
      <c r="T349" t="s">
        <v>62</v>
      </c>
      <c r="U349" t="s">
        <v>44</v>
      </c>
      <c r="V349" t="s">
        <v>45</v>
      </c>
    </row>
    <row r="350" spans="1:22" ht="15" customHeight="1" x14ac:dyDescent="0.3">
      <c r="A350" t="s">
        <v>733</v>
      </c>
      <c r="B350" s="20">
        <v>45782</v>
      </c>
      <c r="C350" t="s">
        <v>307</v>
      </c>
      <c r="D350" t="s">
        <v>35</v>
      </c>
      <c r="E350" s="37">
        <v>29</v>
      </c>
      <c r="F350" t="s">
        <v>97</v>
      </c>
      <c r="G350" t="s">
        <v>98</v>
      </c>
      <c r="H350" t="s">
        <v>66</v>
      </c>
      <c r="I350" t="s">
        <v>39</v>
      </c>
      <c r="J350" t="s">
        <v>93</v>
      </c>
      <c r="K350" s="37">
        <v>14</v>
      </c>
      <c r="L350" t="s">
        <v>52</v>
      </c>
      <c r="M350" s="21">
        <v>40000</v>
      </c>
      <c r="N350" s="21">
        <v>542400</v>
      </c>
      <c r="O350" s="21">
        <v>62400</v>
      </c>
      <c r="P350">
        <v>4</v>
      </c>
      <c r="Q350" t="s">
        <v>42</v>
      </c>
      <c r="R350" s="37">
        <v>8</v>
      </c>
      <c r="S350" s="37">
        <v>32</v>
      </c>
      <c r="T350" t="s">
        <v>68</v>
      </c>
      <c r="U350" t="s">
        <v>63</v>
      </c>
      <c r="V350" t="s">
        <v>45</v>
      </c>
    </row>
    <row r="351" spans="1:22" ht="15" customHeight="1" x14ac:dyDescent="0.3">
      <c r="A351" t="s">
        <v>734</v>
      </c>
      <c r="B351" s="20">
        <v>45877</v>
      </c>
      <c r="C351" t="s">
        <v>735</v>
      </c>
      <c r="D351" t="s">
        <v>35</v>
      </c>
      <c r="E351" s="37">
        <v>22</v>
      </c>
      <c r="F351" t="s">
        <v>123</v>
      </c>
      <c r="G351" t="s">
        <v>124</v>
      </c>
      <c r="H351" t="s">
        <v>66</v>
      </c>
      <c r="I351" t="s">
        <v>39</v>
      </c>
      <c r="J351" t="s">
        <v>93</v>
      </c>
      <c r="K351" s="37">
        <v>8</v>
      </c>
      <c r="L351" t="s">
        <v>120</v>
      </c>
      <c r="M351" s="21">
        <v>40700</v>
      </c>
      <c r="N351" s="21">
        <v>547008</v>
      </c>
      <c r="O351" s="21">
        <v>58608</v>
      </c>
      <c r="P351">
        <v>2</v>
      </c>
      <c r="Q351" t="s">
        <v>126</v>
      </c>
      <c r="R351" s="37">
        <v>10</v>
      </c>
      <c r="S351" s="37">
        <v>35</v>
      </c>
      <c r="T351" t="s">
        <v>94</v>
      </c>
      <c r="U351" t="s">
        <v>44</v>
      </c>
      <c r="V351" t="s">
        <v>69</v>
      </c>
    </row>
    <row r="352" spans="1:22" ht="15" customHeight="1" x14ac:dyDescent="0.3">
      <c r="A352" t="s">
        <v>736</v>
      </c>
      <c r="B352" s="20">
        <v>45946</v>
      </c>
      <c r="C352" t="s">
        <v>737</v>
      </c>
      <c r="D352" t="s">
        <v>35</v>
      </c>
      <c r="E352" s="37">
        <v>56</v>
      </c>
      <c r="F352" t="s">
        <v>123</v>
      </c>
      <c r="G352" t="s">
        <v>124</v>
      </c>
      <c r="H352" t="s">
        <v>59</v>
      </c>
      <c r="I352" t="s">
        <v>60</v>
      </c>
      <c r="J352" t="s">
        <v>125</v>
      </c>
      <c r="K352" s="37">
        <v>19</v>
      </c>
      <c r="L352" t="s">
        <v>52</v>
      </c>
      <c r="M352" s="21">
        <v>114700</v>
      </c>
      <c r="N352" s="21">
        <v>1651680</v>
      </c>
      <c r="O352" s="21">
        <v>275280</v>
      </c>
      <c r="P352">
        <v>4</v>
      </c>
      <c r="Q352" t="s">
        <v>42</v>
      </c>
      <c r="R352" s="37">
        <v>6</v>
      </c>
      <c r="S352" s="37">
        <v>11</v>
      </c>
      <c r="T352" t="s">
        <v>94</v>
      </c>
      <c r="U352" t="s">
        <v>44</v>
      </c>
      <c r="V352" t="s">
        <v>45</v>
      </c>
    </row>
    <row r="353" spans="1:22" ht="15" customHeight="1" x14ac:dyDescent="0.3">
      <c r="A353" t="s">
        <v>738</v>
      </c>
      <c r="B353" s="20">
        <v>45923</v>
      </c>
      <c r="C353" t="s">
        <v>739</v>
      </c>
      <c r="D353" t="s">
        <v>35</v>
      </c>
      <c r="E353" s="37">
        <v>55</v>
      </c>
      <c r="F353" t="s">
        <v>57</v>
      </c>
      <c r="G353" t="s">
        <v>58</v>
      </c>
      <c r="H353" t="s">
        <v>38</v>
      </c>
      <c r="I353" t="s">
        <v>60</v>
      </c>
      <c r="J353" t="s">
        <v>110</v>
      </c>
      <c r="K353" s="37">
        <v>16</v>
      </c>
      <c r="L353" t="s">
        <v>52</v>
      </c>
      <c r="M353" s="21">
        <v>143200</v>
      </c>
      <c r="N353" s="21">
        <v>1873056</v>
      </c>
      <c r="O353" s="21">
        <v>154656</v>
      </c>
      <c r="P353">
        <v>4</v>
      </c>
      <c r="Q353" t="s">
        <v>42</v>
      </c>
      <c r="R353" s="37">
        <v>7</v>
      </c>
      <c r="S353" s="37">
        <v>14</v>
      </c>
      <c r="T353" t="s">
        <v>68</v>
      </c>
      <c r="U353" t="s">
        <v>138</v>
      </c>
      <c r="V353" t="s">
        <v>45</v>
      </c>
    </row>
    <row r="354" spans="1:22" ht="15" customHeight="1" x14ac:dyDescent="0.3">
      <c r="A354" t="s">
        <v>740</v>
      </c>
      <c r="B354" s="20">
        <v>45843</v>
      </c>
      <c r="C354" t="s">
        <v>469</v>
      </c>
      <c r="D354" t="s">
        <v>48</v>
      </c>
      <c r="E354" s="37">
        <v>48</v>
      </c>
      <c r="F354" t="s">
        <v>91</v>
      </c>
      <c r="G354" t="s">
        <v>92</v>
      </c>
      <c r="H354" t="s">
        <v>38</v>
      </c>
      <c r="I354" t="s">
        <v>75</v>
      </c>
      <c r="J354" t="s">
        <v>190</v>
      </c>
      <c r="K354" s="37">
        <v>15</v>
      </c>
      <c r="L354" t="s">
        <v>52</v>
      </c>
      <c r="M354" s="21">
        <v>75800</v>
      </c>
      <c r="N354" s="21">
        <v>982368</v>
      </c>
      <c r="O354" s="21">
        <v>72768</v>
      </c>
      <c r="P354">
        <v>4</v>
      </c>
      <c r="Q354" t="s">
        <v>42</v>
      </c>
      <c r="R354" s="37">
        <v>14</v>
      </c>
      <c r="S354" s="37">
        <v>38</v>
      </c>
      <c r="T354" t="s">
        <v>94</v>
      </c>
      <c r="U354" t="s">
        <v>63</v>
      </c>
      <c r="V354" t="s">
        <v>45</v>
      </c>
    </row>
    <row r="355" spans="1:22" ht="15" customHeight="1" x14ac:dyDescent="0.3">
      <c r="A355" t="s">
        <v>741</v>
      </c>
      <c r="B355" s="20">
        <v>45875</v>
      </c>
      <c r="C355" t="s">
        <v>216</v>
      </c>
      <c r="D355" t="s">
        <v>48</v>
      </c>
      <c r="E355" s="37">
        <v>48</v>
      </c>
      <c r="F355" t="s">
        <v>108</v>
      </c>
      <c r="G355" t="s">
        <v>109</v>
      </c>
      <c r="H355" t="s">
        <v>59</v>
      </c>
      <c r="I355" t="s">
        <v>51</v>
      </c>
      <c r="J355" t="s">
        <v>61</v>
      </c>
      <c r="K355" s="37">
        <v>15</v>
      </c>
      <c r="L355" t="s">
        <v>52</v>
      </c>
      <c r="M355" s="21">
        <v>235200</v>
      </c>
      <c r="N355" s="21">
        <v>3161088</v>
      </c>
      <c r="O355" s="21">
        <v>338688</v>
      </c>
      <c r="P355">
        <v>4</v>
      </c>
      <c r="Q355" t="s">
        <v>42</v>
      </c>
      <c r="R355" s="37">
        <v>17</v>
      </c>
      <c r="S355" s="37">
        <v>19</v>
      </c>
      <c r="T355" t="s">
        <v>68</v>
      </c>
      <c r="U355" t="s">
        <v>63</v>
      </c>
      <c r="V355" t="s">
        <v>45</v>
      </c>
    </row>
    <row r="356" spans="1:22" ht="15" customHeight="1" x14ac:dyDescent="0.3">
      <c r="A356" t="s">
        <v>742</v>
      </c>
      <c r="B356" s="20">
        <v>45795</v>
      </c>
      <c r="C356" t="s">
        <v>743</v>
      </c>
      <c r="D356" t="s">
        <v>35</v>
      </c>
      <c r="E356" s="37">
        <v>47</v>
      </c>
      <c r="F356" t="s">
        <v>57</v>
      </c>
      <c r="G356" t="s">
        <v>58</v>
      </c>
      <c r="H356" t="s">
        <v>66</v>
      </c>
      <c r="I356" t="s">
        <v>39</v>
      </c>
      <c r="J356" t="s">
        <v>93</v>
      </c>
      <c r="K356" s="37">
        <v>15</v>
      </c>
      <c r="L356" t="s">
        <v>52</v>
      </c>
      <c r="M356" s="21">
        <v>48900</v>
      </c>
      <c r="N356" s="21">
        <v>680688</v>
      </c>
      <c r="O356" s="21">
        <v>93888</v>
      </c>
      <c r="P356">
        <v>4</v>
      </c>
      <c r="Q356" t="s">
        <v>42</v>
      </c>
      <c r="R356" s="37">
        <v>10</v>
      </c>
      <c r="S356" s="37">
        <v>34</v>
      </c>
      <c r="T356" t="s">
        <v>62</v>
      </c>
      <c r="U356" t="s">
        <v>44</v>
      </c>
      <c r="V356" t="s">
        <v>69</v>
      </c>
    </row>
    <row r="357" spans="1:22" ht="15" customHeight="1" x14ac:dyDescent="0.3">
      <c r="A357" t="s">
        <v>744</v>
      </c>
      <c r="B357" s="20">
        <v>45699</v>
      </c>
      <c r="C357" t="s">
        <v>745</v>
      </c>
      <c r="D357" t="s">
        <v>35</v>
      </c>
      <c r="E357" s="37">
        <v>31</v>
      </c>
      <c r="F357" t="s">
        <v>72</v>
      </c>
      <c r="G357" t="s">
        <v>73</v>
      </c>
      <c r="H357" t="s">
        <v>66</v>
      </c>
      <c r="I357" t="s">
        <v>39</v>
      </c>
      <c r="J357" t="s">
        <v>170</v>
      </c>
      <c r="K357" s="37">
        <v>19</v>
      </c>
      <c r="L357" t="s">
        <v>52</v>
      </c>
      <c r="M357" s="21">
        <v>36000</v>
      </c>
      <c r="N357" s="21">
        <v>462240</v>
      </c>
      <c r="O357" s="21">
        <v>30240</v>
      </c>
      <c r="P357">
        <v>4</v>
      </c>
      <c r="Q357" t="s">
        <v>42</v>
      </c>
      <c r="R357" s="37">
        <v>7</v>
      </c>
      <c r="S357" s="37">
        <v>19</v>
      </c>
      <c r="T357" t="s">
        <v>105</v>
      </c>
      <c r="U357" t="s">
        <v>44</v>
      </c>
      <c r="V357" t="s">
        <v>69</v>
      </c>
    </row>
    <row r="358" spans="1:22" ht="15" customHeight="1" x14ac:dyDescent="0.3">
      <c r="A358" t="s">
        <v>746</v>
      </c>
      <c r="B358" s="20">
        <v>46018</v>
      </c>
      <c r="C358" t="s">
        <v>747</v>
      </c>
      <c r="D358" t="s">
        <v>48</v>
      </c>
      <c r="E358" s="37">
        <v>55</v>
      </c>
      <c r="F358" t="s">
        <v>86</v>
      </c>
      <c r="G358" t="s">
        <v>87</v>
      </c>
      <c r="H358" t="s">
        <v>118</v>
      </c>
      <c r="I358" t="s">
        <v>82</v>
      </c>
      <c r="J358" t="s">
        <v>250</v>
      </c>
      <c r="K358" s="37">
        <v>28</v>
      </c>
      <c r="L358" t="s">
        <v>52</v>
      </c>
      <c r="M358" s="21">
        <v>45200</v>
      </c>
      <c r="N358" s="21">
        <v>596640</v>
      </c>
      <c r="O358" s="21">
        <v>54240</v>
      </c>
      <c r="P358">
        <v>3</v>
      </c>
      <c r="Q358" t="s">
        <v>42</v>
      </c>
      <c r="R358" s="37">
        <v>16</v>
      </c>
      <c r="S358" s="37">
        <v>9</v>
      </c>
      <c r="T358" t="s">
        <v>105</v>
      </c>
      <c r="U358" t="s">
        <v>138</v>
      </c>
      <c r="V358" t="s">
        <v>69</v>
      </c>
    </row>
    <row r="359" spans="1:22" ht="15" customHeight="1" x14ac:dyDescent="0.3">
      <c r="A359" t="s">
        <v>748</v>
      </c>
      <c r="B359" s="20">
        <v>45731</v>
      </c>
      <c r="C359" t="s">
        <v>749</v>
      </c>
      <c r="D359" t="s">
        <v>35</v>
      </c>
      <c r="E359" s="37">
        <v>44</v>
      </c>
      <c r="F359" t="s">
        <v>49</v>
      </c>
      <c r="G359" t="s">
        <v>50</v>
      </c>
      <c r="H359" t="s">
        <v>66</v>
      </c>
      <c r="I359" t="s">
        <v>75</v>
      </c>
      <c r="J359" t="s">
        <v>161</v>
      </c>
      <c r="K359" s="37">
        <v>29</v>
      </c>
      <c r="L359" t="s">
        <v>52</v>
      </c>
      <c r="M359" s="21">
        <v>112500</v>
      </c>
      <c r="N359" s="21">
        <v>1539000</v>
      </c>
      <c r="O359" s="21">
        <v>189000</v>
      </c>
      <c r="P359">
        <v>4</v>
      </c>
      <c r="Q359" t="s">
        <v>42</v>
      </c>
      <c r="R359" s="37">
        <v>7</v>
      </c>
      <c r="S359" s="37">
        <v>18</v>
      </c>
      <c r="T359" t="s">
        <v>105</v>
      </c>
      <c r="U359" t="s">
        <v>63</v>
      </c>
      <c r="V359" t="s">
        <v>45</v>
      </c>
    </row>
    <row r="360" spans="1:22" ht="15" customHeight="1" x14ac:dyDescent="0.3">
      <c r="A360" t="s">
        <v>750</v>
      </c>
      <c r="B360" s="20">
        <v>45664</v>
      </c>
      <c r="C360" t="s">
        <v>751</v>
      </c>
      <c r="D360" t="s">
        <v>35</v>
      </c>
      <c r="E360" s="37">
        <v>39</v>
      </c>
      <c r="F360" t="s">
        <v>123</v>
      </c>
      <c r="G360" t="s">
        <v>124</v>
      </c>
      <c r="H360" t="s">
        <v>66</v>
      </c>
      <c r="I360" t="s">
        <v>82</v>
      </c>
      <c r="J360" t="s">
        <v>161</v>
      </c>
      <c r="K360" s="37">
        <v>16</v>
      </c>
      <c r="L360" t="s">
        <v>52</v>
      </c>
      <c r="M360" s="21">
        <v>61300</v>
      </c>
      <c r="N360" s="21">
        <v>816516</v>
      </c>
      <c r="O360" s="21">
        <v>80916</v>
      </c>
      <c r="P360">
        <v>3</v>
      </c>
      <c r="Q360" t="s">
        <v>42</v>
      </c>
      <c r="R360" s="37">
        <v>4</v>
      </c>
      <c r="S360" s="37">
        <v>23</v>
      </c>
      <c r="T360" t="s">
        <v>94</v>
      </c>
      <c r="U360" t="s">
        <v>44</v>
      </c>
      <c r="V360" t="s">
        <v>69</v>
      </c>
    </row>
    <row r="361" spans="1:22" ht="15" customHeight="1" x14ac:dyDescent="0.3">
      <c r="A361" t="s">
        <v>752</v>
      </c>
      <c r="B361" s="20">
        <v>45695</v>
      </c>
      <c r="C361" t="s">
        <v>753</v>
      </c>
      <c r="D361" t="s">
        <v>35</v>
      </c>
      <c r="E361" s="37">
        <v>33</v>
      </c>
      <c r="F361" t="s">
        <v>80</v>
      </c>
      <c r="G361" t="s">
        <v>81</v>
      </c>
      <c r="H361" t="s">
        <v>74</v>
      </c>
      <c r="I361" t="s">
        <v>75</v>
      </c>
      <c r="J361" t="s">
        <v>152</v>
      </c>
      <c r="K361" s="37">
        <v>12</v>
      </c>
      <c r="L361" t="s">
        <v>41</v>
      </c>
      <c r="M361" s="21">
        <v>103100</v>
      </c>
      <c r="N361" s="21">
        <v>1311432</v>
      </c>
      <c r="O361" s="21">
        <v>74232</v>
      </c>
      <c r="P361">
        <v>4</v>
      </c>
      <c r="Q361" t="s">
        <v>42</v>
      </c>
      <c r="R361" s="37">
        <v>6</v>
      </c>
      <c r="S361" s="37">
        <v>10</v>
      </c>
      <c r="T361" t="s">
        <v>62</v>
      </c>
      <c r="U361" t="s">
        <v>44</v>
      </c>
      <c r="V361" t="s">
        <v>45</v>
      </c>
    </row>
    <row r="362" spans="1:22" ht="15" customHeight="1" x14ac:dyDescent="0.3">
      <c r="A362" t="s">
        <v>754</v>
      </c>
      <c r="B362" s="20">
        <v>45840</v>
      </c>
      <c r="C362" t="s">
        <v>755</v>
      </c>
      <c r="D362" t="s">
        <v>48</v>
      </c>
      <c r="E362" s="37">
        <v>34</v>
      </c>
      <c r="F362" t="s">
        <v>36</v>
      </c>
      <c r="G362" t="s">
        <v>37</v>
      </c>
      <c r="H362" t="s">
        <v>118</v>
      </c>
      <c r="I362" t="s">
        <v>39</v>
      </c>
      <c r="J362" t="s">
        <v>182</v>
      </c>
      <c r="K362" s="37">
        <v>6</v>
      </c>
      <c r="L362" t="s">
        <v>52</v>
      </c>
      <c r="M362" s="21">
        <v>39400</v>
      </c>
      <c r="N362" s="21">
        <v>534264</v>
      </c>
      <c r="O362" s="21">
        <v>61464</v>
      </c>
      <c r="P362">
        <v>5</v>
      </c>
      <c r="Q362" t="s">
        <v>42</v>
      </c>
      <c r="R362" s="37">
        <v>6</v>
      </c>
      <c r="S362" s="37">
        <v>38</v>
      </c>
      <c r="T362" t="s">
        <v>105</v>
      </c>
      <c r="U362" t="s">
        <v>63</v>
      </c>
      <c r="V362" t="s">
        <v>45</v>
      </c>
    </row>
    <row r="363" spans="1:22" ht="15" customHeight="1" x14ac:dyDescent="0.3">
      <c r="A363" t="s">
        <v>756</v>
      </c>
      <c r="B363" s="20">
        <v>45680</v>
      </c>
      <c r="C363" t="s">
        <v>452</v>
      </c>
      <c r="D363" t="s">
        <v>48</v>
      </c>
      <c r="E363" s="37">
        <v>58</v>
      </c>
      <c r="F363" t="s">
        <v>57</v>
      </c>
      <c r="G363" t="s">
        <v>58</v>
      </c>
      <c r="H363" t="s">
        <v>118</v>
      </c>
      <c r="I363" t="s">
        <v>75</v>
      </c>
      <c r="J363" t="s">
        <v>250</v>
      </c>
      <c r="K363" s="37">
        <v>18</v>
      </c>
      <c r="L363" t="s">
        <v>52</v>
      </c>
      <c r="M363" s="21">
        <v>92600</v>
      </c>
      <c r="N363" s="21">
        <v>1288992</v>
      </c>
      <c r="O363" s="21">
        <v>177792</v>
      </c>
      <c r="P363">
        <v>3</v>
      </c>
      <c r="Q363" t="s">
        <v>42</v>
      </c>
      <c r="R363" s="37">
        <v>0</v>
      </c>
      <c r="S363" s="37">
        <v>2</v>
      </c>
      <c r="T363" t="s">
        <v>62</v>
      </c>
      <c r="U363" t="s">
        <v>44</v>
      </c>
      <c r="V363" t="s">
        <v>69</v>
      </c>
    </row>
    <row r="364" spans="1:22" ht="15" customHeight="1" x14ac:dyDescent="0.3">
      <c r="A364" t="s">
        <v>757</v>
      </c>
      <c r="B364" s="20">
        <v>45791</v>
      </c>
      <c r="C364" t="s">
        <v>411</v>
      </c>
      <c r="D364" t="s">
        <v>35</v>
      </c>
      <c r="E364" s="37">
        <v>47</v>
      </c>
      <c r="F364" t="s">
        <v>36</v>
      </c>
      <c r="G364" t="s">
        <v>37</v>
      </c>
      <c r="H364" t="s">
        <v>59</v>
      </c>
      <c r="I364" t="s">
        <v>75</v>
      </c>
      <c r="J364" t="s">
        <v>141</v>
      </c>
      <c r="K364" s="37">
        <v>22</v>
      </c>
      <c r="L364" t="s">
        <v>52</v>
      </c>
      <c r="M364" s="21">
        <v>72400</v>
      </c>
      <c r="N364" s="21">
        <v>1016495</v>
      </c>
      <c r="O364" s="21">
        <v>147696</v>
      </c>
      <c r="P364">
        <v>2</v>
      </c>
      <c r="Q364" t="s">
        <v>42</v>
      </c>
      <c r="R364" s="37">
        <v>6</v>
      </c>
      <c r="S364" s="37">
        <v>19</v>
      </c>
      <c r="T364" t="s">
        <v>68</v>
      </c>
      <c r="U364" t="s">
        <v>44</v>
      </c>
      <c r="V364" t="s">
        <v>45</v>
      </c>
    </row>
    <row r="365" spans="1:22" ht="15" customHeight="1" x14ac:dyDescent="0.3">
      <c r="A365" t="s">
        <v>758</v>
      </c>
      <c r="B365" s="20">
        <v>45872</v>
      </c>
      <c r="C365" t="s">
        <v>759</v>
      </c>
      <c r="D365" t="s">
        <v>48</v>
      </c>
      <c r="E365" s="37">
        <v>50</v>
      </c>
      <c r="F365" t="s">
        <v>72</v>
      </c>
      <c r="G365" t="s">
        <v>73</v>
      </c>
      <c r="H365" t="s">
        <v>66</v>
      </c>
      <c r="I365" t="s">
        <v>60</v>
      </c>
      <c r="J365" t="s">
        <v>161</v>
      </c>
      <c r="K365" s="37">
        <v>1</v>
      </c>
      <c r="L365" t="s">
        <v>52</v>
      </c>
      <c r="M365" s="21">
        <v>132200</v>
      </c>
      <c r="N365" s="21">
        <v>1824359</v>
      </c>
      <c r="O365" s="21">
        <v>237960</v>
      </c>
      <c r="P365">
        <v>3</v>
      </c>
      <c r="Q365" t="s">
        <v>42</v>
      </c>
      <c r="R365" s="37">
        <v>0</v>
      </c>
      <c r="S365" s="37">
        <v>4</v>
      </c>
      <c r="T365" t="s">
        <v>129</v>
      </c>
      <c r="U365" t="s">
        <v>44</v>
      </c>
      <c r="V365" t="s">
        <v>69</v>
      </c>
    </row>
    <row r="366" spans="1:22" ht="15" customHeight="1" x14ac:dyDescent="0.3">
      <c r="A366" t="s">
        <v>760</v>
      </c>
      <c r="B366" s="20">
        <v>45663</v>
      </c>
      <c r="C366" t="s">
        <v>761</v>
      </c>
      <c r="D366" t="s">
        <v>35</v>
      </c>
      <c r="E366" s="37">
        <v>35</v>
      </c>
      <c r="F366" t="s">
        <v>108</v>
      </c>
      <c r="G366" t="s">
        <v>109</v>
      </c>
      <c r="H366" t="s">
        <v>66</v>
      </c>
      <c r="I366" t="s">
        <v>82</v>
      </c>
      <c r="J366" t="s">
        <v>149</v>
      </c>
      <c r="K366" s="37">
        <v>10</v>
      </c>
      <c r="L366" t="s">
        <v>52</v>
      </c>
      <c r="M366" s="21">
        <v>65700</v>
      </c>
      <c r="N366" s="21">
        <v>859356</v>
      </c>
      <c r="O366" s="21">
        <v>70956</v>
      </c>
      <c r="P366">
        <v>4</v>
      </c>
      <c r="Q366" t="s">
        <v>42</v>
      </c>
      <c r="R366" s="37">
        <v>11</v>
      </c>
      <c r="S366" s="37">
        <v>22</v>
      </c>
      <c r="T366" t="s">
        <v>129</v>
      </c>
      <c r="U366" t="s">
        <v>63</v>
      </c>
      <c r="V366" t="s">
        <v>69</v>
      </c>
    </row>
    <row r="367" spans="1:22" ht="15" customHeight="1" x14ac:dyDescent="0.3">
      <c r="A367" t="s">
        <v>762</v>
      </c>
      <c r="B367" s="20">
        <v>45767</v>
      </c>
      <c r="C367" t="s">
        <v>327</v>
      </c>
      <c r="D367" t="s">
        <v>35</v>
      </c>
      <c r="E367" s="37">
        <v>47</v>
      </c>
      <c r="F367" t="s">
        <v>72</v>
      </c>
      <c r="G367" t="s">
        <v>73</v>
      </c>
      <c r="H367" t="s">
        <v>74</v>
      </c>
      <c r="I367" t="s">
        <v>39</v>
      </c>
      <c r="J367" t="s">
        <v>76</v>
      </c>
      <c r="K367" s="37">
        <v>5</v>
      </c>
      <c r="L367" t="s">
        <v>52</v>
      </c>
      <c r="M367" s="21">
        <v>40300</v>
      </c>
      <c r="N367" s="21">
        <v>565812</v>
      </c>
      <c r="O367" s="21">
        <v>82212</v>
      </c>
      <c r="P367">
        <v>3</v>
      </c>
      <c r="Q367" t="s">
        <v>42</v>
      </c>
      <c r="R367" s="37">
        <v>10</v>
      </c>
      <c r="S367" s="37">
        <v>11</v>
      </c>
      <c r="T367" t="s">
        <v>129</v>
      </c>
      <c r="U367" t="s">
        <v>63</v>
      </c>
      <c r="V367" t="s">
        <v>69</v>
      </c>
    </row>
    <row r="368" spans="1:22" ht="15" customHeight="1" x14ac:dyDescent="0.3">
      <c r="A368" t="s">
        <v>763</v>
      </c>
      <c r="B368" s="20">
        <v>45918</v>
      </c>
      <c r="C368" t="s">
        <v>764</v>
      </c>
      <c r="D368" t="s">
        <v>35</v>
      </c>
      <c r="E368" s="37">
        <v>45</v>
      </c>
      <c r="F368" t="s">
        <v>91</v>
      </c>
      <c r="G368" t="s">
        <v>92</v>
      </c>
      <c r="H368" t="s">
        <v>118</v>
      </c>
      <c r="I368" t="s">
        <v>82</v>
      </c>
      <c r="J368" t="s">
        <v>250</v>
      </c>
      <c r="K368" s="37">
        <v>9</v>
      </c>
      <c r="L368" t="s">
        <v>52</v>
      </c>
      <c r="M368" s="21">
        <v>60200</v>
      </c>
      <c r="N368" s="21">
        <v>845208</v>
      </c>
      <c r="O368" s="21">
        <v>122808</v>
      </c>
      <c r="P368">
        <v>4</v>
      </c>
      <c r="Q368" t="s">
        <v>42</v>
      </c>
      <c r="R368" s="37">
        <v>10</v>
      </c>
      <c r="S368" s="37">
        <v>14</v>
      </c>
      <c r="T368" t="s">
        <v>53</v>
      </c>
      <c r="U368" t="s">
        <v>63</v>
      </c>
      <c r="V368" t="s">
        <v>69</v>
      </c>
    </row>
    <row r="369" spans="1:22" ht="15" customHeight="1" x14ac:dyDescent="0.3">
      <c r="A369" t="s">
        <v>765</v>
      </c>
      <c r="B369" s="20">
        <v>45801</v>
      </c>
      <c r="C369" t="s">
        <v>766</v>
      </c>
      <c r="D369" t="s">
        <v>35</v>
      </c>
      <c r="E369" s="37">
        <v>39</v>
      </c>
      <c r="F369" t="s">
        <v>123</v>
      </c>
      <c r="G369" t="s">
        <v>124</v>
      </c>
      <c r="H369" t="s">
        <v>66</v>
      </c>
      <c r="I369" t="s">
        <v>82</v>
      </c>
      <c r="J369" t="s">
        <v>149</v>
      </c>
      <c r="K369" s="37">
        <v>1</v>
      </c>
      <c r="L369" t="s">
        <v>52</v>
      </c>
      <c r="M369" s="21">
        <v>57500</v>
      </c>
      <c r="N369" s="21">
        <v>731400</v>
      </c>
      <c r="O369" s="21">
        <v>41400</v>
      </c>
      <c r="P369">
        <v>4</v>
      </c>
      <c r="Q369" t="s">
        <v>42</v>
      </c>
      <c r="R369" s="37">
        <v>0</v>
      </c>
      <c r="S369" s="37">
        <v>18</v>
      </c>
      <c r="T369" t="s">
        <v>62</v>
      </c>
      <c r="U369" t="s">
        <v>44</v>
      </c>
      <c r="V369" t="s">
        <v>45</v>
      </c>
    </row>
    <row r="370" spans="1:22" ht="15" customHeight="1" x14ac:dyDescent="0.3">
      <c r="A370" t="s">
        <v>767</v>
      </c>
      <c r="B370" s="20">
        <v>45719</v>
      </c>
      <c r="C370" t="s">
        <v>768</v>
      </c>
      <c r="D370" t="s">
        <v>35</v>
      </c>
      <c r="E370" s="37">
        <v>39</v>
      </c>
      <c r="F370" t="s">
        <v>108</v>
      </c>
      <c r="G370" t="s">
        <v>109</v>
      </c>
      <c r="H370" t="s">
        <v>38</v>
      </c>
      <c r="I370" t="s">
        <v>82</v>
      </c>
      <c r="J370" t="s">
        <v>110</v>
      </c>
      <c r="K370" s="37">
        <v>4</v>
      </c>
      <c r="L370" t="s">
        <v>52</v>
      </c>
      <c r="M370" s="21">
        <v>65000</v>
      </c>
      <c r="N370" s="21">
        <v>889200</v>
      </c>
      <c r="O370" s="21">
        <v>109200</v>
      </c>
      <c r="P370">
        <v>4</v>
      </c>
      <c r="Q370" t="s">
        <v>42</v>
      </c>
      <c r="R370" s="37">
        <v>1</v>
      </c>
      <c r="S370" s="37">
        <v>15</v>
      </c>
      <c r="T370" t="s">
        <v>43</v>
      </c>
      <c r="U370" t="s">
        <v>63</v>
      </c>
      <c r="V370" t="s">
        <v>69</v>
      </c>
    </row>
    <row r="371" spans="1:22" ht="15" customHeight="1" x14ac:dyDescent="0.3">
      <c r="A371" t="s">
        <v>769</v>
      </c>
      <c r="B371" s="20">
        <v>45774</v>
      </c>
      <c r="C371" t="s">
        <v>732</v>
      </c>
      <c r="D371" t="s">
        <v>35</v>
      </c>
      <c r="E371" s="37">
        <v>49</v>
      </c>
      <c r="F371" t="s">
        <v>80</v>
      </c>
      <c r="G371" t="s">
        <v>81</v>
      </c>
      <c r="H371" t="s">
        <v>38</v>
      </c>
      <c r="I371" t="s">
        <v>75</v>
      </c>
      <c r="J371" t="s">
        <v>110</v>
      </c>
      <c r="K371" s="37">
        <v>14</v>
      </c>
      <c r="L371" t="s">
        <v>52</v>
      </c>
      <c r="M371" s="21">
        <v>81900</v>
      </c>
      <c r="N371" s="21">
        <v>1100736</v>
      </c>
      <c r="O371" s="21">
        <v>117936</v>
      </c>
      <c r="P371">
        <v>4</v>
      </c>
      <c r="Q371" t="s">
        <v>42</v>
      </c>
      <c r="R371" s="37">
        <v>9</v>
      </c>
      <c r="S371" s="37">
        <v>1</v>
      </c>
      <c r="T371" t="s">
        <v>68</v>
      </c>
      <c r="U371" t="s">
        <v>63</v>
      </c>
      <c r="V371" t="s">
        <v>45</v>
      </c>
    </row>
    <row r="372" spans="1:22" ht="15" customHeight="1" x14ac:dyDescent="0.3">
      <c r="A372" t="s">
        <v>770</v>
      </c>
      <c r="B372" s="20">
        <v>45854</v>
      </c>
      <c r="C372" t="s">
        <v>598</v>
      </c>
      <c r="D372" t="s">
        <v>35</v>
      </c>
      <c r="E372" s="37">
        <v>22</v>
      </c>
      <c r="F372" t="s">
        <v>91</v>
      </c>
      <c r="G372" t="s">
        <v>92</v>
      </c>
      <c r="H372" t="s">
        <v>38</v>
      </c>
      <c r="I372" t="s">
        <v>39</v>
      </c>
      <c r="J372" t="s">
        <v>110</v>
      </c>
      <c r="K372" s="37">
        <v>7</v>
      </c>
      <c r="L372" t="s">
        <v>52</v>
      </c>
      <c r="M372" s="21">
        <v>36700</v>
      </c>
      <c r="N372" s="21">
        <v>493248</v>
      </c>
      <c r="O372" s="21">
        <v>52848</v>
      </c>
      <c r="P372">
        <v>3</v>
      </c>
      <c r="Q372" t="s">
        <v>126</v>
      </c>
      <c r="R372" s="37">
        <v>6</v>
      </c>
      <c r="S372" s="37">
        <v>8</v>
      </c>
      <c r="T372" t="s">
        <v>43</v>
      </c>
      <c r="U372" t="s">
        <v>44</v>
      </c>
      <c r="V372" t="s">
        <v>69</v>
      </c>
    </row>
    <row r="373" spans="1:22" ht="15" customHeight="1" x14ac:dyDescent="0.3">
      <c r="A373" t="s">
        <v>771</v>
      </c>
      <c r="B373" s="20">
        <v>45913</v>
      </c>
      <c r="C373" t="s">
        <v>563</v>
      </c>
      <c r="D373" t="s">
        <v>35</v>
      </c>
      <c r="E373" s="37">
        <v>58</v>
      </c>
      <c r="F373" t="s">
        <v>57</v>
      </c>
      <c r="G373" t="s">
        <v>58</v>
      </c>
      <c r="H373" t="s">
        <v>74</v>
      </c>
      <c r="I373" t="s">
        <v>82</v>
      </c>
      <c r="J373" t="s">
        <v>152</v>
      </c>
      <c r="K373" s="37">
        <v>25</v>
      </c>
      <c r="L373" t="s">
        <v>52</v>
      </c>
      <c r="M373" s="21">
        <v>50900</v>
      </c>
      <c r="N373" s="21">
        <v>690203</v>
      </c>
      <c r="O373" s="21">
        <v>79404</v>
      </c>
      <c r="P373">
        <v>5</v>
      </c>
      <c r="Q373" t="s">
        <v>42</v>
      </c>
      <c r="R373" s="37">
        <v>17</v>
      </c>
      <c r="S373" s="37">
        <v>9</v>
      </c>
      <c r="T373" t="s">
        <v>77</v>
      </c>
      <c r="U373" t="s">
        <v>44</v>
      </c>
      <c r="V373" t="s">
        <v>45</v>
      </c>
    </row>
    <row r="374" spans="1:22" ht="15" customHeight="1" x14ac:dyDescent="0.3">
      <c r="A374" t="s">
        <v>772</v>
      </c>
      <c r="B374" s="20">
        <v>45862</v>
      </c>
      <c r="C374" t="s">
        <v>773</v>
      </c>
      <c r="D374" t="s">
        <v>35</v>
      </c>
      <c r="E374" s="37">
        <v>54</v>
      </c>
      <c r="F374" t="s">
        <v>49</v>
      </c>
      <c r="G374" t="s">
        <v>50</v>
      </c>
      <c r="H374" t="s">
        <v>38</v>
      </c>
      <c r="I374" t="s">
        <v>82</v>
      </c>
      <c r="J374" t="s">
        <v>99</v>
      </c>
      <c r="K374" s="37">
        <v>6</v>
      </c>
      <c r="L374" t="s">
        <v>52</v>
      </c>
      <c r="M374" s="21">
        <v>68600</v>
      </c>
      <c r="N374" s="21">
        <v>946679</v>
      </c>
      <c r="O374" s="21">
        <v>123480</v>
      </c>
      <c r="P374">
        <v>2</v>
      </c>
      <c r="Q374" t="s">
        <v>42</v>
      </c>
      <c r="R374" s="37">
        <v>4</v>
      </c>
      <c r="S374" s="37">
        <v>40</v>
      </c>
      <c r="T374" t="s">
        <v>129</v>
      </c>
      <c r="U374" t="s">
        <v>63</v>
      </c>
      <c r="V374" t="s">
        <v>69</v>
      </c>
    </row>
    <row r="375" spans="1:22" ht="15" customHeight="1" x14ac:dyDescent="0.3">
      <c r="A375" t="s">
        <v>774</v>
      </c>
      <c r="B375" s="20">
        <v>45995</v>
      </c>
      <c r="C375" t="s">
        <v>775</v>
      </c>
      <c r="D375" t="s">
        <v>35</v>
      </c>
      <c r="E375" s="37">
        <v>55</v>
      </c>
      <c r="F375" t="s">
        <v>91</v>
      </c>
      <c r="G375" t="s">
        <v>92</v>
      </c>
      <c r="H375" t="s">
        <v>66</v>
      </c>
      <c r="I375" t="s">
        <v>39</v>
      </c>
      <c r="J375" t="s">
        <v>170</v>
      </c>
      <c r="K375" s="37">
        <v>27</v>
      </c>
      <c r="L375" t="s">
        <v>52</v>
      </c>
      <c r="M375" s="21">
        <v>38800</v>
      </c>
      <c r="N375" s="21">
        <v>544752</v>
      </c>
      <c r="O375" s="21">
        <v>79152</v>
      </c>
      <c r="P375">
        <v>5</v>
      </c>
      <c r="Q375" t="s">
        <v>42</v>
      </c>
      <c r="R375" s="37">
        <v>3</v>
      </c>
      <c r="S375" s="37">
        <v>14</v>
      </c>
      <c r="T375" t="s">
        <v>77</v>
      </c>
      <c r="U375" t="s">
        <v>44</v>
      </c>
      <c r="V375" t="s">
        <v>69</v>
      </c>
    </row>
    <row r="376" spans="1:22" ht="15" customHeight="1" x14ac:dyDescent="0.3">
      <c r="A376" t="s">
        <v>776</v>
      </c>
      <c r="B376" s="20">
        <v>45748</v>
      </c>
      <c r="C376" t="s">
        <v>777</v>
      </c>
      <c r="D376" t="s">
        <v>48</v>
      </c>
      <c r="E376" s="37">
        <v>58</v>
      </c>
      <c r="F376" t="s">
        <v>86</v>
      </c>
      <c r="G376" t="s">
        <v>87</v>
      </c>
      <c r="H376" t="s">
        <v>59</v>
      </c>
      <c r="I376" t="s">
        <v>39</v>
      </c>
      <c r="J376" t="s">
        <v>104</v>
      </c>
      <c r="K376" s="37">
        <v>6</v>
      </c>
      <c r="L376" t="s">
        <v>52</v>
      </c>
      <c r="M376" s="21">
        <v>35000</v>
      </c>
      <c r="N376" s="21">
        <v>457800</v>
      </c>
      <c r="O376" s="21">
        <v>37800</v>
      </c>
      <c r="P376">
        <v>3</v>
      </c>
      <c r="Q376" t="s">
        <v>42</v>
      </c>
      <c r="R376" s="37">
        <v>1</v>
      </c>
      <c r="S376" s="37">
        <v>32</v>
      </c>
      <c r="T376" t="s">
        <v>62</v>
      </c>
      <c r="U376" t="s">
        <v>44</v>
      </c>
      <c r="V376" t="s">
        <v>69</v>
      </c>
    </row>
    <row r="377" spans="1:22" ht="15" customHeight="1" x14ac:dyDescent="0.3">
      <c r="A377" t="s">
        <v>778</v>
      </c>
      <c r="B377" s="20">
        <v>45693</v>
      </c>
      <c r="C377" t="s">
        <v>231</v>
      </c>
      <c r="D377" t="s">
        <v>35</v>
      </c>
      <c r="E377" s="37">
        <v>36</v>
      </c>
      <c r="F377" t="s">
        <v>108</v>
      </c>
      <c r="G377" t="s">
        <v>109</v>
      </c>
      <c r="H377" t="s">
        <v>38</v>
      </c>
      <c r="I377" t="s">
        <v>51</v>
      </c>
      <c r="J377" t="s">
        <v>190</v>
      </c>
      <c r="K377" s="37">
        <v>10</v>
      </c>
      <c r="L377" t="s">
        <v>52</v>
      </c>
      <c r="M377" s="21">
        <v>186700</v>
      </c>
      <c r="N377" s="21">
        <v>2554056</v>
      </c>
      <c r="O377" s="21">
        <v>313656</v>
      </c>
      <c r="P377">
        <v>4</v>
      </c>
      <c r="Q377" t="s">
        <v>42</v>
      </c>
      <c r="R377" s="37">
        <v>16</v>
      </c>
      <c r="S377" s="37">
        <v>8</v>
      </c>
      <c r="T377" t="s">
        <v>129</v>
      </c>
      <c r="U377" t="s">
        <v>138</v>
      </c>
      <c r="V377" t="s">
        <v>45</v>
      </c>
    </row>
    <row r="378" spans="1:22" ht="15" customHeight="1" x14ac:dyDescent="0.3">
      <c r="A378" t="s">
        <v>779</v>
      </c>
      <c r="B378" s="20">
        <v>45698</v>
      </c>
      <c r="C378" t="s">
        <v>441</v>
      </c>
      <c r="D378" t="s">
        <v>35</v>
      </c>
      <c r="E378" s="37">
        <v>41</v>
      </c>
      <c r="F378" t="s">
        <v>91</v>
      </c>
      <c r="G378" t="s">
        <v>92</v>
      </c>
      <c r="H378" t="s">
        <v>66</v>
      </c>
      <c r="I378" t="s">
        <v>39</v>
      </c>
      <c r="J378" t="s">
        <v>149</v>
      </c>
      <c r="K378" s="37">
        <v>21</v>
      </c>
      <c r="L378" t="s">
        <v>120</v>
      </c>
      <c r="M378" s="21">
        <v>43800</v>
      </c>
      <c r="N378" s="21">
        <v>614952</v>
      </c>
      <c r="O378" s="21">
        <v>89352</v>
      </c>
      <c r="P378">
        <v>4</v>
      </c>
      <c r="Q378" t="s">
        <v>42</v>
      </c>
      <c r="R378" s="37">
        <v>9</v>
      </c>
      <c r="S378" s="37">
        <v>29</v>
      </c>
      <c r="T378" t="s">
        <v>43</v>
      </c>
      <c r="U378" t="s">
        <v>44</v>
      </c>
      <c r="V378" t="s">
        <v>45</v>
      </c>
    </row>
    <row r="379" spans="1:22" ht="15" customHeight="1" x14ac:dyDescent="0.3">
      <c r="A379" t="s">
        <v>780</v>
      </c>
      <c r="B379" s="20">
        <v>45726</v>
      </c>
      <c r="C379" t="s">
        <v>501</v>
      </c>
      <c r="D379" t="s">
        <v>35</v>
      </c>
      <c r="E379" s="37">
        <v>34</v>
      </c>
      <c r="F379" t="s">
        <v>36</v>
      </c>
      <c r="G379" t="s">
        <v>37</v>
      </c>
      <c r="H379" t="s">
        <v>66</v>
      </c>
      <c r="I379" t="s">
        <v>60</v>
      </c>
      <c r="J379" t="s">
        <v>67</v>
      </c>
      <c r="K379" s="37">
        <v>17</v>
      </c>
      <c r="L379" t="s">
        <v>52</v>
      </c>
      <c r="M379" s="21">
        <v>133400</v>
      </c>
      <c r="N379" s="21">
        <v>1840919</v>
      </c>
      <c r="O379" s="21">
        <v>240120</v>
      </c>
      <c r="P379">
        <v>3</v>
      </c>
      <c r="Q379" t="s">
        <v>42</v>
      </c>
      <c r="R379" s="37">
        <v>17</v>
      </c>
      <c r="S379" s="37">
        <v>9</v>
      </c>
      <c r="T379" t="s">
        <v>62</v>
      </c>
      <c r="U379" t="s">
        <v>44</v>
      </c>
      <c r="V379" t="s">
        <v>45</v>
      </c>
    </row>
    <row r="380" spans="1:22" ht="15" customHeight="1" x14ac:dyDescent="0.3">
      <c r="A380" t="s">
        <v>781</v>
      </c>
      <c r="B380" s="20">
        <v>45940</v>
      </c>
      <c r="C380" t="s">
        <v>698</v>
      </c>
      <c r="D380" t="s">
        <v>35</v>
      </c>
      <c r="E380" s="37">
        <v>25</v>
      </c>
      <c r="F380" t="s">
        <v>49</v>
      </c>
      <c r="G380" t="s">
        <v>50</v>
      </c>
      <c r="H380" t="s">
        <v>66</v>
      </c>
      <c r="I380" t="s">
        <v>82</v>
      </c>
      <c r="J380" t="s">
        <v>170</v>
      </c>
      <c r="K380" s="37">
        <v>28</v>
      </c>
      <c r="L380" t="s">
        <v>52</v>
      </c>
      <c r="M380" s="21">
        <v>56400</v>
      </c>
      <c r="N380" s="21">
        <v>764783</v>
      </c>
      <c r="O380" s="21">
        <v>87984</v>
      </c>
      <c r="P380">
        <v>4</v>
      </c>
      <c r="Q380" t="s">
        <v>42</v>
      </c>
      <c r="R380" s="37">
        <v>10</v>
      </c>
      <c r="S380" s="37">
        <v>6</v>
      </c>
      <c r="T380" t="s">
        <v>129</v>
      </c>
      <c r="U380" t="s">
        <v>44</v>
      </c>
      <c r="V380" t="s">
        <v>45</v>
      </c>
    </row>
    <row r="381" spans="1:22" ht="15" customHeight="1" x14ac:dyDescent="0.3">
      <c r="A381" t="s">
        <v>782</v>
      </c>
      <c r="B381" s="20">
        <v>45996</v>
      </c>
      <c r="C381" t="s">
        <v>783</v>
      </c>
      <c r="D381" t="s">
        <v>35</v>
      </c>
      <c r="E381" s="37">
        <v>46</v>
      </c>
      <c r="F381" t="s">
        <v>86</v>
      </c>
      <c r="G381" t="s">
        <v>87</v>
      </c>
      <c r="H381" t="s">
        <v>66</v>
      </c>
      <c r="I381" t="s">
        <v>39</v>
      </c>
      <c r="J381" t="s">
        <v>67</v>
      </c>
      <c r="K381" s="37">
        <v>2</v>
      </c>
      <c r="L381" t="s">
        <v>52</v>
      </c>
      <c r="M381" s="21">
        <v>46000</v>
      </c>
      <c r="N381" s="21">
        <v>607200</v>
      </c>
      <c r="O381" s="21">
        <v>55200</v>
      </c>
      <c r="P381">
        <v>3</v>
      </c>
      <c r="Q381" t="s">
        <v>42</v>
      </c>
      <c r="R381" s="37">
        <v>15</v>
      </c>
      <c r="S381" s="37">
        <v>1</v>
      </c>
      <c r="T381" t="s">
        <v>43</v>
      </c>
      <c r="U381" t="s">
        <v>44</v>
      </c>
      <c r="V381" t="s">
        <v>45</v>
      </c>
    </row>
    <row r="382" spans="1:22" ht="15" customHeight="1" x14ac:dyDescent="0.3">
      <c r="A382" t="s">
        <v>784</v>
      </c>
      <c r="B382" s="20">
        <v>45879</v>
      </c>
      <c r="C382" t="s">
        <v>785</v>
      </c>
      <c r="D382" t="s">
        <v>48</v>
      </c>
      <c r="E382" s="37">
        <v>25</v>
      </c>
      <c r="F382" t="s">
        <v>80</v>
      </c>
      <c r="G382" t="s">
        <v>81</v>
      </c>
      <c r="H382" t="s">
        <v>118</v>
      </c>
      <c r="I382" t="s">
        <v>39</v>
      </c>
      <c r="J382" t="s">
        <v>137</v>
      </c>
      <c r="K382" s="37">
        <v>12</v>
      </c>
      <c r="L382" t="s">
        <v>41</v>
      </c>
      <c r="M382" s="21">
        <v>34600</v>
      </c>
      <c r="N382" s="21">
        <v>477479</v>
      </c>
      <c r="O382" s="21">
        <v>62280</v>
      </c>
      <c r="P382">
        <v>4</v>
      </c>
      <c r="Q382" t="s">
        <v>42</v>
      </c>
      <c r="R382" s="37">
        <v>19</v>
      </c>
      <c r="S382" s="37">
        <v>13</v>
      </c>
      <c r="T382" t="s">
        <v>62</v>
      </c>
      <c r="U382" t="s">
        <v>63</v>
      </c>
      <c r="V382" t="s">
        <v>69</v>
      </c>
    </row>
    <row r="383" spans="1:22" ht="15" customHeight="1" x14ac:dyDescent="0.3">
      <c r="A383" t="s">
        <v>786</v>
      </c>
      <c r="B383" s="20">
        <v>45755</v>
      </c>
      <c r="C383" t="s">
        <v>787</v>
      </c>
      <c r="D383" t="s">
        <v>48</v>
      </c>
      <c r="E383" s="37">
        <v>29</v>
      </c>
      <c r="F383" t="s">
        <v>72</v>
      </c>
      <c r="G383" t="s">
        <v>73</v>
      </c>
      <c r="H383" t="s">
        <v>59</v>
      </c>
      <c r="I383" t="s">
        <v>39</v>
      </c>
      <c r="J383" t="s">
        <v>104</v>
      </c>
      <c r="K383" s="37">
        <v>3</v>
      </c>
      <c r="L383" t="s">
        <v>52</v>
      </c>
      <c r="M383" s="21">
        <v>38300</v>
      </c>
      <c r="N383" s="21">
        <v>514752</v>
      </c>
      <c r="O383" s="21">
        <v>55152</v>
      </c>
      <c r="P383">
        <v>3</v>
      </c>
      <c r="Q383" t="s">
        <v>42</v>
      </c>
      <c r="R383" s="37">
        <v>10</v>
      </c>
      <c r="S383" s="37">
        <v>19</v>
      </c>
      <c r="T383" t="s">
        <v>105</v>
      </c>
      <c r="U383" t="s">
        <v>63</v>
      </c>
      <c r="V383" t="s">
        <v>69</v>
      </c>
    </row>
    <row r="384" spans="1:22" ht="15" customHeight="1" x14ac:dyDescent="0.3">
      <c r="A384" t="s">
        <v>788</v>
      </c>
      <c r="B384" s="20">
        <v>45733</v>
      </c>
      <c r="C384" t="s">
        <v>789</v>
      </c>
      <c r="D384" t="s">
        <v>48</v>
      </c>
      <c r="E384" s="37">
        <v>51</v>
      </c>
      <c r="F384" t="s">
        <v>36</v>
      </c>
      <c r="G384" t="s">
        <v>37</v>
      </c>
      <c r="H384" t="s">
        <v>118</v>
      </c>
      <c r="I384" t="s">
        <v>60</v>
      </c>
      <c r="J384" t="s">
        <v>182</v>
      </c>
      <c r="K384" s="37">
        <v>12</v>
      </c>
      <c r="L384" t="s">
        <v>52</v>
      </c>
      <c r="M384" s="21">
        <v>123800</v>
      </c>
      <c r="N384" s="21">
        <v>1619304</v>
      </c>
      <c r="O384" s="21">
        <v>133704</v>
      </c>
      <c r="P384">
        <v>4</v>
      </c>
      <c r="Q384" t="s">
        <v>42</v>
      </c>
      <c r="R384" s="37">
        <v>9</v>
      </c>
      <c r="S384" s="37">
        <v>12</v>
      </c>
      <c r="T384" t="s">
        <v>94</v>
      </c>
      <c r="U384" t="s">
        <v>44</v>
      </c>
      <c r="V384" t="s">
        <v>69</v>
      </c>
    </row>
    <row r="385" spans="1:22" ht="15" customHeight="1" x14ac:dyDescent="0.3">
      <c r="A385" t="s">
        <v>790</v>
      </c>
      <c r="B385" s="20">
        <v>45750</v>
      </c>
      <c r="C385" t="s">
        <v>791</v>
      </c>
      <c r="D385" t="s">
        <v>35</v>
      </c>
      <c r="E385" s="37">
        <v>43</v>
      </c>
      <c r="F385" t="s">
        <v>49</v>
      </c>
      <c r="G385" t="s">
        <v>50</v>
      </c>
      <c r="H385" t="s">
        <v>59</v>
      </c>
      <c r="I385" t="s">
        <v>82</v>
      </c>
      <c r="J385" t="s">
        <v>125</v>
      </c>
      <c r="K385" s="37">
        <v>14</v>
      </c>
      <c r="L385" t="s">
        <v>52</v>
      </c>
      <c r="M385" s="21">
        <v>58400</v>
      </c>
      <c r="N385" s="21">
        <v>749856</v>
      </c>
      <c r="O385" s="21">
        <v>49056</v>
      </c>
      <c r="P385">
        <v>3</v>
      </c>
      <c r="Q385" t="s">
        <v>42</v>
      </c>
      <c r="R385" s="37">
        <v>15</v>
      </c>
      <c r="S385" s="37">
        <v>15</v>
      </c>
      <c r="T385" t="s">
        <v>62</v>
      </c>
      <c r="U385" t="s">
        <v>44</v>
      </c>
      <c r="V385" t="s">
        <v>45</v>
      </c>
    </row>
    <row r="386" spans="1:22" ht="15" customHeight="1" x14ac:dyDescent="0.3">
      <c r="A386" t="s">
        <v>792</v>
      </c>
      <c r="B386" s="20">
        <v>45757</v>
      </c>
      <c r="C386" t="s">
        <v>793</v>
      </c>
      <c r="D386" t="s">
        <v>35</v>
      </c>
      <c r="E386" s="37">
        <v>35</v>
      </c>
      <c r="F386" t="s">
        <v>36</v>
      </c>
      <c r="G386" t="s">
        <v>37</v>
      </c>
      <c r="H386" t="s">
        <v>66</v>
      </c>
      <c r="I386" t="s">
        <v>82</v>
      </c>
      <c r="J386" t="s">
        <v>161</v>
      </c>
      <c r="K386" s="37">
        <v>18</v>
      </c>
      <c r="L386" t="s">
        <v>52</v>
      </c>
      <c r="M386" s="21">
        <v>78200</v>
      </c>
      <c r="N386" s="21">
        <v>1116696</v>
      </c>
      <c r="O386" s="21">
        <v>178296</v>
      </c>
      <c r="P386">
        <v>5</v>
      </c>
      <c r="Q386" t="s">
        <v>42</v>
      </c>
      <c r="R386" s="37">
        <v>13</v>
      </c>
      <c r="S386" s="37">
        <v>29</v>
      </c>
      <c r="T386" t="s">
        <v>68</v>
      </c>
      <c r="U386" t="s">
        <v>54</v>
      </c>
      <c r="V386" t="s">
        <v>69</v>
      </c>
    </row>
    <row r="387" spans="1:22" ht="15" customHeight="1" x14ac:dyDescent="0.3">
      <c r="A387" t="s">
        <v>794</v>
      </c>
      <c r="B387" s="20">
        <v>45762</v>
      </c>
      <c r="C387" t="s">
        <v>509</v>
      </c>
      <c r="D387" t="s">
        <v>48</v>
      </c>
      <c r="E387" s="37">
        <v>32</v>
      </c>
      <c r="F387" t="s">
        <v>91</v>
      </c>
      <c r="G387" t="s">
        <v>92</v>
      </c>
      <c r="H387" t="s">
        <v>66</v>
      </c>
      <c r="I387" t="s">
        <v>39</v>
      </c>
      <c r="J387" t="s">
        <v>170</v>
      </c>
      <c r="K387" s="37">
        <v>1</v>
      </c>
      <c r="L387" t="s">
        <v>52</v>
      </c>
      <c r="M387" s="21">
        <v>45800</v>
      </c>
      <c r="N387" s="21">
        <v>604560</v>
      </c>
      <c r="O387" s="21">
        <v>54960</v>
      </c>
      <c r="P387">
        <v>3</v>
      </c>
      <c r="Q387" t="s">
        <v>42</v>
      </c>
      <c r="R387" s="37">
        <v>4</v>
      </c>
      <c r="S387" s="37">
        <v>24</v>
      </c>
      <c r="T387" t="s">
        <v>77</v>
      </c>
      <c r="U387" t="s">
        <v>44</v>
      </c>
      <c r="V387" t="s">
        <v>69</v>
      </c>
    </row>
    <row r="388" spans="1:22" ht="15" customHeight="1" x14ac:dyDescent="0.3">
      <c r="A388" t="s">
        <v>795</v>
      </c>
      <c r="B388" s="20">
        <v>45800</v>
      </c>
      <c r="C388" t="s">
        <v>796</v>
      </c>
      <c r="D388" t="s">
        <v>35</v>
      </c>
      <c r="E388" s="37">
        <v>35</v>
      </c>
      <c r="F388" t="s">
        <v>123</v>
      </c>
      <c r="G388" t="s">
        <v>124</v>
      </c>
      <c r="H388" t="s">
        <v>66</v>
      </c>
      <c r="I388" t="s">
        <v>75</v>
      </c>
      <c r="J388" t="s">
        <v>170</v>
      </c>
      <c r="K388" s="37">
        <v>9</v>
      </c>
      <c r="L388" t="s">
        <v>52</v>
      </c>
      <c r="M388" s="21">
        <v>107300</v>
      </c>
      <c r="N388" s="21">
        <v>1364856</v>
      </c>
      <c r="O388" s="21">
        <v>77256</v>
      </c>
      <c r="P388">
        <v>3</v>
      </c>
      <c r="Q388" t="s">
        <v>42</v>
      </c>
      <c r="R388" s="37">
        <v>6</v>
      </c>
      <c r="S388" s="37">
        <v>18</v>
      </c>
      <c r="T388" t="s">
        <v>175</v>
      </c>
      <c r="U388" t="s">
        <v>44</v>
      </c>
      <c r="V388" t="s">
        <v>69</v>
      </c>
    </row>
    <row r="389" spans="1:22" ht="15" customHeight="1" x14ac:dyDescent="0.3">
      <c r="A389" t="s">
        <v>797</v>
      </c>
      <c r="B389" s="20">
        <v>45725</v>
      </c>
      <c r="C389" t="s">
        <v>577</v>
      </c>
      <c r="D389" t="s">
        <v>35</v>
      </c>
      <c r="E389" s="37">
        <v>24</v>
      </c>
      <c r="F389" t="s">
        <v>91</v>
      </c>
      <c r="G389" t="s">
        <v>92</v>
      </c>
      <c r="H389" t="s">
        <v>74</v>
      </c>
      <c r="I389" t="s">
        <v>39</v>
      </c>
      <c r="J389" t="s">
        <v>367</v>
      </c>
      <c r="K389" s="37">
        <v>22</v>
      </c>
      <c r="L389" t="s">
        <v>52</v>
      </c>
      <c r="M389" s="21">
        <v>45200</v>
      </c>
      <c r="N389" s="21">
        <v>591216</v>
      </c>
      <c r="O389" s="21">
        <v>48816</v>
      </c>
      <c r="P389">
        <v>2</v>
      </c>
      <c r="Q389" t="s">
        <v>42</v>
      </c>
      <c r="R389" s="37">
        <v>19</v>
      </c>
      <c r="S389" s="37">
        <v>16</v>
      </c>
      <c r="T389" t="s">
        <v>43</v>
      </c>
      <c r="U389" t="s">
        <v>63</v>
      </c>
      <c r="V389" t="s">
        <v>69</v>
      </c>
    </row>
    <row r="390" spans="1:22" ht="15" customHeight="1" x14ac:dyDescent="0.3">
      <c r="A390" t="s">
        <v>798</v>
      </c>
      <c r="B390" s="20">
        <v>45970</v>
      </c>
      <c r="C390" t="s">
        <v>369</v>
      </c>
      <c r="D390" t="s">
        <v>48</v>
      </c>
      <c r="E390" s="37">
        <v>25</v>
      </c>
      <c r="F390" t="s">
        <v>108</v>
      </c>
      <c r="G390" t="s">
        <v>109</v>
      </c>
      <c r="H390" t="s">
        <v>38</v>
      </c>
      <c r="I390" t="s">
        <v>39</v>
      </c>
      <c r="J390" t="s">
        <v>99</v>
      </c>
      <c r="K390" s="37">
        <v>9</v>
      </c>
      <c r="L390" t="s">
        <v>52</v>
      </c>
      <c r="M390" s="21">
        <v>38600</v>
      </c>
      <c r="N390" s="21">
        <v>518784</v>
      </c>
      <c r="O390" s="21">
        <v>55584</v>
      </c>
      <c r="P390">
        <v>5</v>
      </c>
      <c r="Q390" t="s">
        <v>42</v>
      </c>
      <c r="R390" s="37">
        <v>11</v>
      </c>
      <c r="S390" s="37">
        <v>36</v>
      </c>
      <c r="T390" t="s">
        <v>53</v>
      </c>
      <c r="U390" t="s">
        <v>44</v>
      </c>
      <c r="V390" t="s">
        <v>45</v>
      </c>
    </row>
    <row r="391" spans="1:22" ht="15" customHeight="1" x14ac:dyDescent="0.3">
      <c r="A391" t="s">
        <v>799</v>
      </c>
      <c r="B391" s="20">
        <v>45955</v>
      </c>
      <c r="C391" t="s">
        <v>800</v>
      </c>
      <c r="D391" t="s">
        <v>35</v>
      </c>
      <c r="E391" s="37">
        <v>53</v>
      </c>
      <c r="F391" t="s">
        <v>108</v>
      </c>
      <c r="G391" t="s">
        <v>109</v>
      </c>
      <c r="H391" t="s">
        <v>74</v>
      </c>
      <c r="I391" t="s">
        <v>39</v>
      </c>
      <c r="J391" t="s">
        <v>83</v>
      </c>
      <c r="K391" s="37">
        <v>7</v>
      </c>
      <c r="L391" t="s">
        <v>41</v>
      </c>
      <c r="M391" s="21">
        <v>36700</v>
      </c>
      <c r="N391" s="21">
        <v>493248</v>
      </c>
      <c r="O391" s="21">
        <v>52848</v>
      </c>
      <c r="P391">
        <v>3</v>
      </c>
      <c r="Q391" t="s">
        <v>42</v>
      </c>
      <c r="R391" s="37">
        <v>15</v>
      </c>
      <c r="S391" s="37">
        <v>32</v>
      </c>
      <c r="T391" t="s">
        <v>62</v>
      </c>
      <c r="U391" t="s">
        <v>44</v>
      </c>
      <c r="V391" t="s">
        <v>45</v>
      </c>
    </row>
    <row r="392" spans="1:22" ht="15" customHeight="1" x14ac:dyDescent="0.3">
      <c r="A392" t="s">
        <v>801</v>
      </c>
      <c r="B392" s="20">
        <v>45674</v>
      </c>
      <c r="C392" t="s">
        <v>653</v>
      </c>
      <c r="D392" t="s">
        <v>48</v>
      </c>
      <c r="E392" s="37">
        <v>37</v>
      </c>
      <c r="F392" t="s">
        <v>72</v>
      </c>
      <c r="G392" t="s">
        <v>73</v>
      </c>
      <c r="H392" t="s">
        <v>66</v>
      </c>
      <c r="I392" t="s">
        <v>82</v>
      </c>
      <c r="J392" t="s">
        <v>93</v>
      </c>
      <c r="K392" s="37">
        <v>1</v>
      </c>
      <c r="L392" t="s">
        <v>52</v>
      </c>
      <c r="M392" s="21">
        <v>58300</v>
      </c>
      <c r="N392" s="21">
        <v>769560</v>
      </c>
      <c r="O392" s="21">
        <v>69960</v>
      </c>
      <c r="P392">
        <v>3</v>
      </c>
      <c r="Q392" t="s">
        <v>42</v>
      </c>
      <c r="R392" s="37">
        <v>20</v>
      </c>
      <c r="S392" s="37">
        <v>28</v>
      </c>
      <c r="T392" t="s">
        <v>68</v>
      </c>
      <c r="U392" t="s">
        <v>44</v>
      </c>
      <c r="V392" t="s">
        <v>45</v>
      </c>
    </row>
    <row r="393" spans="1:22" ht="15" customHeight="1" x14ac:dyDescent="0.3">
      <c r="A393" t="s">
        <v>802</v>
      </c>
      <c r="B393" s="20">
        <v>45703</v>
      </c>
      <c r="C393" t="s">
        <v>803</v>
      </c>
      <c r="D393" t="s">
        <v>48</v>
      </c>
      <c r="E393" s="37">
        <v>36</v>
      </c>
      <c r="F393" t="s">
        <v>86</v>
      </c>
      <c r="G393" t="s">
        <v>87</v>
      </c>
      <c r="H393" t="s">
        <v>59</v>
      </c>
      <c r="I393" t="s">
        <v>39</v>
      </c>
      <c r="J393" t="s">
        <v>61</v>
      </c>
      <c r="K393" s="37">
        <v>26</v>
      </c>
      <c r="L393" t="s">
        <v>52</v>
      </c>
      <c r="M393" s="21">
        <v>27800</v>
      </c>
      <c r="N393" s="21">
        <v>400320</v>
      </c>
      <c r="O393" s="21">
        <v>66720</v>
      </c>
      <c r="P393">
        <v>4</v>
      </c>
      <c r="Q393" t="s">
        <v>42</v>
      </c>
      <c r="R393" s="37">
        <v>0</v>
      </c>
      <c r="S393" s="37">
        <v>16</v>
      </c>
      <c r="T393" t="s">
        <v>129</v>
      </c>
      <c r="U393" t="s">
        <v>63</v>
      </c>
      <c r="V393" t="s">
        <v>45</v>
      </c>
    </row>
    <row r="394" spans="1:22" ht="15" customHeight="1" x14ac:dyDescent="0.3">
      <c r="A394" t="s">
        <v>804</v>
      </c>
      <c r="B394" s="20">
        <v>45801</v>
      </c>
      <c r="C394" t="s">
        <v>805</v>
      </c>
      <c r="D394" t="s">
        <v>35</v>
      </c>
      <c r="E394" s="37">
        <v>33</v>
      </c>
      <c r="F394" t="s">
        <v>36</v>
      </c>
      <c r="G394" t="s">
        <v>37</v>
      </c>
      <c r="H394" t="s">
        <v>118</v>
      </c>
      <c r="I394" t="s">
        <v>51</v>
      </c>
      <c r="J394" t="s">
        <v>137</v>
      </c>
      <c r="K394" s="37">
        <v>14</v>
      </c>
      <c r="L394" t="s">
        <v>52</v>
      </c>
      <c r="M394" s="21">
        <v>171800</v>
      </c>
      <c r="N394" s="21">
        <v>2247144</v>
      </c>
      <c r="O394" s="21">
        <v>185544</v>
      </c>
      <c r="P394">
        <v>5</v>
      </c>
      <c r="Q394" t="s">
        <v>42</v>
      </c>
      <c r="R394" s="37">
        <v>4</v>
      </c>
      <c r="S394" s="37">
        <v>2</v>
      </c>
      <c r="T394" t="s">
        <v>62</v>
      </c>
      <c r="U394" t="s">
        <v>63</v>
      </c>
      <c r="V394" t="s">
        <v>69</v>
      </c>
    </row>
    <row r="395" spans="1:22" ht="15" customHeight="1" x14ac:dyDescent="0.3">
      <c r="A395" t="s">
        <v>806</v>
      </c>
      <c r="B395" s="20">
        <v>45861</v>
      </c>
      <c r="C395" t="s">
        <v>229</v>
      </c>
      <c r="D395" t="s">
        <v>35</v>
      </c>
      <c r="E395" s="37">
        <v>49</v>
      </c>
      <c r="F395" t="s">
        <v>57</v>
      </c>
      <c r="G395" t="s">
        <v>58</v>
      </c>
      <c r="H395" t="s">
        <v>118</v>
      </c>
      <c r="I395" t="s">
        <v>39</v>
      </c>
      <c r="J395" t="s">
        <v>137</v>
      </c>
      <c r="K395" s="37">
        <v>21</v>
      </c>
      <c r="L395" t="s">
        <v>41</v>
      </c>
      <c r="M395" s="21">
        <v>33700</v>
      </c>
      <c r="N395" s="21">
        <v>452928</v>
      </c>
      <c r="O395" s="21">
        <v>48528</v>
      </c>
      <c r="P395">
        <v>2</v>
      </c>
      <c r="Q395" t="s">
        <v>42</v>
      </c>
      <c r="R395" s="37">
        <v>17</v>
      </c>
      <c r="S395" s="37">
        <v>17</v>
      </c>
      <c r="T395" t="s">
        <v>94</v>
      </c>
      <c r="U395" t="s">
        <v>54</v>
      </c>
      <c r="V395" t="s">
        <v>45</v>
      </c>
    </row>
    <row r="396" spans="1:22" ht="15" customHeight="1" x14ac:dyDescent="0.3">
      <c r="A396" t="s">
        <v>807</v>
      </c>
      <c r="B396" s="20">
        <v>46012</v>
      </c>
      <c r="C396" t="s">
        <v>714</v>
      </c>
      <c r="D396" t="s">
        <v>35</v>
      </c>
      <c r="E396" s="37">
        <v>30</v>
      </c>
      <c r="F396" t="s">
        <v>57</v>
      </c>
      <c r="G396" t="s">
        <v>58</v>
      </c>
      <c r="H396" t="s">
        <v>74</v>
      </c>
      <c r="I396" t="s">
        <v>75</v>
      </c>
      <c r="J396" t="s">
        <v>83</v>
      </c>
      <c r="K396" s="37">
        <v>0</v>
      </c>
      <c r="L396" t="s">
        <v>52</v>
      </c>
      <c r="M396" s="21">
        <v>99000</v>
      </c>
      <c r="N396" s="21">
        <v>1259280</v>
      </c>
      <c r="O396" s="21">
        <v>71280</v>
      </c>
      <c r="P396">
        <v>4</v>
      </c>
      <c r="Q396" t="s">
        <v>42</v>
      </c>
      <c r="R396" s="37">
        <v>5</v>
      </c>
      <c r="S396" s="37">
        <v>20</v>
      </c>
      <c r="T396" t="s">
        <v>68</v>
      </c>
      <c r="U396" t="s">
        <v>44</v>
      </c>
      <c r="V396" t="s">
        <v>45</v>
      </c>
    </row>
    <row r="397" spans="1:22" ht="15" customHeight="1" x14ac:dyDescent="0.3">
      <c r="A397" t="s">
        <v>808</v>
      </c>
      <c r="B397" s="20">
        <v>46010</v>
      </c>
      <c r="C397" t="s">
        <v>809</v>
      </c>
      <c r="D397" t="s">
        <v>48</v>
      </c>
      <c r="E397" s="37">
        <v>40</v>
      </c>
      <c r="F397" t="s">
        <v>97</v>
      </c>
      <c r="G397" t="s">
        <v>98</v>
      </c>
      <c r="H397" t="s">
        <v>66</v>
      </c>
      <c r="I397" t="s">
        <v>82</v>
      </c>
      <c r="J397" t="s">
        <v>93</v>
      </c>
      <c r="K397" s="37">
        <v>5</v>
      </c>
      <c r="L397" t="s">
        <v>52</v>
      </c>
      <c r="M397" s="21">
        <v>69600</v>
      </c>
      <c r="N397" s="21">
        <v>960479</v>
      </c>
      <c r="O397" s="21">
        <v>125280</v>
      </c>
      <c r="P397">
        <v>4</v>
      </c>
      <c r="Q397" t="s">
        <v>126</v>
      </c>
      <c r="R397" s="37">
        <v>5</v>
      </c>
      <c r="S397" s="37">
        <v>13</v>
      </c>
      <c r="T397" t="s">
        <v>129</v>
      </c>
      <c r="U397" t="s">
        <v>44</v>
      </c>
      <c r="V397" t="s">
        <v>45</v>
      </c>
    </row>
    <row r="398" spans="1:22" ht="15" customHeight="1" x14ac:dyDescent="0.3">
      <c r="A398" t="s">
        <v>810</v>
      </c>
      <c r="B398" s="20">
        <v>45872</v>
      </c>
      <c r="C398" t="s">
        <v>735</v>
      </c>
      <c r="D398" t="s">
        <v>35</v>
      </c>
      <c r="E398" s="37">
        <v>49</v>
      </c>
      <c r="F398" t="s">
        <v>72</v>
      </c>
      <c r="G398" t="s">
        <v>73</v>
      </c>
      <c r="H398" t="s">
        <v>66</v>
      </c>
      <c r="I398" t="s">
        <v>82</v>
      </c>
      <c r="J398" t="s">
        <v>67</v>
      </c>
      <c r="K398" s="37">
        <v>16</v>
      </c>
      <c r="L398" t="s">
        <v>120</v>
      </c>
      <c r="M398" s="21">
        <v>57100</v>
      </c>
      <c r="N398" s="21">
        <v>753720</v>
      </c>
      <c r="O398" s="21">
        <v>68520</v>
      </c>
      <c r="P398">
        <v>4</v>
      </c>
      <c r="Q398" t="s">
        <v>42</v>
      </c>
      <c r="R398" s="37">
        <v>2</v>
      </c>
      <c r="S398" s="37">
        <v>1</v>
      </c>
      <c r="T398" t="s">
        <v>175</v>
      </c>
      <c r="U398" t="s">
        <v>44</v>
      </c>
      <c r="V398" t="s">
        <v>69</v>
      </c>
    </row>
    <row r="399" spans="1:22" ht="15" customHeight="1" x14ac:dyDescent="0.3">
      <c r="A399" t="s">
        <v>811</v>
      </c>
      <c r="B399" s="20">
        <v>45862</v>
      </c>
      <c r="C399" t="s">
        <v>812</v>
      </c>
      <c r="D399" t="s">
        <v>35</v>
      </c>
      <c r="E399" s="37">
        <v>24</v>
      </c>
      <c r="F399" t="s">
        <v>57</v>
      </c>
      <c r="G399" t="s">
        <v>58</v>
      </c>
      <c r="H399" t="s">
        <v>38</v>
      </c>
      <c r="I399" t="s">
        <v>39</v>
      </c>
      <c r="J399" t="s">
        <v>134</v>
      </c>
      <c r="K399" s="37">
        <v>18</v>
      </c>
      <c r="L399" t="s">
        <v>52</v>
      </c>
      <c r="M399" s="21">
        <v>31600</v>
      </c>
      <c r="N399" s="21">
        <v>428495</v>
      </c>
      <c r="O399" s="21">
        <v>49296</v>
      </c>
      <c r="P399">
        <v>2</v>
      </c>
      <c r="Q399" t="s">
        <v>42</v>
      </c>
      <c r="R399" s="37">
        <v>4</v>
      </c>
      <c r="S399" s="37">
        <v>30</v>
      </c>
      <c r="T399" t="s">
        <v>94</v>
      </c>
      <c r="U399" t="s">
        <v>63</v>
      </c>
      <c r="V399" t="s">
        <v>69</v>
      </c>
    </row>
    <row r="400" spans="1:22" ht="15" customHeight="1" x14ac:dyDescent="0.3">
      <c r="A400" t="s">
        <v>813</v>
      </c>
      <c r="B400" s="20">
        <v>45934</v>
      </c>
      <c r="C400" t="s">
        <v>151</v>
      </c>
      <c r="D400" t="s">
        <v>48</v>
      </c>
      <c r="E400" s="37">
        <v>27</v>
      </c>
      <c r="F400" t="s">
        <v>97</v>
      </c>
      <c r="G400" t="s">
        <v>98</v>
      </c>
      <c r="H400" t="s">
        <v>74</v>
      </c>
      <c r="I400" t="s">
        <v>39</v>
      </c>
      <c r="J400" t="s">
        <v>76</v>
      </c>
      <c r="K400" s="37">
        <v>24</v>
      </c>
      <c r="L400" t="s">
        <v>52</v>
      </c>
      <c r="M400" s="21">
        <v>32300</v>
      </c>
      <c r="N400" s="21">
        <v>437987</v>
      </c>
      <c r="O400" s="21">
        <v>50388</v>
      </c>
      <c r="P400">
        <v>5</v>
      </c>
      <c r="Q400" t="s">
        <v>42</v>
      </c>
      <c r="R400" s="37">
        <v>12</v>
      </c>
      <c r="S400" s="37">
        <v>25</v>
      </c>
      <c r="T400" t="s">
        <v>43</v>
      </c>
      <c r="U400" t="s">
        <v>44</v>
      </c>
      <c r="V400" t="s">
        <v>45</v>
      </c>
    </row>
    <row r="401" spans="1:22" ht="15" customHeight="1" x14ac:dyDescent="0.3">
      <c r="A401" t="s">
        <v>814</v>
      </c>
      <c r="B401" s="20">
        <v>45765</v>
      </c>
      <c r="C401" t="s">
        <v>815</v>
      </c>
      <c r="D401" t="s">
        <v>48</v>
      </c>
      <c r="E401" s="37">
        <v>37</v>
      </c>
      <c r="F401" t="s">
        <v>108</v>
      </c>
      <c r="G401" t="s">
        <v>109</v>
      </c>
      <c r="H401" t="s">
        <v>66</v>
      </c>
      <c r="I401" t="s">
        <v>39</v>
      </c>
      <c r="J401" t="s">
        <v>161</v>
      </c>
      <c r="K401" s="37">
        <v>26</v>
      </c>
      <c r="L401" t="s">
        <v>52</v>
      </c>
      <c r="M401" s="21">
        <v>41800</v>
      </c>
      <c r="N401" s="21">
        <v>571824</v>
      </c>
      <c r="O401" s="21">
        <v>70224</v>
      </c>
      <c r="P401">
        <v>5</v>
      </c>
      <c r="Q401" t="s">
        <v>42</v>
      </c>
      <c r="R401" s="37">
        <v>14</v>
      </c>
      <c r="S401" s="37">
        <v>1</v>
      </c>
      <c r="T401" t="s">
        <v>77</v>
      </c>
      <c r="U401" t="s">
        <v>63</v>
      </c>
      <c r="V401" t="s">
        <v>69</v>
      </c>
    </row>
    <row r="402" spans="1:22" ht="15" customHeight="1" x14ac:dyDescent="0.3">
      <c r="A402" t="s">
        <v>816</v>
      </c>
      <c r="B402" s="20">
        <v>45911</v>
      </c>
      <c r="C402" t="s">
        <v>206</v>
      </c>
      <c r="D402" t="s">
        <v>48</v>
      </c>
      <c r="E402" s="37">
        <v>51</v>
      </c>
      <c r="F402" t="s">
        <v>57</v>
      </c>
      <c r="G402" t="s">
        <v>58</v>
      </c>
      <c r="H402" t="s">
        <v>118</v>
      </c>
      <c r="I402" t="s">
        <v>39</v>
      </c>
      <c r="J402" t="s">
        <v>137</v>
      </c>
      <c r="K402" s="37">
        <v>28</v>
      </c>
      <c r="L402" t="s">
        <v>52</v>
      </c>
      <c r="M402" s="21">
        <v>39300</v>
      </c>
      <c r="N402" s="21">
        <v>561204</v>
      </c>
      <c r="O402" s="21">
        <v>89604</v>
      </c>
      <c r="P402">
        <v>4</v>
      </c>
      <c r="Q402" t="s">
        <v>42</v>
      </c>
      <c r="R402" s="37">
        <v>16</v>
      </c>
      <c r="S402" s="37">
        <v>35</v>
      </c>
      <c r="T402" t="s">
        <v>77</v>
      </c>
      <c r="U402" t="s">
        <v>44</v>
      </c>
      <c r="V402" t="s">
        <v>45</v>
      </c>
    </row>
    <row r="403" spans="1:22" ht="15" customHeight="1" x14ac:dyDescent="0.3">
      <c r="A403" t="s">
        <v>817</v>
      </c>
      <c r="B403" s="20">
        <v>45658</v>
      </c>
      <c r="C403" t="s">
        <v>239</v>
      </c>
      <c r="D403" t="s">
        <v>35</v>
      </c>
      <c r="E403" s="37">
        <v>34</v>
      </c>
      <c r="F403" t="s">
        <v>97</v>
      </c>
      <c r="G403" t="s">
        <v>98</v>
      </c>
      <c r="H403" t="s">
        <v>74</v>
      </c>
      <c r="I403" t="s">
        <v>39</v>
      </c>
      <c r="J403" t="s">
        <v>83</v>
      </c>
      <c r="K403" s="37">
        <v>17</v>
      </c>
      <c r="L403" t="s">
        <v>52</v>
      </c>
      <c r="M403" s="21">
        <v>38800</v>
      </c>
      <c r="N403" s="21">
        <v>549408</v>
      </c>
      <c r="O403" s="21">
        <v>83808</v>
      </c>
      <c r="P403">
        <v>2</v>
      </c>
      <c r="Q403" t="s">
        <v>126</v>
      </c>
      <c r="R403" s="37">
        <v>6</v>
      </c>
      <c r="S403" s="37">
        <v>9</v>
      </c>
      <c r="T403" t="s">
        <v>62</v>
      </c>
      <c r="U403" t="s">
        <v>63</v>
      </c>
      <c r="V403" t="s">
        <v>69</v>
      </c>
    </row>
    <row r="404" spans="1:22" ht="15" customHeight="1" x14ac:dyDescent="0.3">
      <c r="A404" t="s">
        <v>818</v>
      </c>
      <c r="B404" s="20">
        <v>45933</v>
      </c>
      <c r="C404" t="s">
        <v>819</v>
      </c>
      <c r="D404" t="s">
        <v>48</v>
      </c>
      <c r="E404" s="37">
        <v>49</v>
      </c>
      <c r="F404" t="s">
        <v>108</v>
      </c>
      <c r="G404" t="s">
        <v>109</v>
      </c>
      <c r="H404" t="s">
        <v>66</v>
      </c>
      <c r="I404" t="s">
        <v>60</v>
      </c>
      <c r="J404" t="s">
        <v>161</v>
      </c>
      <c r="K404" s="37">
        <v>16</v>
      </c>
      <c r="L404" t="s">
        <v>120</v>
      </c>
      <c r="M404" s="21">
        <v>183800</v>
      </c>
      <c r="N404" s="21">
        <v>2492327</v>
      </c>
      <c r="O404" s="21">
        <v>286728</v>
      </c>
      <c r="P404">
        <v>3</v>
      </c>
      <c r="Q404" t="s">
        <v>42</v>
      </c>
      <c r="R404" s="37">
        <v>5</v>
      </c>
      <c r="S404" s="37">
        <v>24</v>
      </c>
      <c r="T404" t="s">
        <v>68</v>
      </c>
      <c r="U404" t="s">
        <v>63</v>
      </c>
      <c r="V404" t="s">
        <v>69</v>
      </c>
    </row>
    <row r="405" spans="1:22" ht="15" customHeight="1" x14ac:dyDescent="0.3">
      <c r="A405" t="s">
        <v>820</v>
      </c>
      <c r="B405" s="20">
        <v>45673</v>
      </c>
      <c r="C405" t="s">
        <v>821</v>
      </c>
      <c r="D405" t="s">
        <v>35</v>
      </c>
      <c r="E405" s="37">
        <v>23</v>
      </c>
      <c r="F405" t="s">
        <v>91</v>
      </c>
      <c r="G405" t="s">
        <v>92</v>
      </c>
      <c r="H405" t="s">
        <v>38</v>
      </c>
      <c r="I405" t="s">
        <v>82</v>
      </c>
      <c r="J405" t="s">
        <v>110</v>
      </c>
      <c r="K405" s="37">
        <v>28</v>
      </c>
      <c r="L405" t="s">
        <v>41</v>
      </c>
      <c r="M405" s="21">
        <v>47600</v>
      </c>
      <c r="N405" s="21">
        <v>679728</v>
      </c>
      <c r="O405" s="21">
        <v>108528</v>
      </c>
      <c r="P405">
        <v>5</v>
      </c>
      <c r="Q405" t="s">
        <v>42</v>
      </c>
      <c r="R405" s="37">
        <v>3</v>
      </c>
      <c r="S405" s="37">
        <v>16</v>
      </c>
      <c r="T405" t="s">
        <v>62</v>
      </c>
      <c r="U405" t="s">
        <v>44</v>
      </c>
      <c r="V405" t="s">
        <v>69</v>
      </c>
    </row>
    <row r="406" spans="1:22" ht="15" customHeight="1" x14ac:dyDescent="0.3">
      <c r="A406" t="s">
        <v>822</v>
      </c>
      <c r="B406" s="20">
        <v>45787</v>
      </c>
      <c r="C406" t="s">
        <v>823</v>
      </c>
      <c r="D406" t="s">
        <v>35</v>
      </c>
      <c r="E406" s="37">
        <v>45</v>
      </c>
      <c r="F406" t="s">
        <v>97</v>
      </c>
      <c r="G406" t="s">
        <v>98</v>
      </c>
      <c r="H406" t="s">
        <v>59</v>
      </c>
      <c r="I406" t="s">
        <v>39</v>
      </c>
      <c r="J406" t="s">
        <v>104</v>
      </c>
      <c r="K406" s="37">
        <v>21</v>
      </c>
      <c r="L406" t="s">
        <v>52</v>
      </c>
      <c r="M406" s="21">
        <v>35100</v>
      </c>
      <c r="N406" s="21">
        <v>467532</v>
      </c>
      <c r="O406" s="21">
        <v>46332</v>
      </c>
      <c r="P406">
        <v>3</v>
      </c>
      <c r="Q406" t="s">
        <v>42</v>
      </c>
      <c r="R406" s="37">
        <v>9</v>
      </c>
      <c r="S406" s="37">
        <v>30</v>
      </c>
      <c r="T406" t="s">
        <v>175</v>
      </c>
      <c r="U406" t="s">
        <v>44</v>
      </c>
      <c r="V406" t="s">
        <v>69</v>
      </c>
    </row>
    <row r="407" spans="1:22" ht="15" customHeight="1" x14ac:dyDescent="0.3">
      <c r="A407" t="s">
        <v>824</v>
      </c>
      <c r="B407" s="20">
        <v>45904</v>
      </c>
      <c r="C407" t="s">
        <v>237</v>
      </c>
      <c r="D407" t="s">
        <v>48</v>
      </c>
      <c r="E407" s="37">
        <v>46</v>
      </c>
      <c r="F407" t="s">
        <v>123</v>
      </c>
      <c r="G407" t="s">
        <v>124</v>
      </c>
      <c r="H407" t="s">
        <v>66</v>
      </c>
      <c r="I407" t="s">
        <v>75</v>
      </c>
      <c r="J407" t="s">
        <v>161</v>
      </c>
      <c r="K407" s="37">
        <v>12</v>
      </c>
      <c r="L407" t="s">
        <v>52</v>
      </c>
      <c r="M407" s="21">
        <v>87800</v>
      </c>
      <c r="N407" s="21">
        <v>1201104</v>
      </c>
      <c r="O407" s="21">
        <v>147504</v>
      </c>
      <c r="P407">
        <v>4</v>
      </c>
      <c r="Q407" t="s">
        <v>42</v>
      </c>
      <c r="R407" s="37">
        <v>4</v>
      </c>
      <c r="S407" s="37">
        <v>34</v>
      </c>
      <c r="T407" t="s">
        <v>53</v>
      </c>
      <c r="U407" t="s">
        <v>44</v>
      </c>
      <c r="V407" t="s">
        <v>45</v>
      </c>
    </row>
    <row r="408" spans="1:22" ht="15" customHeight="1" x14ac:dyDescent="0.3">
      <c r="A408" t="s">
        <v>825</v>
      </c>
      <c r="B408" s="20">
        <v>45943</v>
      </c>
      <c r="C408" t="s">
        <v>591</v>
      </c>
      <c r="D408" t="s">
        <v>48</v>
      </c>
      <c r="E408" s="37">
        <v>47</v>
      </c>
      <c r="F408" t="s">
        <v>97</v>
      </c>
      <c r="G408" t="s">
        <v>98</v>
      </c>
      <c r="H408" t="s">
        <v>74</v>
      </c>
      <c r="I408" t="s">
        <v>39</v>
      </c>
      <c r="J408" t="s">
        <v>115</v>
      </c>
      <c r="K408" s="37">
        <v>0</v>
      </c>
      <c r="L408" t="s">
        <v>52</v>
      </c>
      <c r="M408" s="21">
        <v>38000</v>
      </c>
      <c r="N408" s="21">
        <v>492480</v>
      </c>
      <c r="O408" s="21">
        <v>36480</v>
      </c>
      <c r="P408">
        <v>4</v>
      </c>
      <c r="Q408" t="s">
        <v>126</v>
      </c>
      <c r="R408" s="37">
        <v>8</v>
      </c>
      <c r="S408" s="37">
        <v>12</v>
      </c>
      <c r="T408" t="s">
        <v>62</v>
      </c>
      <c r="U408" t="s">
        <v>63</v>
      </c>
      <c r="V408" t="s">
        <v>69</v>
      </c>
    </row>
    <row r="409" spans="1:22" ht="15" customHeight="1" x14ac:dyDescent="0.3">
      <c r="A409" t="s">
        <v>826</v>
      </c>
      <c r="B409" s="20">
        <v>46012</v>
      </c>
      <c r="C409" t="s">
        <v>827</v>
      </c>
      <c r="D409" t="s">
        <v>35</v>
      </c>
      <c r="E409" s="37">
        <v>51</v>
      </c>
      <c r="F409" t="s">
        <v>123</v>
      </c>
      <c r="G409" t="s">
        <v>124</v>
      </c>
      <c r="H409" t="s">
        <v>38</v>
      </c>
      <c r="I409" t="s">
        <v>75</v>
      </c>
      <c r="J409" t="s">
        <v>40</v>
      </c>
      <c r="K409" s="37">
        <v>12</v>
      </c>
      <c r="L409" t="s">
        <v>52</v>
      </c>
      <c r="M409" s="21">
        <v>98700</v>
      </c>
      <c r="N409" s="21">
        <v>1397592</v>
      </c>
      <c r="O409" s="21">
        <v>213192</v>
      </c>
      <c r="P409">
        <v>4</v>
      </c>
      <c r="Q409" t="s">
        <v>42</v>
      </c>
      <c r="R409" s="37">
        <v>0</v>
      </c>
      <c r="S409" s="37">
        <v>13</v>
      </c>
      <c r="T409" t="s">
        <v>68</v>
      </c>
      <c r="U409" t="s">
        <v>44</v>
      </c>
      <c r="V409" t="s">
        <v>45</v>
      </c>
    </row>
    <row r="410" spans="1:22" ht="15" customHeight="1" x14ac:dyDescent="0.3">
      <c r="A410" t="s">
        <v>828</v>
      </c>
      <c r="B410" s="20">
        <v>45770</v>
      </c>
      <c r="C410" t="s">
        <v>311</v>
      </c>
      <c r="D410" t="s">
        <v>35</v>
      </c>
      <c r="E410" s="37">
        <v>47</v>
      </c>
      <c r="F410" t="s">
        <v>97</v>
      </c>
      <c r="G410" t="s">
        <v>98</v>
      </c>
      <c r="H410" t="s">
        <v>59</v>
      </c>
      <c r="I410" t="s">
        <v>39</v>
      </c>
      <c r="J410" t="s">
        <v>104</v>
      </c>
      <c r="K410" s="37">
        <v>30</v>
      </c>
      <c r="L410" t="s">
        <v>52</v>
      </c>
      <c r="M410" s="21">
        <v>33400</v>
      </c>
      <c r="N410" s="21">
        <v>452903</v>
      </c>
      <c r="O410" s="21">
        <v>52104</v>
      </c>
      <c r="P410">
        <v>4</v>
      </c>
      <c r="Q410" t="s">
        <v>42</v>
      </c>
      <c r="R410" s="37">
        <v>2</v>
      </c>
      <c r="S410" s="37">
        <v>23</v>
      </c>
      <c r="T410" t="s">
        <v>94</v>
      </c>
      <c r="U410" t="s">
        <v>44</v>
      </c>
      <c r="V410" t="s">
        <v>69</v>
      </c>
    </row>
    <row r="411" spans="1:22" ht="15" customHeight="1" x14ac:dyDescent="0.3">
      <c r="A411" t="s">
        <v>829</v>
      </c>
      <c r="B411" s="20">
        <v>45954</v>
      </c>
      <c r="C411" t="s">
        <v>563</v>
      </c>
      <c r="D411" t="s">
        <v>35</v>
      </c>
      <c r="E411" s="37">
        <v>42</v>
      </c>
      <c r="F411" t="s">
        <v>123</v>
      </c>
      <c r="G411" t="s">
        <v>124</v>
      </c>
      <c r="H411" t="s">
        <v>66</v>
      </c>
      <c r="I411" t="s">
        <v>39</v>
      </c>
      <c r="J411" t="s">
        <v>67</v>
      </c>
      <c r="K411" s="37">
        <v>16</v>
      </c>
      <c r="L411" t="s">
        <v>52</v>
      </c>
      <c r="M411" s="21">
        <v>45700</v>
      </c>
      <c r="N411" s="21">
        <v>592272</v>
      </c>
      <c r="O411" s="21">
        <v>43872</v>
      </c>
      <c r="P411">
        <v>4</v>
      </c>
      <c r="Q411" t="s">
        <v>42</v>
      </c>
      <c r="R411" s="37">
        <v>20</v>
      </c>
      <c r="S411" s="37">
        <v>3</v>
      </c>
      <c r="T411" t="s">
        <v>68</v>
      </c>
      <c r="U411" t="s">
        <v>63</v>
      </c>
      <c r="V411" t="s">
        <v>69</v>
      </c>
    </row>
    <row r="412" spans="1:22" ht="15" customHeight="1" x14ac:dyDescent="0.3">
      <c r="A412" t="s">
        <v>830</v>
      </c>
      <c r="B412" s="20">
        <v>45768</v>
      </c>
      <c r="C412" t="s">
        <v>203</v>
      </c>
      <c r="D412" t="s">
        <v>48</v>
      </c>
      <c r="E412" s="37">
        <v>52</v>
      </c>
      <c r="F412" t="s">
        <v>108</v>
      </c>
      <c r="G412" t="s">
        <v>109</v>
      </c>
      <c r="H412" t="s">
        <v>118</v>
      </c>
      <c r="I412" t="s">
        <v>39</v>
      </c>
      <c r="J412" t="s">
        <v>219</v>
      </c>
      <c r="K412" s="37">
        <v>24</v>
      </c>
      <c r="L412" t="s">
        <v>52</v>
      </c>
      <c r="M412" s="21">
        <v>29900</v>
      </c>
      <c r="N412" s="21">
        <v>412619</v>
      </c>
      <c r="O412" s="21">
        <v>53820</v>
      </c>
      <c r="P412">
        <v>2</v>
      </c>
      <c r="Q412" t="s">
        <v>126</v>
      </c>
      <c r="R412" s="37">
        <v>0</v>
      </c>
      <c r="S412" s="37">
        <v>21</v>
      </c>
      <c r="T412" t="s">
        <v>105</v>
      </c>
      <c r="U412" t="s">
        <v>138</v>
      </c>
      <c r="V412" t="s">
        <v>45</v>
      </c>
    </row>
    <row r="413" spans="1:22" ht="15" customHeight="1" x14ac:dyDescent="0.3">
      <c r="A413" t="s">
        <v>831</v>
      </c>
      <c r="B413" s="20">
        <v>45857</v>
      </c>
      <c r="C413" t="s">
        <v>197</v>
      </c>
      <c r="D413" t="s">
        <v>48</v>
      </c>
      <c r="E413" s="37">
        <v>45</v>
      </c>
      <c r="F413" t="s">
        <v>91</v>
      </c>
      <c r="G413" t="s">
        <v>92</v>
      </c>
      <c r="H413" t="s">
        <v>38</v>
      </c>
      <c r="I413" t="s">
        <v>39</v>
      </c>
      <c r="J413" t="s">
        <v>40</v>
      </c>
      <c r="K413" s="37">
        <v>0</v>
      </c>
      <c r="L413" t="s">
        <v>120</v>
      </c>
      <c r="M413" s="21">
        <v>34200</v>
      </c>
      <c r="N413" s="21">
        <v>492480</v>
      </c>
      <c r="O413" s="21">
        <v>82080</v>
      </c>
      <c r="P413">
        <v>5</v>
      </c>
      <c r="Q413" t="s">
        <v>42</v>
      </c>
      <c r="R413" s="37">
        <v>13</v>
      </c>
      <c r="S413" s="37">
        <v>15</v>
      </c>
      <c r="T413" t="s">
        <v>68</v>
      </c>
      <c r="U413" t="s">
        <v>44</v>
      </c>
      <c r="V413" t="s">
        <v>45</v>
      </c>
    </row>
    <row r="414" spans="1:22" ht="15" customHeight="1" x14ac:dyDescent="0.3">
      <c r="A414" t="s">
        <v>832</v>
      </c>
      <c r="B414" s="20">
        <v>45659</v>
      </c>
      <c r="C414" t="s">
        <v>833</v>
      </c>
      <c r="D414" t="s">
        <v>48</v>
      </c>
      <c r="E414" s="37">
        <v>50</v>
      </c>
      <c r="F414" t="s">
        <v>36</v>
      </c>
      <c r="G414" t="s">
        <v>37</v>
      </c>
      <c r="H414" t="s">
        <v>38</v>
      </c>
      <c r="I414" t="s">
        <v>60</v>
      </c>
      <c r="J414" t="s">
        <v>99</v>
      </c>
      <c r="K414" s="37">
        <v>15</v>
      </c>
      <c r="L414" t="s">
        <v>52</v>
      </c>
      <c r="M414" s="21">
        <v>136300</v>
      </c>
      <c r="N414" s="21">
        <v>1880939</v>
      </c>
      <c r="O414" s="21">
        <v>245340</v>
      </c>
      <c r="P414">
        <v>1</v>
      </c>
      <c r="Q414" t="s">
        <v>42</v>
      </c>
      <c r="R414" s="37">
        <v>2</v>
      </c>
      <c r="S414" s="37">
        <v>33</v>
      </c>
      <c r="T414" t="s">
        <v>68</v>
      </c>
      <c r="U414" t="s">
        <v>44</v>
      </c>
      <c r="V414" t="s">
        <v>45</v>
      </c>
    </row>
    <row r="415" spans="1:22" ht="15" customHeight="1" x14ac:dyDescent="0.3">
      <c r="A415" t="s">
        <v>834</v>
      </c>
      <c r="B415" s="20">
        <v>45810</v>
      </c>
      <c r="C415" t="s">
        <v>331</v>
      </c>
      <c r="D415" t="s">
        <v>35</v>
      </c>
      <c r="E415" s="37">
        <v>28</v>
      </c>
      <c r="F415" t="s">
        <v>72</v>
      </c>
      <c r="G415" t="s">
        <v>73</v>
      </c>
      <c r="H415" t="s">
        <v>118</v>
      </c>
      <c r="I415" t="s">
        <v>75</v>
      </c>
      <c r="J415" t="s">
        <v>137</v>
      </c>
      <c r="K415" s="37">
        <v>17</v>
      </c>
      <c r="L415" t="s">
        <v>52</v>
      </c>
      <c r="M415" s="21">
        <v>88100</v>
      </c>
      <c r="N415" s="21">
        <v>1194636</v>
      </c>
      <c r="O415" s="21">
        <v>137436</v>
      </c>
      <c r="P415">
        <v>5</v>
      </c>
      <c r="Q415" t="s">
        <v>42</v>
      </c>
      <c r="R415" s="37">
        <v>14</v>
      </c>
      <c r="S415" s="37">
        <v>3</v>
      </c>
      <c r="T415" t="s">
        <v>62</v>
      </c>
      <c r="U415" t="s">
        <v>54</v>
      </c>
      <c r="V415" t="s">
        <v>69</v>
      </c>
    </row>
    <row r="416" spans="1:22" ht="15" customHeight="1" x14ac:dyDescent="0.3">
      <c r="A416" t="s">
        <v>835</v>
      </c>
      <c r="B416" s="20">
        <v>45939</v>
      </c>
      <c r="C416" t="s">
        <v>288</v>
      </c>
      <c r="D416" t="s">
        <v>35</v>
      </c>
      <c r="E416" s="37">
        <v>47</v>
      </c>
      <c r="F416" t="s">
        <v>108</v>
      </c>
      <c r="G416" t="s">
        <v>109</v>
      </c>
      <c r="H416" t="s">
        <v>118</v>
      </c>
      <c r="I416" t="s">
        <v>60</v>
      </c>
      <c r="J416" t="s">
        <v>219</v>
      </c>
      <c r="K416" s="37">
        <v>12</v>
      </c>
      <c r="L416" t="s">
        <v>52</v>
      </c>
      <c r="M416" s="21">
        <v>110500</v>
      </c>
      <c r="N416" s="21">
        <v>1511640</v>
      </c>
      <c r="O416" s="21">
        <v>185640</v>
      </c>
      <c r="P416">
        <v>4</v>
      </c>
      <c r="Q416" t="s">
        <v>42</v>
      </c>
      <c r="R416" s="37">
        <v>11</v>
      </c>
      <c r="S416" s="37">
        <v>0</v>
      </c>
      <c r="T416" t="s">
        <v>129</v>
      </c>
      <c r="U416" t="s">
        <v>63</v>
      </c>
      <c r="V416" t="s">
        <v>69</v>
      </c>
    </row>
    <row r="417" spans="1:22" ht="15" customHeight="1" x14ac:dyDescent="0.3">
      <c r="A417" t="s">
        <v>836</v>
      </c>
      <c r="B417" s="20">
        <v>45935</v>
      </c>
      <c r="C417" t="s">
        <v>837</v>
      </c>
      <c r="D417" t="s">
        <v>48</v>
      </c>
      <c r="E417" s="37">
        <v>35</v>
      </c>
      <c r="F417" t="s">
        <v>80</v>
      </c>
      <c r="G417" t="s">
        <v>81</v>
      </c>
      <c r="H417" t="s">
        <v>74</v>
      </c>
      <c r="I417" t="s">
        <v>39</v>
      </c>
      <c r="J417" t="s">
        <v>152</v>
      </c>
      <c r="K417" s="37">
        <v>12</v>
      </c>
      <c r="L417" t="s">
        <v>52</v>
      </c>
      <c r="M417" s="21">
        <v>36200</v>
      </c>
      <c r="N417" s="21">
        <v>482184</v>
      </c>
      <c r="O417" s="21">
        <v>47784</v>
      </c>
      <c r="P417">
        <v>5</v>
      </c>
      <c r="Q417" t="s">
        <v>126</v>
      </c>
      <c r="R417" s="37">
        <v>0</v>
      </c>
      <c r="S417" s="37">
        <v>31</v>
      </c>
      <c r="T417" t="s">
        <v>146</v>
      </c>
      <c r="U417" t="s">
        <v>63</v>
      </c>
      <c r="V417" t="s">
        <v>69</v>
      </c>
    </row>
    <row r="418" spans="1:22" ht="15" customHeight="1" x14ac:dyDescent="0.3">
      <c r="A418" t="s">
        <v>838</v>
      </c>
      <c r="B418" s="20">
        <v>45684</v>
      </c>
      <c r="C418" t="s">
        <v>839</v>
      </c>
      <c r="D418" t="s">
        <v>35</v>
      </c>
      <c r="E418" s="37">
        <v>40</v>
      </c>
      <c r="F418" t="s">
        <v>123</v>
      </c>
      <c r="G418" t="s">
        <v>124</v>
      </c>
      <c r="H418" t="s">
        <v>118</v>
      </c>
      <c r="I418" t="s">
        <v>39</v>
      </c>
      <c r="J418" t="s">
        <v>250</v>
      </c>
      <c r="K418" s="37">
        <v>27</v>
      </c>
      <c r="L418" t="s">
        <v>52</v>
      </c>
      <c r="M418" s="21">
        <v>40700</v>
      </c>
      <c r="N418" s="21">
        <v>556776</v>
      </c>
      <c r="O418" s="21">
        <v>68376</v>
      </c>
      <c r="P418">
        <v>2</v>
      </c>
      <c r="Q418" t="s">
        <v>42</v>
      </c>
      <c r="R418" s="37">
        <v>3</v>
      </c>
      <c r="S418" s="37">
        <v>7</v>
      </c>
      <c r="T418" t="s">
        <v>68</v>
      </c>
      <c r="U418" t="s">
        <v>63</v>
      </c>
      <c r="V418" t="s">
        <v>69</v>
      </c>
    </row>
    <row r="419" spans="1:22" ht="15" customHeight="1" x14ac:dyDescent="0.3">
      <c r="A419" t="s">
        <v>840</v>
      </c>
      <c r="B419" s="20">
        <v>45774</v>
      </c>
      <c r="C419" t="s">
        <v>616</v>
      </c>
      <c r="D419" t="s">
        <v>35</v>
      </c>
      <c r="E419" s="37">
        <v>58</v>
      </c>
      <c r="F419" t="s">
        <v>57</v>
      </c>
      <c r="G419" t="s">
        <v>58</v>
      </c>
      <c r="H419" t="s">
        <v>74</v>
      </c>
      <c r="I419" t="s">
        <v>82</v>
      </c>
      <c r="J419" t="s">
        <v>115</v>
      </c>
      <c r="K419" s="37">
        <v>10</v>
      </c>
      <c r="L419" t="s">
        <v>41</v>
      </c>
      <c r="M419" s="21">
        <v>51800</v>
      </c>
      <c r="N419" s="21">
        <v>727272</v>
      </c>
      <c r="O419" s="21">
        <v>105672</v>
      </c>
      <c r="P419">
        <v>2</v>
      </c>
      <c r="Q419" t="s">
        <v>42</v>
      </c>
      <c r="R419" s="37">
        <v>19</v>
      </c>
      <c r="S419" s="37">
        <v>13</v>
      </c>
      <c r="T419" t="s">
        <v>68</v>
      </c>
      <c r="U419" t="s">
        <v>63</v>
      </c>
      <c r="V419" t="s">
        <v>69</v>
      </c>
    </row>
    <row r="420" spans="1:22" ht="15" customHeight="1" x14ac:dyDescent="0.3">
      <c r="A420" t="s">
        <v>841</v>
      </c>
      <c r="B420" s="20">
        <v>45705</v>
      </c>
      <c r="C420" t="s">
        <v>842</v>
      </c>
      <c r="D420" t="s">
        <v>48</v>
      </c>
      <c r="E420" s="37">
        <v>54</v>
      </c>
      <c r="F420" t="s">
        <v>80</v>
      </c>
      <c r="G420" t="s">
        <v>81</v>
      </c>
      <c r="H420" t="s">
        <v>66</v>
      </c>
      <c r="I420" t="s">
        <v>39</v>
      </c>
      <c r="J420" t="s">
        <v>161</v>
      </c>
      <c r="K420" s="37">
        <v>26</v>
      </c>
      <c r="L420" t="s">
        <v>52</v>
      </c>
      <c r="M420" s="21">
        <v>45000</v>
      </c>
      <c r="N420" s="21">
        <v>599400</v>
      </c>
      <c r="O420" s="21">
        <v>59400</v>
      </c>
      <c r="P420">
        <v>4</v>
      </c>
      <c r="Q420" t="s">
        <v>42</v>
      </c>
      <c r="R420" s="37">
        <v>0</v>
      </c>
      <c r="S420" s="37">
        <v>11</v>
      </c>
      <c r="T420" t="s">
        <v>43</v>
      </c>
      <c r="U420" t="s">
        <v>54</v>
      </c>
      <c r="V420" t="s">
        <v>69</v>
      </c>
    </row>
    <row r="421" spans="1:22" ht="15" customHeight="1" x14ac:dyDescent="0.3">
      <c r="A421" t="s">
        <v>843</v>
      </c>
      <c r="B421" s="20">
        <v>45906</v>
      </c>
      <c r="C421" t="s">
        <v>844</v>
      </c>
      <c r="D421" t="s">
        <v>35</v>
      </c>
      <c r="E421" s="37">
        <v>24</v>
      </c>
      <c r="F421" t="s">
        <v>49</v>
      </c>
      <c r="G421" t="s">
        <v>50</v>
      </c>
      <c r="H421" t="s">
        <v>118</v>
      </c>
      <c r="I421" t="s">
        <v>39</v>
      </c>
      <c r="J421" t="s">
        <v>182</v>
      </c>
      <c r="K421" s="37">
        <v>17</v>
      </c>
      <c r="L421" t="s">
        <v>52</v>
      </c>
      <c r="M421" s="21">
        <v>32400</v>
      </c>
      <c r="N421" s="21">
        <v>462672</v>
      </c>
      <c r="O421" s="21">
        <v>73872</v>
      </c>
      <c r="P421">
        <v>5</v>
      </c>
      <c r="Q421" t="s">
        <v>42</v>
      </c>
      <c r="R421" s="37">
        <v>15</v>
      </c>
      <c r="S421" s="37">
        <v>37</v>
      </c>
      <c r="T421" t="s">
        <v>175</v>
      </c>
      <c r="U421" t="s">
        <v>44</v>
      </c>
      <c r="V421" t="s">
        <v>69</v>
      </c>
    </row>
    <row r="422" spans="1:22" ht="15" customHeight="1" x14ac:dyDescent="0.3">
      <c r="A422" t="s">
        <v>845</v>
      </c>
      <c r="B422" s="20">
        <v>45965</v>
      </c>
      <c r="C422" t="s">
        <v>566</v>
      </c>
      <c r="D422" t="s">
        <v>35</v>
      </c>
      <c r="E422" s="37">
        <v>50</v>
      </c>
      <c r="F422" t="s">
        <v>108</v>
      </c>
      <c r="G422" t="s">
        <v>109</v>
      </c>
      <c r="H422" t="s">
        <v>118</v>
      </c>
      <c r="I422" t="s">
        <v>51</v>
      </c>
      <c r="J422" t="s">
        <v>219</v>
      </c>
      <c r="K422" s="37">
        <v>7</v>
      </c>
      <c r="L422" t="s">
        <v>52</v>
      </c>
      <c r="M422" s="21">
        <v>176900</v>
      </c>
      <c r="N422" s="21">
        <v>2462448</v>
      </c>
      <c r="O422" s="21">
        <v>339648</v>
      </c>
      <c r="P422">
        <v>3</v>
      </c>
      <c r="Q422" t="s">
        <v>42</v>
      </c>
      <c r="R422" s="37">
        <v>11</v>
      </c>
      <c r="S422" s="37">
        <v>8</v>
      </c>
      <c r="T422" t="s">
        <v>175</v>
      </c>
      <c r="U422" t="s">
        <v>44</v>
      </c>
      <c r="V422" t="s">
        <v>69</v>
      </c>
    </row>
    <row r="423" spans="1:22" ht="15" customHeight="1" x14ac:dyDescent="0.3">
      <c r="A423" t="s">
        <v>846</v>
      </c>
      <c r="B423" s="20">
        <v>45920</v>
      </c>
      <c r="C423" t="s">
        <v>598</v>
      </c>
      <c r="D423" t="s">
        <v>35</v>
      </c>
      <c r="E423" s="37">
        <v>24</v>
      </c>
      <c r="F423" t="s">
        <v>36</v>
      </c>
      <c r="G423" t="s">
        <v>37</v>
      </c>
      <c r="H423" t="s">
        <v>59</v>
      </c>
      <c r="I423" t="s">
        <v>39</v>
      </c>
      <c r="J423" t="s">
        <v>141</v>
      </c>
      <c r="K423" s="37">
        <v>12</v>
      </c>
      <c r="L423" t="s">
        <v>52</v>
      </c>
      <c r="M423" s="21">
        <v>34500</v>
      </c>
      <c r="N423" s="21">
        <v>488520</v>
      </c>
      <c r="O423" s="21">
        <v>74520</v>
      </c>
      <c r="P423">
        <v>5</v>
      </c>
      <c r="Q423" t="s">
        <v>126</v>
      </c>
      <c r="R423" s="37">
        <v>4</v>
      </c>
      <c r="S423" s="37">
        <v>21</v>
      </c>
      <c r="T423" t="s">
        <v>68</v>
      </c>
      <c r="U423" t="s">
        <v>63</v>
      </c>
      <c r="V423" t="s">
        <v>69</v>
      </c>
    </row>
    <row r="424" spans="1:22" ht="15" customHeight="1" x14ac:dyDescent="0.3">
      <c r="A424" t="s">
        <v>847</v>
      </c>
      <c r="B424" s="20">
        <v>45732</v>
      </c>
      <c r="C424" t="s">
        <v>815</v>
      </c>
      <c r="D424" t="s">
        <v>48</v>
      </c>
      <c r="E424" s="37">
        <v>34</v>
      </c>
      <c r="F424" t="s">
        <v>72</v>
      </c>
      <c r="G424" t="s">
        <v>73</v>
      </c>
      <c r="H424" t="s">
        <v>74</v>
      </c>
      <c r="I424" t="s">
        <v>75</v>
      </c>
      <c r="J424" t="s">
        <v>115</v>
      </c>
      <c r="K424" s="37">
        <v>20</v>
      </c>
      <c r="L424" t="s">
        <v>52</v>
      </c>
      <c r="M424" s="21">
        <v>95500</v>
      </c>
      <c r="N424" s="21">
        <v>1317900</v>
      </c>
      <c r="O424" s="21">
        <v>171900</v>
      </c>
      <c r="P424">
        <v>2</v>
      </c>
      <c r="Q424" t="s">
        <v>42</v>
      </c>
      <c r="R424" s="37">
        <v>4</v>
      </c>
      <c r="S424" s="37">
        <v>4</v>
      </c>
      <c r="T424" t="s">
        <v>68</v>
      </c>
      <c r="U424" t="s">
        <v>44</v>
      </c>
      <c r="V424" t="s">
        <v>45</v>
      </c>
    </row>
    <row r="425" spans="1:22" ht="15" customHeight="1" x14ac:dyDescent="0.3">
      <c r="A425" t="s">
        <v>848</v>
      </c>
      <c r="B425" s="20">
        <v>45856</v>
      </c>
      <c r="C425" t="s">
        <v>849</v>
      </c>
      <c r="D425" t="s">
        <v>48</v>
      </c>
      <c r="E425" s="37">
        <v>58</v>
      </c>
      <c r="F425" t="s">
        <v>72</v>
      </c>
      <c r="G425" t="s">
        <v>73</v>
      </c>
      <c r="H425" t="s">
        <v>66</v>
      </c>
      <c r="I425" t="s">
        <v>82</v>
      </c>
      <c r="J425" t="s">
        <v>93</v>
      </c>
      <c r="K425" s="37">
        <v>9</v>
      </c>
      <c r="L425" t="s">
        <v>52</v>
      </c>
      <c r="M425" s="21">
        <v>78100</v>
      </c>
      <c r="N425" s="21">
        <v>993432</v>
      </c>
      <c r="O425" s="21">
        <v>56232</v>
      </c>
      <c r="P425">
        <v>2</v>
      </c>
      <c r="Q425" t="s">
        <v>42</v>
      </c>
      <c r="R425" s="37">
        <v>6</v>
      </c>
      <c r="S425" s="37">
        <v>35</v>
      </c>
      <c r="T425" t="s">
        <v>105</v>
      </c>
      <c r="U425" t="s">
        <v>63</v>
      </c>
      <c r="V425" t="s">
        <v>45</v>
      </c>
    </row>
    <row r="426" spans="1:22" ht="15" customHeight="1" x14ac:dyDescent="0.3">
      <c r="A426" t="s">
        <v>850</v>
      </c>
      <c r="B426" s="20">
        <v>45852</v>
      </c>
      <c r="C426" t="s">
        <v>489</v>
      </c>
      <c r="D426" t="s">
        <v>48</v>
      </c>
      <c r="E426" s="37">
        <v>22</v>
      </c>
      <c r="F426" t="s">
        <v>49</v>
      </c>
      <c r="G426" t="s">
        <v>50</v>
      </c>
      <c r="H426" t="s">
        <v>74</v>
      </c>
      <c r="I426" t="s">
        <v>39</v>
      </c>
      <c r="J426" t="s">
        <v>83</v>
      </c>
      <c r="K426" s="37">
        <v>3</v>
      </c>
      <c r="L426" t="s">
        <v>52</v>
      </c>
      <c r="M426" s="21">
        <v>34000</v>
      </c>
      <c r="N426" s="21">
        <v>456960</v>
      </c>
      <c r="O426" s="21">
        <v>48960</v>
      </c>
      <c r="P426">
        <v>5</v>
      </c>
      <c r="Q426" t="s">
        <v>42</v>
      </c>
      <c r="R426" s="37">
        <v>0</v>
      </c>
      <c r="S426" s="37">
        <v>19</v>
      </c>
      <c r="T426" t="s">
        <v>68</v>
      </c>
      <c r="U426" t="s">
        <v>44</v>
      </c>
      <c r="V426" t="s">
        <v>69</v>
      </c>
    </row>
    <row r="427" spans="1:22" ht="15" customHeight="1" x14ac:dyDescent="0.3">
      <c r="A427" t="s">
        <v>851</v>
      </c>
      <c r="B427" s="20">
        <v>45707</v>
      </c>
      <c r="C427" t="s">
        <v>803</v>
      </c>
      <c r="D427" t="s">
        <v>48</v>
      </c>
      <c r="E427" s="37">
        <v>40</v>
      </c>
      <c r="F427" t="s">
        <v>97</v>
      </c>
      <c r="G427" t="s">
        <v>98</v>
      </c>
      <c r="H427" t="s">
        <v>74</v>
      </c>
      <c r="I427" t="s">
        <v>82</v>
      </c>
      <c r="J427" t="s">
        <v>152</v>
      </c>
      <c r="K427" s="37">
        <v>20</v>
      </c>
      <c r="L427" t="s">
        <v>52</v>
      </c>
      <c r="M427" s="21">
        <v>60800</v>
      </c>
      <c r="N427" s="21">
        <v>795264</v>
      </c>
      <c r="O427" s="21">
        <v>65664</v>
      </c>
      <c r="P427">
        <v>4</v>
      </c>
      <c r="Q427" t="s">
        <v>126</v>
      </c>
      <c r="R427" s="37">
        <v>5</v>
      </c>
      <c r="S427" s="37">
        <v>25</v>
      </c>
      <c r="T427" t="s">
        <v>62</v>
      </c>
      <c r="U427" t="s">
        <v>44</v>
      </c>
      <c r="V427" t="s">
        <v>45</v>
      </c>
    </row>
    <row r="428" spans="1:22" ht="15" customHeight="1" x14ac:dyDescent="0.3">
      <c r="A428" t="s">
        <v>852</v>
      </c>
      <c r="B428" s="20">
        <v>45801</v>
      </c>
      <c r="C428" t="s">
        <v>300</v>
      </c>
      <c r="D428" t="s">
        <v>35</v>
      </c>
      <c r="E428" s="37">
        <v>32</v>
      </c>
      <c r="F428" t="s">
        <v>108</v>
      </c>
      <c r="G428" t="s">
        <v>109</v>
      </c>
      <c r="H428" t="s">
        <v>118</v>
      </c>
      <c r="I428" t="s">
        <v>82</v>
      </c>
      <c r="J428" t="s">
        <v>137</v>
      </c>
      <c r="K428" s="37">
        <v>10</v>
      </c>
      <c r="L428" t="s">
        <v>52</v>
      </c>
      <c r="M428" s="21">
        <v>61300</v>
      </c>
      <c r="N428" s="21">
        <v>779736</v>
      </c>
      <c r="O428" s="21">
        <v>44136</v>
      </c>
      <c r="P428">
        <v>4</v>
      </c>
      <c r="Q428" t="s">
        <v>42</v>
      </c>
      <c r="R428" s="37">
        <v>18</v>
      </c>
      <c r="S428" s="37">
        <v>27</v>
      </c>
      <c r="T428" t="s">
        <v>77</v>
      </c>
      <c r="U428" t="s">
        <v>44</v>
      </c>
      <c r="V428" t="s">
        <v>45</v>
      </c>
    </row>
    <row r="429" spans="1:22" ht="15" customHeight="1" x14ac:dyDescent="0.3">
      <c r="A429" t="s">
        <v>853</v>
      </c>
      <c r="B429" s="20">
        <v>45763</v>
      </c>
      <c r="C429" t="s">
        <v>854</v>
      </c>
      <c r="D429" t="s">
        <v>48</v>
      </c>
      <c r="E429" s="37">
        <v>23</v>
      </c>
      <c r="F429" t="s">
        <v>91</v>
      </c>
      <c r="G429" t="s">
        <v>92</v>
      </c>
      <c r="H429" t="s">
        <v>38</v>
      </c>
      <c r="I429" t="s">
        <v>39</v>
      </c>
      <c r="J429" t="s">
        <v>134</v>
      </c>
      <c r="K429" s="37">
        <v>0</v>
      </c>
      <c r="L429" t="s">
        <v>52</v>
      </c>
      <c r="M429" s="21">
        <v>35900</v>
      </c>
      <c r="N429" s="21">
        <v>504035</v>
      </c>
      <c r="O429" s="21">
        <v>73236</v>
      </c>
      <c r="P429">
        <v>5</v>
      </c>
      <c r="Q429" t="s">
        <v>42</v>
      </c>
      <c r="R429" s="37">
        <v>9</v>
      </c>
      <c r="S429" s="37">
        <v>21</v>
      </c>
      <c r="T429" t="s">
        <v>175</v>
      </c>
      <c r="U429" t="s">
        <v>54</v>
      </c>
      <c r="V429" t="s">
        <v>45</v>
      </c>
    </row>
    <row r="430" spans="1:22" ht="15" customHeight="1" x14ac:dyDescent="0.3">
      <c r="A430" t="s">
        <v>855</v>
      </c>
      <c r="B430" s="20">
        <v>45729</v>
      </c>
      <c r="C430" t="s">
        <v>396</v>
      </c>
      <c r="D430" t="s">
        <v>48</v>
      </c>
      <c r="E430" s="37">
        <v>28</v>
      </c>
      <c r="F430" t="s">
        <v>108</v>
      </c>
      <c r="G430" t="s">
        <v>109</v>
      </c>
      <c r="H430" t="s">
        <v>66</v>
      </c>
      <c r="I430" t="s">
        <v>75</v>
      </c>
      <c r="J430" t="s">
        <v>170</v>
      </c>
      <c r="K430" s="37">
        <v>24</v>
      </c>
      <c r="L430" t="s">
        <v>52</v>
      </c>
      <c r="M430" s="21">
        <v>96300</v>
      </c>
      <c r="N430" s="21">
        <v>1294272</v>
      </c>
      <c r="O430" s="21">
        <v>138672</v>
      </c>
      <c r="P430">
        <v>5</v>
      </c>
      <c r="Q430" t="s">
        <v>42</v>
      </c>
      <c r="R430" s="37">
        <v>4</v>
      </c>
      <c r="S430" s="37">
        <v>34</v>
      </c>
      <c r="T430" t="s">
        <v>94</v>
      </c>
      <c r="U430" t="s">
        <v>63</v>
      </c>
      <c r="V430" t="s">
        <v>45</v>
      </c>
    </row>
    <row r="431" spans="1:22" ht="15" customHeight="1" x14ac:dyDescent="0.3">
      <c r="A431" t="s">
        <v>856</v>
      </c>
      <c r="B431" s="20">
        <v>45831</v>
      </c>
      <c r="C431" t="s">
        <v>589</v>
      </c>
      <c r="D431" t="s">
        <v>35</v>
      </c>
      <c r="E431" s="37">
        <v>29</v>
      </c>
      <c r="F431" t="s">
        <v>123</v>
      </c>
      <c r="G431" t="s">
        <v>124</v>
      </c>
      <c r="H431" t="s">
        <v>118</v>
      </c>
      <c r="I431" t="s">
        <v>39</v>
      </c>
      <c r="J431" t="s">
        <v>182</v>
      </c>
      <c r="K431" s="37">
        <v>13</v>
      </c>
      <c r="L431" t="s">
        <v>120</v>
      </c>
      <c r="M431" s="21">
        <v>28500</v>
      </c>
      <c r="N431" s="21">
        <v>389880</v>
      </c>
      <c r="O431" s="21">
        <v>47880</v>
      </c>
      <c r="P431">
        <v>4</v>
      </c>
      <c r="Q431" t="s">
        <v>42</v>
      </c>
      <c r="R431" s="37">
        <v>3</v>
      </c>
      <c r="S431" s="37">
        <v>2</v>
      </c>
      <c r="T431" t="s">
        <v>53</v>
      </c>
      <c r="U431" t="s">
        <v>44</v>
      </c>
      <c r="V431" t="s">
        <v>69</v>
      </c>
    </row>
    <row r="432" spans="1:22" ht="15" customHeight="1" x14ac:dyDescent="0.3">
      <c r="A432" t="s">
        <v>857</v>
      </c>
      <c r="B432" s="20">
        <v>45963</v>
      </c>
      <c r="C432" t="s">
        <v>858</v>
      </c>
      <c r="D432" t="s">
        <v>48</v>
      </c>
      <c r="E432" s="37">
        <v>45</v>
      </c>
      <c r="F432" t="s">
        <v>36</v>
      </c>
      <c r="G432" t="s">
        <v>37</v>
      </c>
      <c r="H432" t="s">
        <v>118</v>
      </c>
      <c r="I432" t="s">
        <v>39</v>
      </c>
      <c r="J432" t="s">
        <v>137</v>
      </c>
      <c r="K432" s="37">
        <v>4</v>
      </c>
      <c r="L432" t="s">
        <v>52</v>
      </c>
      <c r="M432" s="21">
        <v>37800</v>
      </c>
      <c r="N432" s="21">
        <v>535248</v>
      </c>
      <c r="O432" s="21">
        <v>81648</v>
      </c>
      <c r="P432">
        <v>3</v>
      </c>
      <c r="Q432" t="s">
        <v>126</v>
      </c>
      <c r="R432" s="37">
        <v>6</v>
      </c>
      <c r="S432" s="37">
        <v>17</v>
      </c>
      <c r="T432" t="s">
        <v>68</v>
      </c>
      <c r="U432" t="s">
        <v>63</v>
      </c>
      <c r="V432" t="s">
        <v>69</v>
      </c>
    </row>
    <row r="433" spans="1:22" ht="15" customHeight="1" x14ac:dyDescent="0.3">
      <c r="A433" t="s">
        <v>859</v>
      </c>
      <c r="B433" s="20">
        <v>45829</v>
      </c>
      <c r="C433" t="s">
        <v>526</v>
      </c>
      <c r="D433" t="s">
        <v>48</v>
      </c>
      <c r="E433" s="37">
        <v>53</v>
      </c>
      <c r="F433" t="s">
        <v>86</v>
      </c>
      <c r="G433" t="s">
        <v>87</v>
      </c>
      <c r="H433" t="s">
        <v>66</v>
      </c>
      <c r="I433" t="s">
        <v>82</v>
      </c>
      <c r="J433" t="s">
        <v>93</v>
      </c>
      <c r="K433" s="37">
        <v>21</v>
      </c>
      <c r="L433" t="s">
        <v>52</v>
      </c>
      <c r="M433" s="21">
        <v>75400</v>
      </c>
      <c r="N433" s="21">
        <v>1076712</v>
      </c>
      <c r="O433" s="21">
        <v>171912</v>
      </c>
      <c r="P433">
        <v>3</v>
      </c>
      <c r="Q433" t="s">
        <v>42</v>
      </c>
      <c r="R433" s="37">
        <v>15</v>
      </c>
      <c r="S433" s="37">
        <v>31</v>
      </c>
      <c r="T433" t="s">
        <v>53</v>
      </c>
      <c r="U433" t="s">
        <v>44</v>
      </c>
      <c r="V433" t="s">
        <v>69</v>
      </c>
    </row>
    <row r="434" spans="1:22" ht="15" customHeight="1" x14ac:dyDescent="0.3">
      <c r="A434" t="s">
        <v>860</v>
      </c>
      <c r="B434" s="20">
        <v>45939</v>
      </c>
      <c r="C434" t="s">
        <v>333</v>
      </c>
      <c r="D434" t="s">
        <v>35</v>
      </c>
      <c r="E434" s="37">
        <v>58</v>
      </c>
      <c r="F434" t="s">
        <v>97</v>
      </c>
      <c r="G434" t="s">
        <v>98</v>
      </c>
      <c r="H434" t="s">
        <v>59</v>
      </c>
      <c r="I434" t="s">
        <v>82</v>
      </c>
      <c r="J434" t="s">
        <v>104</v>
      </c>
      <c r="K434" s="37">
        <v>29</v>
      </c>
      <c r="L434" t="s">
        <v>52</v>
      </c>
      <c r="M434" s="21">
        <v>57700</v>
      </c>
      <c r="N434" s="21">
        <v>740868</v>
      </c>
      <c r="O434" s="21">
        <v>48468</v>
      </c>
      <c r="P434">
        <v>4</v>
      </c>
      <c r="Q434" t="s">
        <v>42</v>
      </c>
      <c r="R434" s="37">
        <v>18</v>
      </c>
      <c r="S434" s="37">
        <v>15</v>
      </c>
      <c r="T434" t="s">
        <v>62</v>
      </c>
      <c r="U434" t="s">
        <v>44</v>
      </c>
      <c r="V434" t="s">
        <v>69</v>
      </c>
    </row>
    <row r="435" spans="1:22" ht="15" customHeight="1" x14ac:dyDescent="0.3">
      <c r="A435" t="s">
        <v>861</v>
      </c>
      <c r="B435" s="20">
        <v>45907</v>
      </c>
      <c r="C435" t="s">
        <v>862</v>
      </c>
      <c r="D435" t="s">
        <v>35</v>
      </c>
      <c r="E435" s="37">
        <v>58</v>
      </c>
      <c r="F435" t="s">
        <v>86</v>
      </c>
      <c r="G435" t="s">
        <v>87</v>
      </c>
      <c r="H435" t="s">
        <v>66</v>
      </c>
      <c r="I435" t="s">
        <v>82</v>
      </c>
      <c r="J435" t="s">
        <v>161</v>
      </c>
      <c r="K435" s="37">
        <v>10</v>
      </c>
      <c r="L435" t="s">
        <v>52</v>
      </c>
      <c r="M435" s="21">
        <v>55100</v>
      </c>
      <c r="N435" s="21">
        <v>714096</v>
      </c>
      <c r="O435" s="21">
        <v>52896</v>
      </c>
      <c r="P435">
        <v>1</v>
      </c>
      <c r="Q435" t="s">
        <v>42</v>
      </c>
      <c r="R435" s="37">
        <v>5</v>
      </c>
      <c r="S435" s="37">
        <v>27</v>
      </c>
      <c r="T435" t="s">
        <v>129</v>
      </c>
      <c r="U435" t="s">
        <v>44</v>
      </c>
      <c r="V435" t="s">
        <v>45</v>
      </c>
    </row>
    <row r="436" spans="1:22" ht="15" customHeight="1" x14ac:dyDescent="0.3">
      <c r="A436" t="s">
        <v>863</v>
      </c>
      <c r="B436" s="20">
        <v>45979</v>
      </c>
      <c r="C436" t="s">
        <v>278</v>
      </c>
      <c r="D436" t="s">
        <v>48</v>
      </c>
      <c r="E436" s="37">
        <v>24</v>
      </c>
      <c r="F436" t="s">
        <v>108</v>
      </c>
      <c r="G436" t="s">
        <v>109</v>
      </c>
      <c r="H436" t="s">
        <v>66</v>
      </c>
      <c r="I436" t="s">
        <v>82</v>
      </c>
      <c r="J436" t="s">
        <v>93</v>
      </c>
      <c r="K436" s="37">
        <v>15</v>
      </c>
      <c r="L436" t="s">
        <v>52</v>
      </c>
      <c r="M436" s="21">
        <v>70100</v>
      </c>
      <c r="N436" s="21">
        <v>891672</v>
      </c>
      <c r="O436" s="21">
        <v>50472</v>
      </c>
      <c r="P436">
        <v>2</v>
      </c>
      <c r="Q436" t="s">
        <v>42</v>
      </c>
      <c r="R436" s="37">
        <v>16</v>
      </c>
      <c r="S436" s="37">
        <v>23</v>
      </c>
      <c r="T436" t="s">
        <v>105</v>
      </c>
      <c r="U436" t="s">
        <v>44</v>
      </c>
      <c r="V436" t="s">
        <v>45</v>
      </c>
    </row>
    <row r="437" spans="1:22" ht="15" customHeight="1" x14ac:dyDescent="0.3">
      <c r="A437" t="s">
        <v>864</v>
      </c>
      <c r="B437" s="20">
        <v>45676</v>
      </c>
      <c r="C437" t="s">
        <v>101</v>
      </c>
      <c r="D437" t="s">
        <v>35</v>
      </c>
      <c r="E437" s="37">
        <v>48</v>
      </c>
      <c r="F437" t="s">
        <v>57</v>
      </c>
      <c r="G437" t="s">
        <v>58</v>
      </c>
      <c r="H437" t="s">
        <v>38</v>
      </c>
      <c r="I437" t="s">
        <v>75</v>
      </c>
      <c r="J437" t="s">
        <v>40</v>
      </c>
      <c r="K437" s="37">
        <v>27</v>
      </c>
      <c r="L437" t="s">
        <v>41</v>
      </c>
      <c r="M437" s="21">
        <v>105600</v>
      </c>
      <c r="N437" s="21">
        <v>1406592</v>
      </c>
      <c r="O437" s="21">
        <v>139392</v>
      </c>
      <c r="P437">
        <v>3</v>
      </c>
      <c r="Q437" t="s">
        <v>42</v>
      </c>
      <c r="R437" s="37">
        <v>0</v>
      </c>
      <c r="S437" s="37">
        <v>18</v>
      </c>
      <c r="T437" t="s">
        <v>94</v>
      </c>
      <c r="U437" t="s">
        <v>63</v>
      </c>
      <c r="V437" t="s">
        <v>69</v>
      </c>
    </row>
    <row r="438" spans="1:22" ht="15" customHeight="1" x14ac:dyDescent="0.3">
      <c r="A438" t="s">
        <v>865</v>
      </c>
      <c r="B438" s="20">
        <v>45828</v>
      </c>
      <c r="C438" t="s">
        <v>866</v>
      </c>
      <c r="D438" t="s">
        <v>35</v>
      </c>
      <c r="E438" s="37">
        <v>37</v>
      </c>
      <c r="F438" t="s">
        <v>72</v>
      </c>
      <c r="G438" t="s">
        <v>73</v>
      </c>
      <c r="H438" t="s">
        <v>66</v>
      </c>
      <c r="I438" t="s">
        <v>82</v>
      </c>
      <c r="J438" t="s">
        <v>161</v>
      </c>
      <c r="K438" s="37">
        <v>6</v>
      </c>
      <c r="L438" t="s">
        <v>52</v>
      </c>
      <c r="M438" s="21">
        <v>59900</v>
      </c>
      <c r="N438" s="21">
        <v>826619</v>
      </c>
      <c r="O438" s="21">
        <v>107820</v>
      </c>
      <c r="P438">
        <v>2</v>
      </c>
      <c r="Q438" t="s">
        <v>126</v>
      </c>
      <c r="R438" s="37">
        <v>19</v>
      </c>
      <c r="S438" s="37">
        <v>37</v>
      </c>
      <c r="T438" t="s">
        <v>68</v>
      </c>
      <c r="U438" t="s">
        <v>44</v>
      </c>
      <c r="V438" t="s">
        <v>45</v>
      </c>
    </row>
    <row r="439" spans="1:22" ht="15" customHeight="1" x14ac:dyDescent="0.3">
      <c r="A439" t="s">
        <v>867</v>
      </c>
      <c r="B439" s="20">
        <v>45952</v>
      </c>
      <c r="C439" t="s">
        <v>749</v>
      </c>
      <c r="D439" t="s">
        <v>35</v>
      </c>
      <c r="E439" s="37">
        <v>24</v>
      </c>
      <c r="F439" t="s">
        <v>108</v>
      </c>
      <c r="G439" t="s">
        <v>109</v>
      </c>
      <c r="H439" t="s">
        <v>38</v>
      </c>
      <c r="I439" t="s">
        <v>75</v>
      </c>
      <c r="J439" t="s">
        <v>99</v>
      </c>
      <c r="K439" s="37">
        <v>19</v>
      </c>
      <c r="L439" t="s">
        <v>41</v>
      </c>
      <c r="M439" s="21">
        <v>98400</v>
      </c>
      <c r="N439" s="21">
        <v>1346112</v>
      </c>
      <c r="O439" s="21">
        <v>165312</v>
      </c>
      <c r="P439">
        <v>3</v>
      </c>
      <c r="Q439" t="s">
        <v>42</v>
      </c>
      <c r="R439" s="37">
        <v>18</v>
      </c>
      <c r="S439" s="37">
        <v>12</v>
      </c>
      <c r="T439" t="s">
        <v>43</v>
      </c>
      <c r="U439" t="s">
        <v>54</v>
      </c>
      <c r="V439" t="s">
        <v>69</v>
      </c>
    </row>
    <row r="440" spans="1:22" ht="15" customHeight="1" x14ac:dyDescent="0.3">
      <c r="A440" t="s">
        <v>868</v>
      </c>
      <c r="B440" s="20">
        <v>45842</v>
      </c>
      <c r="C440" t="s">
        <v>471</v>
      </c>
      <c r="D440" t="s">
        <v>48</v>
      </c>
      <c r="E440" s="37">
        <v>51</v>
      </c>
      <c r="F440" t="s">
        <v>49</v>
      </c>
      <c r="G440" t="s">
        <v>50</v>
      </c>
      <c r="H440" t="s">
        <v>118</v>
      </c>
      <c r="I440" t="s">
        <v>39</v>
      </c>
      <c r="J440" t="s">
        <v>137</v>
      </c>
      <c r="K440" s="37">
        <v>18</v>
      </c>
      <c r="L440" t="s">
        <v>52</v>
      </c>
      <c r="M440" s="21">
        <v>36200</v>
      </c>
      <c r="N440" s="21">
        <v>460464</v>
      </c>
      <c r="O440" s="21">
        <v>26064</v>
      </c>
      <c r="P440">
        <v>5</v>
      </c>
      <c r="Q440" t="s">
        <v>42</v>
      </c>
      <c r="R440" s="37">
        <v>1</v>
      </c>
      <c r="S440" s="37">
        <v>30</v>
      </c>
      <c r="T440" t="s">
        <v>94</v>
      </c>
      <c r="U440" t="s">
        <v>44</v>
      </c>
      <c r="V440" t="s">
        <v>69</v>
      </c>
    </row>
    <row r="441" spans="1:22" ht="15" customHeight="1" x14ac:dyDescent="0.3">
      <c r="A441" t="s">
        <v>869</v>
      </c>
      <c r="B441" s="20">
        <v>45943</v>
      </c>
      <c r="C441" t="s">
        <v>870</v>
      </c>
      <c r="D441" t="s">
        <v>35</v>
      </c>
      <c r="E441" s="37">
        <v>25</v>
      </c>
      <c r="F441" t="s">
        <v>36</v>
      </c>
      <c r="G441" t="s">
        <v>37</v>
      </c>
      <c r="H441" t="s">
        <v>38</v>
      </c>
      <c r="I441" t="s">
        <v>75</v>
      </c>
      <c r="J441" t="s">
        <v>190</v>
      </c>
      <c r="K441" s="37">
        <v>25</v>
      </c>
      <c r="L441" t="s">
        <v>120</v>
      </c>
      <c r="M441" s="21">
        <v>80200</v>
      </c>
      <c r="N441" s="21">
        <v>1020144</v>
      </c>
      <c r="O441" s="21">
        <v>57744</v>
      </c>
      <c r="P441">
        <v>3</v>
      </c>
      <c r="Q441" t="s">
        <v>126</v>
      </c>
      <c r="R441" s="37">
        <v>10</v>
      </c>
      <c r="S441" s="37">
        <v>6</v>
      </c>
      <c r="T441" t="s">
        <v>68</v>
      </c>
      <c r="U441" t="s">
        <v>54</v>
      </c>
      <c r="V441" t="s">
        <v>45</v>
      </c>
    </row>
    <row r="442" spans="1:22" ht="15" customHeight="1" x14ac:dyDescent="0.3">
      <c r="A442" t="s">
        <v>871</v>
      </c>
      <c r="B442" s="20">
        <v>45732</v>
      </c>
      <c r="C442" t="s">
        <v>407</v>
      </c>
      <c r="D442" t="s">
        <v>48</v>
      </c>
      <c r="E442" s="37">
        <v>48</v>
      </c>
      <c r="F442" t="s">
        <v>72</v>
      </c>
      <c r="G442" t="s">
        <v>73</v>
      </c>
      <c r="H442" t="s">
        <v>66</v>
      </c>
      <c r="I442" t="s">
        <v>82</v>
      </c>
      <c r="J442" t="s">
        <v>67</v>
      </c>
      <c r="K442" s="37">
        <v>30</v>
      </c>
      <c r="L442" t="s">
        <v>41</v>
      </c>
      <c r="M442" s="21">
        <v>61200</v>
      </c>
      <c r="N442" s="21">
        <v>844559</v>
      </c>
      <c r="O442" s="21">
        <v>110160</v>
      </c>
      <c r="P442">
        <v>3</v>
      </c>
      <c r="Q442" t="s">
        <v>42</v>
      </c>
      <c r="R442" s="37">
        <v>20</v>
      </c>
      <c r="S442" s="37">
        <v>11</v>
      </c>
      <c r="T442" t="s">
        <v>62</v>
      </c>
      <c r="U442" t="s">
        <v>63</v>
      </c>
      <c r="V442" t="s">
        <v>45</v>
      </c>
    </row>
    <row r="443" spans="1:22" ht="15" customHeight="1" x14ac:dyDescent="0.3">
      <c r="A443" t="s">
        <v>872</v>
      </c>
      <c r="B443" s="20">
        <v>46013</v>
      </c>
      <c r="C443" t="s">
        <v>873</v>
      </c>
      <c r="D443" t="s">
        <v>35</v>
      </c>
      <c r="E443" s="37">
        <v>46</v>
      </c>
      <c r="F443" t="s">
        <v>86</v>
      </c>
      <c r="G443" t="s">
        <v>87</v>
      </c>
      <c r="H443" t="s">
        <v>59</v>
      </c>
      <c r="I443" t="s">
        <v>39</v>
      </c>
      <c r="J443" t="s">
        <v>141</v>
      </c>
      <c r="K443" s="37">
        <v>23</v>
      </c>
      <c r="L443" t="s">
        <v>52</v>
      </c>
      <c r="M443" s="21">
        <v>32000</v>
      </c>
      <c r="N443" s="21">
        <v>445439</v>
      </c>
      <c r="O443" s="21">
        <v>61440</v>
      </c>
      <c r="P443">
        <v>3</v>
      </c>
      <c r="Q443" t="s">
        <v>42</v>
      </c>
      <c r="R443" s="37">
        <v>1</v>
      </c>
      <c r="S443" s="37">
        <v>13</v>
      </c>
      <c r="T443" t="s">
        <v>53</v>
      </c>
      <c r="U443" t="s">
        <v>138</v>
      </c>
      <c r="V443" t="s">
        <v>69</v>
      </c>
    </row>
    <row r="444" spans="1:22" ht="15" customHeight="1" x14ac:dyDescent="0.3">
      <c r="A444" t="s">
        <v>874</v>
      </c>
      <c r="B444" s="20">
        <v>46009</v>
      </c>
      <c r="C444" t="s">
        <v>875</v>
      </c>
      <c r="D444" t="s">
        <v>35</v>
      </c>
      <c r="E444" s="37">
        <v>27</v>
      </c>
      <c r="F444" t="s">
        <v>97</v>
      </c>
      <c r="G444" t="s">
        <v>98</v>
      </c>
      <c r="H444" t="s">
        <v>66</v>
      </c>
      <c r="I444" t="s">
        <v>60</v>
      </c>
      <c r="J444" t="s">
        <v>93</v>
      </c>
      <c r="K444" s="37">
        <v>22</v>
      </c>
      <c r="L444" t="s">
        <v>41</v>
      </c>
      <c r="M444" s="21">
        <v>174900</v>
      </c>
      <c r="N444" s="21">
        <v>2329668</v>
      </c>
      <c r="O444" s="21">
        <v>230868</v>
      </c>
      <c r="P444">
        <v>3</v>
      </c>
      <c r="Q444" t="s">
        <v>42</v>
      </c>
      <c r="R444" s="37">
        <v>4</v>
      </c>
      <c r="S444" s="37">
        <v>19</v>
      </c>
      <c r="T444" t="s">
        <v>77</v>
      </c>
      <c r="U444" t="s">
        <v>138</v>
      </c>
      <c r="V444" t="s">
        <v>69</v>
      </c>
    </row>
    <row r="445" spans="1:22" ht="15" customHeight="1" x14ac:dyDescent="0.3">
      <c r="A445" t="s">
        <v>876</v>
      </c>
      <c r="B445" s="20">
        <v>45833</v>
      </c>
      <c r="C445" t="s">
        <v>616</v>
      </c>
      <c r="D445" t="s">
        <v>35</v>
      </c>
      <c r="E445" s="37">
        <v>39</v>
      </c>
      <c r="F445" t="s">
        <v>72</v>
      </c>
      <c r="G445" t="s">
        <v>73</v>
      </c>
      <c r="H445" t="s">
        <v>118</v>
      </c>
      <c r="I445" t="s">
        <v>82</v>
      </c>
      <c r="J445" t="s">
        <v>137</v>
      </c>
      <c r="K445" s="37">
        <v>6</v>
      </c>
      <c r="L445" t="s">
        <v>120</v>
      </c>
      <c r="M445" s="21">
        <v>50000</v>
      </c>
      <c r="N445" s="21">
        <v>636000</v>
      </c>
      <c r="O445" s="21">
        <v>36000</v>
      </c>
      <c r="P445">
        <v>4</v>
      </c>
      <c r="Q445" t="s">
        <v>42</v>
      </c>
      <c r="R445" s="37">
        <v>4</v>
      </c>
      <c r="S445" s="37">
        <v>30</v>
      </c>
      <c r="T445" t="s">
        <v>105</v>
      </c>
      <c r="U445" t="s">
        <v>63</v>
      </c>
      <c r="V445" t="s">
        <v>45</v>
      </c>
    </row>
    <row r="446" spans="1:22" ht="15" customHeight="1" x14ac:dyDescent="0.3">
      <c r="A446" t="s">
        <v>877</v>
      </c>
      <c r="B446" s="20">
        <v>45673</v>
      </c>
      <c r="C446" t="s">
        <v>878</v>
      </c>
      <c r="D446" t="s">
        <v>35</v>
      </c>
      <c r="E446" s="37">
        <v>49</v>
      </c>
      <c r="F446" t="s">
        <v>108</v>
      </c>
      <c r="G446" t="s">
        <v>109</v>
      </c>
      <c r="H446" t="s">
        <v>66</v>
      </c>
      <c r="I446" t="s">
        <v>39</v>
      </c>
      <c r="J446" t="s">
        <v>67</v>
      </c>
      <c r="K446" s="37">
        <v>24</v>
      </c>
      <c r="L446" t="s">
        <v>52</v>
      </c>
      <c r="M446" s="21">
        <v>48000</v>
      </c>
      <c r="N446" s="21">
        <v>616320</v>
      </c>
      <c r="O446" s="21">
        <v>40320</v>
      </c>
      <c r="P446">
        <v>3</v>
      </c>
      <c r="Q446" t="s">
        <v>42</v>
      </c>
      <c r="R446" s="37">
        <v>20</v>
      </c>
      <c r="S446" s="37">
        <v>36</v>
      </c>
      <c r="T446" t="s">
        <v>77</v>
      </c>
      <c r="U446" t="s">
        <v>44</v>
      </c>
      <c r="V446" t="s">
        <v>45</v>
      </c>
    </row>
    <row r="447" spans="1:22" ht="15" customHeight="1" x14ac:dyDescent="0.3">
      <c r="A447" t="s">
        <v>879</v>
      </c>
      <c r="B447" s="20">
        <v>45717</v>
      </c>
      <c r="C447" t="s">
        <v>366</v>
      </c>
      <c r="D447" t="s">
        <v>35</v>
      </c>
      <c r="E447" s="37">
        <v>55</v>
      </c>
      <c r="F447" t="s">
        <v>108</v>
      </c>
      <c r="G447" t="s">
        <v>109</v>
      </c>
      <c r="H447" t="s">
        <v>74</v>
      </c>
      <c r="I447" t="s">
        <v>75</v>
      </c>
      <c r="J447" t="s">
        <v>152</v>
      </c>
      <c r="K447" s="37">
        <v>21</v>
      </c>
      <c r="L447" t="s">
        <v>52</v>
      </c>
      <c r="M447" s="21">
        <v>104800</v>
      </c>
      <c r="N447" s="21">
        <v>1421087</v>
      </c>
      <c r="O447" s="21">
        <v>163488</v>
      </c>
      <c r="P447">
        <v>5</v>
      </c>
      <c r="Q447" t="s">
        <v>42</v>
      </c>
      <c r="R447" s="37">
        <v>16</v>
      </c>
      <c r="S447" s="37">
        <v>8</v>
      </c>
      <c r="T447" t="s">
        <v>62</v>
      </c>
      <c r="U447" t="s">
        <v>44</v>
      </c>
      <c r="V447" t="s">
        <v>45</v>
      </c>
    </row>
    <row r="448" spans="1:22" ht="15" customHeight="1" x14ac:dyDescent="0.3">
      <c r="A448" t="s">
        <v>880</v>
      </c>
      <c r="B448" s="20">
        <v>45965</v>
      </c>
      <c r="C448" t="s">
        <v>686</v>
      </c>
      <c r="D448" t="s">
        <v>35</v>
      </c>
      <c r="E448" s="37">
        <v>37</v>
      </c>
      <c r="F448" t="s">
        <v>123</v>
      </c>
      <c r="G448" t="s">
        <v>124</v>
      </c>
      <c r="H448" t="s">
        <v>38</v>
      </c>
      <c r="I448" t="s">
        <v>82</v>
      </c>
      <c r="J448" t="s">
        <v>110</v>
      </c>
      <c r="K448" s="37">
        <v>29</v>
      </c>
      <c r="L448" t="s">
        <v>52</v>
      </c>
      <c r="M448" s="21">
        <v>49700</v>
      </c>
      <c r="N448" s="21">
        <v>656040</v>
      </c>
      <c r="O448" s="21">
        <v>59640</v>
      </c>
      <c r="P448">
        <v>5</v>
      </c>
      <c r="Q448" t="s">
        <v>42</v>
      </c>
      <c r="R448" s="37">
        <v>0</v>
      </c>
      <c r="S448" s="37">
        <v>25</v>
      </c>
      <c r="T448" t="s">
        <v>129</v>
      </c>
      <c r="U448" t="s">
        <v>63</v>
      </c>
      <c r="V448" t="s">
        <v>69</v>
      </c>
    </row>
    <row r="449" spans="1:22" ht="15" customHeight="1" x14ac:dyDescent="0.3">
      <c r="A449" t="s">
        <v>881</v>
      </c>
      <c r="B449" s="20">
        <v>45798</v>
      </c>
      <c r="C449" t="s">
        <v>465</v>
      </c>
      <c r="D449" t="s">
        <v>48</v>
      </c>
      <c r="E449" s="37">
        <v>57</v>
      </c>
      <c r="F449" t="s">
        <v>86</v>
      </c>
      <c r="G449" t="s">
        <v>87</v>
      </c>
      <c r="H449" t="s">
        <v>59</v>
      </c>
      <c r="I449" t="s">
        <v>75</v>
      </c>
      <c r="J449" t="s">
        <v>141</v>
      </c>
      <c r="K449" s="37">
        <v>15</v>
      </c>
      <c r="L449" t="s">
        <v>52</v>
      </c>
      <c r="M449" s="21">
        <v>67000</v>
      </c>
      <c r="N449" s="21">
        <v>900480</v>
      </c>
      <c r="O449" s="21">
        <v>96480</v>
      </c>
      <c r="P449">
        <v>3</v>
      </c>
      <c r="Q449" t="s">
        <v>42</v>
      </c>
      <c r="R449" s="37">
        <v>8</v>
      </c>
      <c r="S449" s="37">
        <v>18</v>
      </c>
      <c r="T449" t="s">
        <v>43</v>
      </c>
      <c r="U449" t="s">
        <v>63</v>
      </c>
      <c r="V449" t="s">
        <v>69</v>
      </c>
    </row>
    <row r="450" spans="1:22" ht="15" customHeight="1" x14ac:dyDescent="0.3">
      <c r="A450" t="s">
        <v>882</v>
      </c>
      <c r="B450" s="20">
        <v>45949</v>
      </c>
      <c r="C450" t="s">
        <v>743</v>
      </c>
      <c r="D450" t="s">
        <v>35</v>
      </c>
      <c r="E450" s="37">
        <v>46</v>
      </c>
      <c r="F450" t="s">
        <v>49</v>
      </c>
      <c r="G450" t="s">
        <v>50</v>
      </c>
      <c r="H450" t="s">
        <v>74</v>
      </c>
      <c r="I450" t="s">
        <v>39</v>
      </c>
      <c r="J450" t="s">
        <v>367</v>
      </c>
      <c r="K450" s="37">
        <v>8</v>
      </c>
      <c r="L450" t="s">
        <v>52</v>
      </c>
      <c r="M450" s="21">
        <v>40600</v>
      </c>
      <c r="N450" s="21">
        <v>545664</v>
      </c>
      <c r="O450" s="21">
        <v>58464</v>
      </c>
      <c r="P450">
        <v>4</v>
      </c>
      <c r="Q450" t="s">
        <v>126</v>
      </c>
      <c r="R450" s="37">
        <v>3</v>
      </c>
      <c r="S450" s="37">
        <v>8</v>
      </c>
      <c r="T450" t="s">
        <v>43</v>
      </c>
      <c r="U450" t="s">
        <v>44</v>
      </c>
      <c r="V450" t="s">
        <v>45</v>
      </c>
    </row>
    <row r="451" spans="1:22" ht="15" customHeight="1" x14ac:dyDescent="0.3">
      <c r="A451" t="s">
        <v>883</v>
      </c>
      <c r="B451" s="20">
        <v>45982</v>
      </c>
      <c r="C451" t="s">
        <v>186</v>
      </c>
      <c r="D451" t="s">
        <v>35</v>
      </c>
      <c r="E451" s="37">
        <v>27</v>
      </c>
      <c r="F451" t="s">
        <v>72</v>
      </c>
      <c r="G451" t="s">
        <v>73</v>
      </c>
      <c r="H451" t="s">
        <v>74</v>
      </c>
      <c r="I451" t="s">
        <v>82</v>
      </c>
      <c r="J451" t="s">
        <v>83</v>
      </c>
      <c r="K451" s="37">
        <v>18</v>
      </c>
      <c r="L451" t="s">
        <v>52</v>
      </c>
      <c r="M451" s="21">
        <v>55100</v>
      </c>
      <c r="N451" s="21">
        <v>780216</v>
      </c>
      <c r="O451" s="21">
        <v>119016</v>
      </c>
      <c r="P451">
        <v>2</v>
      </c>
      <c r="Q451" t="s">
        <v>42</v>
      </c>
      <c r="R451" s="37">
        <v>2</v>
      </c>
      <c r="S451" s="37">
        <v>9</v>
      </c>
      <c r="T451" t="s">
        <v>62</v>
      </c>
      <c r="U451" t="s">
        <v>44</v>
      </c>
      <c r="V451" t="s">
        <v>69</v>
      </c>
    </row>
    <row r="452" spans="1:22" ht="15" customHeight="1" x14ac:dyDescent="0.3">
      <c r="A452" t="s">
        <v>884</v>
      </c>
      <c r="B452" s="20">
        <v>45894</v>
      </c>
      <c r="C452" t="s">
        <v>885</v>
      </c>
      <c r="D452" t="s">
        <v>35</v>
      </c>
      <c r="E452" s="37">
        <v>38</v>
      </c>
      <c r="F452" t="s">
        <v>57</v>
      </c>
      <c r="G452" t="s">
        <v>58</v>
      </c>
      <c r="H452" t="s">
        <v>38</v>
      </c>
      <c r="I452" t="s">
        <v>75</v>
      </c>
      <c r="J452" t="s">
        <v>40</v>
      </c>
      <c r="K452" s="37">
        <v>28</v>
      </c>
      <c r="L452" t="s">
        <v>52</v>
      </c>
      <c r="M452" s="21">
        <v>99900</v>
      </c>
      <c r="N452" s="21">
        <v>1402596</v>
      </c>
      <c r="O452" s="21">
        <v>203796</v>
      </c>
      <c r="P452">
        <v>4</v>
      </c>
      <c r="Q452" t="s">
        <v>42</v>
      </c>
      <c r="R452" s="37">
        <v>5</v>
      </c>
      <c r="S452" s="37">
        <v>0</v>
      </c>
      <c r="T452" t="s">
        <v>77</v>
      </c>
      <c r="U452" t="s">
        <v>44</v>
      </c>
      <c r="V452" t="s">
        <v>69</v>
      </c>
    </row>
    <row r="453" spans="1:22" ht="15" customHeight="1" x14ac:dyDescent="0.3">
      <c r="A453" t="s">
        <v>886</v>
      </c>
      <c r="B453" s="20">
        <v>45885</v>
      </c>
      <c r="C453" t="s">
        <v>384</v>
      </c>
      <c r="D453" t="s">
        <v>48</v>
      </c>
      <c r="E453" s="37">
        <v>50</v>
      </c>
      <c r="F453" t="s">
        <v>36</v>
      </c>
      <c r="G453" t="s">
        <v>37</v>
      </c>
      <c r="H453" t="s">
        <v>66</v>
      </c>
      <c r="I453" t="s">
        <v>51</v>
      </c>
      <c r="J453" t="s">
        <v>161</v>
      </c>
      <c r="K453" s="37">
        <v>28</v>
      </c>
      <c r="L453" t="s">
        <v>52</v>
      </c>
      <c r="M453" s="21">
        <v>237100</v>
      </c>
      <c r="N453" s="21">
        <v>2987460</v>
      </c>
      <c r="O453" s="21">
        <v>142260</v>
      </c>
      <c r="P453">
        <v>3</v>
      </c>
      <c r="Q453" t="s">
        <v>42</v>
      </c>
      <c r="R453" s="37">
        <v>17</v>
      </c>
      <c r="S453" s="37">
        <v>25</v>
      </c>
      <c r="T453" t="s">
        <v>68</v>
      </c>
      <c r="U453" t="s">
        <v>44</v>
      </c>
      <c r="V453" t="s">
        <v>45</v>
      </c>
    </row>
    <row r="454" spans="1:22" ht="15" customHeight="1" x14ac:dyDescent="0.3">
      <c r="A454" t="s">
        <v>887</v>
      </c>
      <c r="B454" s="20">
        <v>45773</v>
      </c>
      <c r="C454" t="s">
        <v>503</v>
      </c>
      <c r="D454" t="s">
        <v>35</v>
      </c>
      <c r="E454" s="37">
        <v>54</v>
      </c>
      <c r="F454" t="s">
        <v>86</v>
      </c>
      <c r="G454" t="s">
        <v>87</v>
      </c>
      <c r="H454" t="s">
        <v>38</v>
      </c>
      <c r="I454" t="s">
        <v>82</v>
      </c>
      <c r="J454" t="s">
        <v>134</v>
      </c>
      <c r="K454" s="37">
        <v>13</v>
      </c>
      <c r="L454" t="s">
        <v>52</v>
      </c>
      <c r="M454" s="21">
        <v>67500</v>
      </c>
      <c r="N454" s="21">
        <v>907200</v>
      </c>
      <c r="O454" s="21">
        <v>97200</v>
      </c>
      <c r="P454">
        <v>5</v>
      </c>
      <c r="Q454" t="s">
        <v>42</v>
      </c>
      <c r="R454" s="37">
        <v>6</v>
      </c>
      <c r="S454" s="37">
        <v>15</v>
      </c>
      <c r="T454" t="s">
        <v>146</v>
      </c>
      <c r="U454" t="s">
        <v>54</v>
      </c>
      <c r="V454" t="s">
        <v>45</v>
      </c>
    </row>
    <row r="455" spans="1:22" ht="15" customHeight="1" x14ac:dyDescent="0.3">
      <c r="A455" t="s">
        <v>888</v>
      </c>
      <c r="B455" s="20">
        <v>45863</v>
      </c>
      <c r="C455" t="s">
        <v>653</v>
      </c>
      <c r="D455" t="s">
        <v>48</v>
      </c>
      <c r="E455" s="37">
        <v>42</v>
      </c>
      <c r="F455" t="s">
        <v>49</v>
      </c>
      <c r="G455" t="s">
        <v>50</v>
      </c>
      <c r="H455" t="s">
        <v>118</v>
      </c>
      <c r="I455" t="s">
        <v>75</v>
      </c>
      <c r="J455" t="s">
        <v>119</v>
      </c>
      <c r="K455" s="37">
        <v>6</v>
      </c>
      <c r="L455" t="s">
        <v>52</v>
      </c>
      <c r="M455" s="21">
        <v>79600</v>
      </c>
      <c r="N455" s="21">
        <v>1031616</v>
      </c>
      <c r="O455" s="21">
        <v>76416</v>
      </c>
      <c r="P455">
        <v>4</v>
      </c>
      <c r="Q455" t="s">
        <v>42</v>
      </c>
      <c r="R455" s="37">
        <v>14</v>
      </c>
      <c r="S455" s="37">
        <v>21</v>
      </c>
      <c r="T455" t="s">
        <v>43</v>
      </c>
      <c r="U455" t="s">
        <v>44</v>
      </c>
      <c r="V455" t="s">
        <v>69</v>
      </c>
    </row>
    <row r="456" spans="1:22" ht="15" customHeight="1" x14ac:dyDescent="0.3">
      <c r="A456" t="s">
        <v>889</v>
      </c>
      <c r="B456" s="20">
        <v>45946</v>
      </c>
      <c r="C456" t="s">
        <v>890</v>
      </c>
      <c r="D456" t="s">
        <v>35</v>
      </c>
      <c r="E456" s="37">
        <v>43</v>
      </c>
      <c r="F456" t="s">
        <v>86</v>
      </c>
      <c r="G456" t="s">
        <v>87</v>
      </c>
      <c r="H456" t="s">
        <v>38</v>
      </c>
      <c r="I456" t="s">
        <v>82</v>
      </c>
      <c r="J456" t="s">
        <v>134</v>
      </c>
      <c r="K456" s="37">
        <v>12</v>
      </c>
      <c r="L456" t="s">
        <v>52</v>
      </c>
      <c r="M456" s="21">
        <v>61800</v>
      </c>
      <c r="N456" s="21">
        <v>815760</v>
      </c>
      <c r="O456" s="21">
        <v>74160</v>
      </c>
      <c r="P456">
        <v>4</v>
      </c>
      <c r="Q456" t="s">
        <v>126</v>
      </c>
      <c r="R456" s="37">
        <v>2</v>
      </c>
      <c r="S456" s="37">
        <v>22</v>
      </c>
      <c r="T456" t="s">
        <v>62</v>
      </c>
      <c r="U456" t="s">
        <v>44</v>
      </c>
      <c r="V456" t="s">
        <v>69</v>
      </c>
    </row>
    <row r="457" spans="1:22" ht="15" customHeight="1" x14ac:dyDescent="0.3">
      <c r="A457" t="s">
        <v>891</v>
      </c>
      <c r="B457" s="20">
        <v>45968</v>
      </c>
      <c r="C457" t="s">
        <v>309</v>
      </c>
      <c r="D457" t="s">
        <v>35</v>
      </c>
      <c r="E457" s="37">
        <v>29</v>
      </c>
      <c r="F457" t="s">
        <v>36</v>
      </c>
      <c r="G457" t="s">
        <v>37</v>
      </c>
      <c r="H457" t="s">
        <v>38</v>
      </c>
      <c r="I457" t="s">
        <v>39</v>
      </c>
      <c r="J457" t="s">
        <v>134</v>
      </c>
      <c r="K457" s="37">
        <v>11</v>
      </c>
      <c r="L457" t="s">
        <v>52</v>
      </c>
      <c r="M457" s="21">
        <v>41100</v>
      </c>
      <c r="N457" s="21">
        <v>517860</v>
      </c>
      <c r="O457" s="21">
        <v>24660</v>
      </c>
      <c r="P457">
        <v>4</v>
      </c>
      <c r="Q457" t="s">
        <v>42</v>
      </c>
      <c r="R457" s="37">
        <v>15</v>
      </c>
      <c r="S457" s="37">
        <v>40</v>
      </c>
      <c r="T457" t="s">
        <v>94</v>
      </c>
      <c r="U457" t="s">
        <v>44</v>
      </c>
      <c r="V457" t="s">
        <v>45</v>
      </c>
    </row>
    <row r="458" spans="1:22" ht="15" customHeight="1" x14ac:dyDescent="0.3">
      <c r="A458" t="s">
        <v>892</v>
      </c>
      <c r="B458" s="20">
        <v>45787</v>
      </c>
      <c r="C458" t="s">
        <v>743</v>
      </c>
      <c r="D458" t="s">
        <v>35</v>
      </c>
      <c r="E458" s="37">
        <v>31</v>
      </c>
      <c r="F458" t="s">
        <v>80</v>
      </c>
      <c r="G458" t="s">
        <v>81</v>
      </c>
      <c r="H458" t="s">
        <v>38</v>
      </c>
      <c r="I458" t="s">
        <v>39</v>
      </c>
      <c r="J458" t="s">
        <v>190</v>
      </c>
      <c r="K458" s="37">
        <v>0</v>
      </c>
      <c r="L458" t="s">
        <v>52</v>
      </c>
      <c r="M458" s="21">
        <v>32900</v>
      </c>
      <c r="N458" s="21">
        <v>414540</v>
      </c>
      <c r="O458" s="21">
        <v>19740</v>
      </c>
      <c r="P458">
        <v>4</v>
      </c>
      <c r="Q458" t="s">
        <v>42</v>
      </c>
      <c r="R458" s="37">
        <v>18</v>
      </c>
      <c r="S458" s="37">
        <v>10</v>
      </c>
      <c r="T458" t="s">
        <v>129</v>
      </c>
      <c r="U458" t="s">
        <v>63</v>
      </c>
      <c r="V458" t="s">
        <v>45</v>
      </c>
    </row>
    <row r="459" spans="1:22" ht="15" customHeight="1" x14ac:dyDescent="0.3">
      <c r="A459" t="s">
        <v>893</v>
      </c>
      <c r="B459" s="20">
        <v>45719</v>
      </c>
      <c r="C459" t="s">
        <v>411</v>
      </c>
      <c r="D459" t="s">
        <v>35</v>
      </c>
      <c r="E459" s="37">
        <v>58</v>
      </c>
      <c r="F459" t="s">
        <v>49</v>
      </c>
      <c r="G459" t="s">
        <v>50</v>
      </c>
      <c r="H459" t="s">
        <v>59</v>
      </c>
      <c r="I459" t="s">
        <v>75</v>
      </c>
      <c r="J459" t="s">
        <v>141</v>
      </c>
      <c r="K459" s="37">
        <v>17</v>
      </c>
      <c r="L459" t="s">
        <v>41</v>
      </c>
      <c r="M459" s="21">
        <v>91100</v>
      </c>
      <c r="N459" s="21">
        <v>1191588</v>
      </c>
      <c r="O459" s="21">
        <v>98388</v>
      </c>
      <c r="P459">
        <v>4</v>
      </c>
      <c r="Q459" t="s">
        <v>42</v>
      </c>
      <c r="R459" s="37">
        <v>11</v>
      </c>
      <c r="S459" s="37">
        <v>0</v>
      </c>
      <c r="T459" t="s">
        <v>43</v>
      </c>
      <c r="U459" t="s">
        <v>44</v>
      </c>
      <c r="V459" t="s">
        <v>69</v>
      </c>
    </row>
    <row r="460" spans="1:22" ht="15" customHeight="1" x14ac:dyDescent="0.3">
      <c r="A460" t="s">
        <v>894</v>
      </c>
      <c r="B460" s="20">
        <v>46012</v>
      </c>
      <c r="C460" t="s">
        <v>895</v>
      </c>
      <c r="D460" t="s">
        <v>48</v>
      </c>
      <c r="E460" s="37">
        <v>39</v>
      </c>
      <c r="F460" t="s">
        <v>80</v>
      </c>
      <c r="G460" t="s">
        <v>81</v>
      </c>
      <c r="H460" t="s">
        <v>66</v>
      </c>
      <c r="I460" t="s">
        <v>39</v>
      </c>
      <c r="J460" t="s">
        <v>161</v>
      </c>
      <c r="K460" s="37">
        <v>26</v>
      </c>
      <c r="L460" t="s">
        <v>52</v>
      </c>
      <c r="M460" s="21">
        <v>35100</v>
      </c>
      <c r="N460" s="21">
        <v>450684</v>
      </c>
      <c r="O460" s="21">
        <v>29484</v>
      </c>
      <c r="P460">
        <v>3</v>
      </c>
      <c r="Q460" t="s">
        <v>42</v>
      </c>
      <c r="R460" s="37">
        <v>8</v>
      </c>
      <c r="S460" s="37">
        <v>36</v>
      </c>
      <c r="T460" t="s">
        <v>146</v>
      </c>
      <c r="U460" t="s">
        <v>138</v>
      </c>
      <c r="V460" t="s">
        <v>69</v>
      </c>
    </row>
    <row r="461" spans="1:22" ht="15" customHeight="1" x14ac:dyDescent="0.3">
      <c r="A461" t="s">
        <v>896</v>
      </c>
      <c r="B461" s="20">
        <v>45820</v>
      </c>
      <c r="C461" t="s">
        <v>897</v>
      </c>
      <c r="D461" t="s">
        <v>48</v>
      </c>
      <c r="E461" s="37">
        <v>27</v>
      </c>
      <c r="F461" t="s">
        <v>36</v>
      </c>
      <c r="G461" t="s">
        <v>37</v>
      </c>
      <c r="H461" t="s">
        <v>74</v>
      </c>
      <c r="I461" t="s">
        <v>82</v>
      </c>
      <c r="J461" t="s">
        <v>367</v>
      </c>
      <c r="K461" s="37">
        <v>28</v>
      </c>
      <c r="L461" t="s">
        <v>52</v>
      </c>
      <c r="M461" s="21">
        <v>72800</v>
      </c>
      <c r="N461" s="21">
        <v>978432</v>
      </c>
      <c r="O461" s="21">
        <v>104832</v>
      </c>
      <c r="P461">
        <v>4</v>
      </c>
      <c r="Q461" t="s">
        <v>42</v>
      </c>
      <c r="R461" s="37">
        <v>10</v>
      </c>
      <c r="S461" s="37">
        <v>26</v>
      </c>
      <c r="T461" t="s">
        <v>94</v>
      </c>
      <c r="U461" t="s">
        <v>44</v>
      </c>
      <c r="V461" t="s">
        <v>45</v>
      </c>
    </row>
    <row r="462" spans="1:22" ht="15" customHeight="1" x14ac:dyDescent="0.3">
      <c r="A462" t="s">
        <v>898</v>
      </c>
      <c r="B462" s="20">
        <v>45997</v>
      </c>
      <c r="C462" t="s">
        <v>622</v>
      </c>
      <c r="D462" t="s">
        <v>48</v>
      </c>
      <c r="E462" s="37">
        <v>35</v>
      </c>
      <c r="F462" t="s">
        <v>123</v>
      </c>
      <c r="G462" t="s">
        <v>124</v>
      </c>
      <c r="H462" t="s">
        <v>118</v>
      </c>
      <c r="I462" t="s">
        <v>82</v>
      </c>
      <c r="J462" t="s">
        <v>137</v>
      </c>
      <c r="K462" s="37">
        <v>5</v>
      </c>
      <c r="L462" t="s">
        <v>52</v>
      </c>
      <c r="M462" s="21">
        <v>63000</v>
      </c>
      <c r="N462" s="21">
        <v>846720</v>
      </c>
      <c r="O462" s="21">
        <v>90720</v>
      </c>
      <c r="P462">
        <v>4</v>
      </c>
      <c r="Q462" t="s">
        <v>42</v>
      </c>
      <c r="R462" s="37">
        <v>15</v>
      </c>
      <c r="S462" s="37">
        <v>15</v>
      </c>
      <c r="T462" t="s">
        <v>43</v>
      </c>
      <c r="U462" t="s">
        <v>63</v>
      </c>
      <c r="V462" t="s">
        <v>45</v>
      </c>
    </row>
    <row r="463" spans="1:22" ht="15" customHeight="1" x14ac:dyDescent="0.3">
      <c r="A463" t="s">
        <v>899</v>
      </c>
      <c r="B463" s="20">
        <v>45739</v>
      </c>
      <c r="C463" t="s">
        <v>172</v>
      </c>
      <c r="D463" t="s">
        <v>48</v>
      </c>
      <c r="E463" s="37">
        <v>28</v>
      </c>
      <c r="F463" t="s">
        <v>97</v>
      </c>
      <c r="G463" t="s">
        <v>98</v>
      </c>
      <c r="H463" t="s">
        <v>38</v>
      </c>
      <c r="I463" t="s">
        <v>82</v>
      </c>
      <c r="J463" t="s">
        <v>99</v>
      </c>
      <c r="K463" s="37">
        <v>14</v>
      </c>
      <c r="L463" t="s">
        <v>52</v>
      </c>
      <c r="M463" s="21">
        <v>57000</v>
      </c>
      <c r="N463" s="21">
        <v>745560</v>
      </c>
      <c r="O463" s="21">
        <v>61560</v>
      </c>
      <c r="P463">
        <v>3</v>
      </c>
      <c r="Q463" t="s">
        <v>42</v>
      </c>
      <c r="R463" s="37">
        <v>6</v>
      </c>
      <c r="S463" s="37">
        <v>7</v>
      </c>
      <c r="T463" t="s">
        <v>105</v>
      </c>
      <c r="U463" t="s">
        <v>63</v>
      </c>
      <c r="V463" t="s">
        <v>69</v>
      </c>
    </row>
    <row r="464" spans="1:22" ht="15" customHeight="1" x14ac:dyDescent="0.3">
      <c r="A464" t="s">
        <v>900</v>
      </c>
      <c r="B464" s="20">
        <v>45944</v>
      </c>
      <c r="C464" t="s">
        <v>901</v>
      </c>
      <c r="D464" t="s">
        <v>48</v>
      </c>
      <c r="E464" s="37">
        <v>46</v>
      </c>
      <c r="F464" t="s">
        <v>80</v>
      </c>
      <c r="G464" t="s">
        <v>81</v>
      </c>
      <c r="H464" t="s">
        <v>118</v>
      </c>
      <c r="I464" t="s">
        <v>75</v>
      </c>
      <c r="J464" t="s">
        <v>182</v>
      </c>
      <c r="K464" s="37">
        <v>18</v>
      </c>
      <c r="L464" t="s">
        <v>52</v>
      </c>
      <c r="M464" s="21">
        <v>94000</v>
      </c>
      <c r="N464" s="21">
        <v>1308480</v>
      </c>
      <c r="O464" s="21">
        <v>180480</v>
      </c>
      <c r="P464">
        <v>4</v>
      </c>
      <c r="Q464" t="s">
        <v>42</v>
      </c>
      <c r="R464" s="37">
        <v>15</v>
      </c>
      <c r="S464" s="37">
        <v>4</v>
      </c>
      <c r="T464" t="s">
        <v>146</v>
      </c>
      <c r="U464" t="s">
        <v>44</v>
      </c>
      <c r="V464" t="s">
        <v>45</v>
      </c>
    </row>
    <row r="465" spans="1:22" ht="15" customHeight="1" x14ac:dyDescent="0.3">
      <c r="A465" t="s">
        <v>902</v>
      </c>
      <c r="B465" s="20">
        <v>46017</v>
      </c>
      <c r="C465" t="s">
        <v>823</v>
      </c>
      <c r="D465" t="s">
        <v>35</v>
      </c>
      <c r="E465" s="37">
        <v>28</v>
      </c>
      <c r="F465" t="s">
        <v>36</v>
      </c>
      <c r="G465" t="s">
        <v>37</v>
      </c>
      <c r="H465" t="s">
        <v>38</v>
      </c>
      <c r="I465" t="s">
        <v>82</v>
      </c>
      <c r="J465" t="s">
        <v>40</v>
      </c>
      <c r="K465" s="37">
        <v>0</v>
      </c>
      <c r="L465" t="s">
        <v>52</v>
      </c>
      <c r="M465" s="21">
        <v>68600</v>
      </c>
      <c r="N465" s="21">
        <v>963143</v>
      </c>
      <c r="O465" s="21">
        <v>139944</v>
      </c>
      <c r="P465">
        <v>4</v>
      </c>
      <c r="Q465" t="s">
        <v>42</v>
      </c>
      <c r="R465" s="37">
        <v>7</v>
      </c>
      <c r="S465" s="37">
        <v>15</v>
      </c>
      <c r="T465" t="s">
        <v>175</v>
      </c>
      <c r="U465" t="s">
        <v>44</v>
      </c>
      <c r="V465" t="s">
        <v>45</v>
      </c>
    </row>
    <row r="466" spans="1:22" ht="15" customHeight="1" x14ac:dyDescent="0.3">
      <c r="A466" t="s">
        <v>903</v>
      </c>
      <c r="B466" s="20">
        <v>45942</v>
      </c>
      <c r="C466" t="s">
        <v>478</v>
      </c>
      <c r="D466" t="s">
        <v>35</v>
      </c>
      <c r="E466" s="37">
        <v>26</v>
      </c>
      <c r="F466" t="s">
        <v>108</v>
      </c>
      <c r="G466" t="s">
        <v>109</v>
      </c>
      <c r="H466" t="s">
        <v>38</v>
      </c>
      <c r="I466" t="s">
        <v>75</v>
      </c>
      <c r="J466" t="s">
        <v>190</v>
      </c>
      <c r="K466" s="37">
        <v>7</v>
      </c>
      <c r="L466" t="s">
        <v>52</v>
      </c>
      <c r="M466" s="21">
        <v>89100</v>
      </c>
      <c r="N466" s="21">
        <v>1186812</v>
      </c>
      <c r="O466" s="21">
        <v>117612</v>
      </c>
      <c r="P466">
        <v>3</v>
      </c>
      <c r="Q466" t="s">
        <v>42</v>
      </c>
      <c r="R466" s="37">
        <v>19</v>
      </c>
      <c r="S466" s="37">
        <v>14</v>
      </c>
      <c r="T466" t="s">
        <v>146</v>
      </c>
      <c r="U466" t="s">
        <v>44</v>
      </c>
      <c r="V466" t="s">
        <v>45</v>
      </c>
    </row>
    <row r="467" spans="1:22" ht="15" customHeight="1" x14ac:dyDescent="0.3">
      <c r="A467" t="s">
        <v>904</v>
      </c>
      <c r="B467" s="20">
        <v>45886</v>
      </c>
      <c r="C467" t="s">
        <v>620</v>
      </c>
      <c r="D467" t="s">
        <v>48</v>
      </c>
      <c r="E467" s="37">
        <v>29</v>
      </c>
      <c r="F467" t="s">
        <v>108</v>
      </c>
      <c r="G467" t="s">
        <v>109</v>
      </c>
      <c r="H467" t="s">
        <v>74</v>
      </c>
      <c r="I467" t="s">
        <v>75</v>
      </c>
      <c r="J467" t="s">
        <v>152</v>
      </c>
      <c r="K467" s="37">
        <v>30</v>
      </c>
      <c r="L467" t="s">
        <v>52</v>
      </c>
      <c r="M467" s="21">
        <v>111700</v>
      </c>
      <c r="N467" s="21">
        <v>1595076</v>
      </c>
      <c r="O467" s="21">
        <v>254676</v>
      </c>
      <c r="P467">
        <v>4</v>
      </c>
      <c r="Q467" t="s">
        <v>42</v>
      </c>
      <c r="R467" s="37">
        <v>0</v>
      </c>
      <c r="S467" s="37">
        <v>15</v>
      </c>
      <c r="T467" t="s">
        <v>77</v>
      </c>
      <c r="U467" t="s">
        <v>63</v>
      </c>
      <c r="V467" t="s">
        <v>45</v>
      </c>
    </row>
    <row r="468" spans="1:22" ht="15" customHeight="1" x14ac:dyDescent="0.3">
      <c r="A468" t="s">
        <v>905</v>
      </c>
      <c r="B468" s="20">
        <v>45884</v>
      </c>
      <c r="C468" t="s">
        <v>906</v>
      </c>
      <c r="D468" t="s">
        <v>35</v>
      </c>
      <c r="E468" s="37">
        <v>48</v>
      </c>
      <c r="F468" t="s">
        <v>80</v>
      </c>
      <c r="G468" t="s">
        <v>81</v>
      </c>
      <c r="H468" t="s">
        <v>38</v>
      </c>
      <c r="I468" t="s">
        <v>39</v>
      </c>
      <c r="J468" t="s">
        <v>134</v>
      </c>
      <c r="K468" s="37">
        <v>15</v>
      </c>
      <c r="L468" t="s">
        <v>52</v>
      </c>
      <c r="M468" s="21">
        <v>32100</v>
      </c>
      <c r="N468" s="21">
        <v>454536</v>
      </c>
      <c r="O468" s="21">
        <v>69336</v>
      </c>
      <c r="P468">
        <v>4</v>
      </c>
      <c r="Q468" t="s">
        <v>126</v>
      </c>
      <c r="R468" s="37">
        <v>0</v>
      </c>
      <c r="S468" s="37">
        <v>38</v>
      </c>
      <c r="T468" t="s">
        <v>43</v>
      </c>
      <c r="U468" t="s">
        <v>63</v>
      </c>
      <c r="V468" t="s">
        <v>69</v>
      </c>
    </row>
    <row r="469" spans="1:22" ht="15" customHeight="1" x14ac:dyDescent="0.3">
      <c r="A469" t="s">
        <v>907</v>
      </c>
      <c r="B469" s="20">
        <v>45666</v>
      </c>
      <c r="C469" t="s">
        <v>128</v>
      </c>
      <c r="D469" t="s">
        <v>35</v>
      </c>
      <c r="E469" s="37">
        <v>28</v>
      </c>
      <c r="F469" t="s">
        <v>72</v>
      </c>
      <c r="G469" t="s">
        <v>73</v>
      </c>
      <c r="H469" t="s">
        <v>66</v>
      </c>
      <c r="I469" t="s">
        <v>39</v>
      </c>
      <c r="J469" t="s">
        <v>149</v>
      </c>
      <c r="K469" s="37">
        <v>3</v>
      </c>
      <c r="L469" t="s">
        <v>52</v>
      </c>
      <c r="M469" s="21">
        <v>36300</v>
      </c>
      <c r="N469" s="21">
        <v>487872</v>
      </c>
      <c r="O469" s="21">
        <v>52272</v>
      </c>
      <c r="P469">
        <v>5</v>
      </c>
      <c r="Q469" t="s">
        <v>42</v>
      </c>
      <c r="R469" s="37">
        <v>19</v>
      </c>
      <c r="S469" s="37">
        <v>33</v>
      </c>
      <c r="T469" t="s">
        <v>53</v>
      </c>
      <c r="U469" t="s">
        <v>44</v>
      </c>
      <c r="V469" t="s">
        <v>69</v>
      </c>
    </row>
    <row r="470" spans="1:22" ht="15" customHeight="1" x14ac:dyDescent="0.3">
      <c r="A470" t="s">
        <v>908</v>
      </c>
      <c r="B470" s="20">
        <v>46007</v>
      </c>
      <c r="C470" t="s">
        <v>909</v>
      </c>
      <c r="D470" t="s">
        <v>48</v>
      </c>
      <c r="E470" s="37">
        <v>52</v>
      </c>
      <c r="F470" t="s">
        <v>97</v>
      </c>
      <c r="G470" t="s">
        <v>98</v>
      </c>
      <c r="H470" t="s">
        <v>118</v>
      </c>
      <c r="I470" t="s">
        <v>75</v>
      </c>
      <c r="J470" t="s">
        <v>182</v>
      </c>
      <c r="K470" s="37">
        <v>26</v>
      </c>
      <c r="L470" t="s">
        <v>52</v>
      </c>
      <c r="M470" s="21">
        <v>72300</v>
      </c>
      <c r="N470" s="21">
        <v>954360</v>
      </c>
      <c r="O470" s="21">
        <v>86760</v>
      </c>
      <c r="P470">
        <v>5</v>
      </c>
      <c r="Q470" t="s">
        <v>42</v>
      </c>
      <c r="R470" s="37">
        <v>18</v>
      </c>
      <c r="S470" s="37">
        <v>10</v>
      </c>
      <c r="T470" t="s">
        <v>77</v>
      </c>
      <c r="U470" t="s">
        <v>54</v>
      </c>
      <c r="V470" t="s">
        <v>69</v>
      </c>
    </row>
    <row r="471" spans="1:22" ht="15" customHeight="1" x14ac:dyDescent="0.3">
      <c r="A471" t="s">
        <v>910</v>
      </c>
      <c r="B471" s="20">
        <v>45668</v>
      </c>
      <c r="C471" t="s">
        <v>360</v>
      </c>
      <c r="D471" t="s">
        <v>35</v>
      </c>
      <c r="E471" s="37">
        <v>41</v>
      </c>
      <c r="F471" t="s">
        <v>36</v>
      </c>
      <c r="G471" t="s">
        <v>37</v>
      </c>
      <c r="H471" t="s">
        <v>38</v>
      </c>
      <c r="I471" t="s">
        <v>82</v>
      </c>
      <c r="J471" t="s">
        <v>190</v>
      </c>
      <c r="K471" s="37">
        <v>4</v>
      </c>
      <c r="L471" t="s">
        <v>52</v>
      </c>
      <c r="M471" s="21">
        <v>58500</v>
      </c>
      <c r="N471" s="21">
        <v>737100</v>
      </c>
      <c r="O471" s="21">
        <v>35100</v>
      </c>
      <c r="P471">
        <v>3</v>
      </c>
      <c r="Q471" t="s">
        <v>42</v>
      </c>
      <c r="R471" s="37">
        <v>20</v>
      </c>
      <c r="S471" s="37">
        <v>39</v>
      </c>
      <c r="T471" t="s">
        <v>175</v>
      </c>
      <c r="U471" t="s">
        <v>54</v>
      </c>
      <c r="V471" t="s">
        <v>69</v>
      </c>
    </row>
    <row r="472" spans="1:22" ht="15" customHeight="1" x14ac:dyDescent="0.3">
      <c r="A472" t="s">
        <v>911</v>
      </c>
      <c r="B472" s="20">
        <v>45978</v>
      </c>
      <c r="C472" t="s">
        <v>912</v>
      </c>
      <c r="D472" t="s">
        <v>48</v>
      </c>
      <c r="E472" s="37">
        <v>49</v>
      </c>
      <c r="F472" t="s">
        <v>123</v>
      </c>
      <c r="G472" t="s">
        <v>124</v>
      </c>
      <c r="H472" t="s">
        <v>118</v>
      </c>
      <c r="I472" t="s">
        <v>75</v>
      </c>
      <c r="J472" t="s">
        <v>250</v>
      </c>
      <c r="K472" s="37">
        <v>23</v>
      </c>
      <c r="L472" t="s">
        <v>52</v>
      </c>
      <c r="M472" s="21">
        <v>72700</v>
      </c>
      <c r="N472" s="21">
        <v>1029432</v>
      </c>
      <c r="O472" s="21">
        <v>157032</v>
      </c>
      <c r="P472">
        <v>4</v>
      </c>
      <c r="Q472" t="s">
        <v>42</v>
      </c>
      <c r="R472" s="37">
        <v>15</v>
      </c>
      <c r="S472" s="37">
        <v>14</v>
      </c>
      <c r="T472" t="s">
        <v>94</v>
      </c>
      <c r="U472" t="s">
        <v>44</v>
      </c>
      <c r="V472" t="s">
        <v>69</v>
      </c>
    </row>
    <row r="473" spans="1:22" ht="15" customHeight="1" x14ac:dyDescent="0.3">
      <c r="A473" t="s">
        <v>913</v>
      </c>
      <c r="B473" s="20">
        <v>46007</v>
      </c>
      <c r="C473" t="s">
        <v>914</v>
      </c>
      <c r="D473" t="s">
        <v>35</v>
      </c>
      <c r="E473" s="37">
        <v>37</v>
      </c>
      <c r="F473" t="s">
        <v>49</v>
      </c>
      <c r="G473" t="s">
        <v>50</v>
      </c>
      <c r="H473" t="s">
        <v>59</v>
      </c>
      <c r="I473" t="s">
        <v>75</v>
      </c>
      <c r="J473" t="s">
        <v>88</v>
      </c>
      <c r="K473" s="37">
        <v>8</v>
      </c>
      <c r="L473" t="s">
        <v>52</v>
      </c>
      <c r="M473" s="21">
        <v>94500</v>
      </c>
      <c r="N473" s="21">
        <v>1304100</v>
      </c>
      <c r="O473" s="21">
        <v>170100</v>
      </c>
      <c r="P473">
        <v>5</v>
      </c>
      <c r="Q473" t="s">
        <v>42</v>
      </c>
      <c r="R473" s="37">
        <v>6</v>
      </c>
      <c r="S473" s="37">
        <v>3</v>
      </c>
      <c r="T473" t="s">
        <v>146</v>
      </c>
      <c r="U473" t="s">
        <v>44</v>
      </c>
      <c r="V473" t="s">
        <v>69</v>
      </c>
    </row>
    <row r="474" spans="1:22" ht="15" customHeight="1" x14ac:dyDescent="0.3">
      <c r="A474" t="s">
        <v>915</v>
      </c>
      <c r="B474" s="20">
        <v>45792</v>
      </c>
      <c r="C474" t="s">
        <v>235</v>
      </c>
      <c r="D474" t="s">
        <v>35</v>
      </c>
      <c r="E474" s="37">
        <v>24</v>
      </c>
      <c r="F474" t="s">
        <v>86</v>
      </c>
      <c r="G474" t="s">
        <v>87</v>
      </c>
      <c r="H474" t="s">
        <v>38</v>
      </c>
      <c r="I474" t="s">
        <v>75</v>
      </c>
      <c r="J474" t="s">
        <v>134</v>
      </c>
      <c r="K474" s="37">
        <v>11</v>
      </c>
      <c r="L474" t="s">
        <v>52</v>
      </c>
      <c r="M474" s="21">
        <v>74300</v>
      </c>
      <c r="N474" s="21">
        <v>971844</v>
      </c>
      <c r="O474" s="21">
        <v>80244</v>
      </c>
      <c r="P474">
        <v>4</v>
      </c>
      <c r="Q474" t="s">
        <v>42</v>
      </c>
      <c r="R474" s="37">
        <v>16</v>
      </c>
      <c r="S474" s="37">
        <v>16</v>
      </c>
      <c r="T474" t="s">
        <v>94</v>
      </c>
      <c r="U474" t="s">
        <v>54</v>
      </c>
      <c r="V474" t="s">
        <v>45</v>
      </c>
    </row>
    <row r="475" spans="1:22" ht="15" customHeight="1" x14ac:dyDescent="0.3">
      <c r="A475" t="s">
        <v>916</v>
      </c>
      <c r="B475" s="20">
        <v>45924</v>
      </c>
      <c r="C475" t="s">
        <v>917</v>
      </c>
      <c r="D475" t="s">
        <v>48</v>
      </c>
      <c r="E475" s="37">
        <v>25</v>
      </c>
      <c r="F475" t="s">
        <v>72</v>
      </c>
      <c r="G475" t="s">
        <v>73</v>
      </c>
      <c r="H475" t="s">
        <v>118</v>
      </c>
      <c r="I475" t="s">
        <v>75</v>
      </c>
      <c r="J475" t="s">
        <v>182</v>
      </c>
      <c r="K475" s="37">
        <v>10</v>
      </c>
      <c r="L475" t="s">
        <v>52</v>
      </c>
      <c r="M475" s="21">
        <v>79800</v>
      </c>
      <c r="N475" s="21">
        <v>1082088</v>
      </c>
      <c r="O475" s="21">
        <v>124488</v>
      </c>
      <c r="P475">
        <v>4</v>
      </c>
      <c r="Q475" t="s">
        <v>42</v>
      </c>
      <c r="R475" s="37">
        <v>9</v>
      </c>
      <c r="S475" s="37">
        <v>7</v>
      </c>
      <c r="T475" t="s">
        <v>175</v>
      </c>
      <c r="U475" t="s">
        <v>44</v>
      </c>
      <c r="V475" t="s">
        <v>45</v>
      </c>
    </row>
    <row r="476" spans="1:22" ht="15" customHeight="1" x14ac:dyDescent="0.3">
      <c r="A476" t="s">
        <v>918</v>
      </c>
      <c r="B476" s="20">
        <v>45993</v>
      </c>
      <c r="C476" t="s">
        <v>425</v>
      </c>
      <c r="D476" t="s">
        <v>48</v>
      </c>
      <c r="E476" s="37">
        <v>44</v>
      </c>
      <c r="F476" t="s">
        <v>36</v>
      </c>
      <c r="G476" t="s">
        <v>37</v>
      </c>
      <c r="H476" t="s">
        <v>66</v>
      </c>
      <c r="I476" t="s">
        <v>82</v>
      </c>
      <c r="J476" t="s">
        <v>170</v>
      </c>
      <c r="K476" s="37">
        <v>29</v>
      </c>
      <c r="L476" t="s">
        <v>52</v>
      </c>
      <c r="M476" s="21">
        <v>78500</v>
      </c>
      <c r="N476" s="21">
        <v>1092720</v>
      </c>
      <c r="O476" s="21">
        <v>150720</v>
      </c>
      <c r="P476">
        <v>4</v>
      </c>
      <c r="Q476" t="s">
        <v>42</v>
      </c>
      <c r="R476" s="37">
        <v>0</v>
      </c>
      <c r="S476" s="37">
        <v>27</v>
      </c>
      <c r="T476" t="s">
        <v>175</v>
      </c>
      <c r="U476" t="s">
        <v>54</v>
      </c>
      <c r="V476" t="s">
        <v>45</v>
      </c>
    </row>
    <row r="477" spans="1:22" ht="15" customHeight="1" x14ac:dyDescent="0.3">
      <c r="A477" t="s">
        <v>919</v>
      </c>
      <c r="B477" s="20">
        <v>45781</v>
      </c>
      <c r="C477" t="s">
        <v>575</v>
      </c>
      <c r="D477" t="s">
        <v>48</v>
      </c>
      <c r="E477" s="37">
        <v>40</v>
      </c>
      <c r="F477" t="s">
        <v>97</v>
      </c>
      <c r="G477" t="s">
        <v>98</v>
      </c>
      <c r="H477" t="s">
        <v>59</v>
      </c>
      <c r="I477" t="s">
        <v>39</v>
      </c>
      <c r="J477" t="s">
        <v>104</v>
      </c>
      <c r="K477" s="37">
        <v>5</v>
      </c>
      <c r="L477" t="s">
        <v>52</v>
      </c>
      <c r="M477" s="21">
        <v>31000</v>
      </c>
      <c r="N477" s="21">
        <v>435240</v>
      </c>
      <c r="O477" s="21">
        <v>63240</v>
      </c>
      <c r="P477">
        <v>4</v>
      </c>
      <c r="Q477" t="s">
        <v>42</v>
      </c>
      <c r="R477" s="37">
        <v>14</v>
      </c>
      <c r="S477" s="37">
        <v>10</v>
      </c>
      <c r="T477" t="s">
        <v>129</v>
      </c>
      <c r="U477" t="s">
        <v>138</v>
      </c>
      <c r="V477" t="s">
        <v>69</v>
      </c>
    </row>
    <row r="478" spans="1:22" ht="15" customHeight="1" x14ac:dyDescent="0.3">
      <c r="A478" t="s">
        <v>920</v>
      </c>
      <c r="B478" s="20">
        <v>45827</v>
      </c>
      <c r="C478" t="s">
        <v>96</v>
      </c>
      <c r="D478" t="s">
        <v>35</v>
      </c>
      <c r="E478" s="37">
        <v>58</v>
      </c>
      <c r="F478" t="s">
        <v>57</v>
      </c>
      <c r="G478" t="s">
        <v>58</v>
      </c>
      <c r="H478" t="s">
        <v>59</v>
      </c>
      <c r="I478" t="s">
        <v>82</v>
      </c>
      <c r="J478" t="s">
        <v>88</v>
      </c>
      <c r="K478" s="37">
        <v>10</v>
      </c>
      <c r="L478" t="s">
        <v>52</v>
      </c>
      <c r="M478" s="21">
        <v>62400</v>
      </c>
      <c r="N478" s="21">
        <v>838656</v>
      </c>
      <c r="O478" s="21">
        <v>89856</v>
      </c>
      <c r="P478">
        <v>2</v>
      </c>
      <c r="Q478" t="s">
        <v>42</v>
      </c>
      <c r="R478" s="37">
        <v>3</v>
      </c>
      <c r="S478" s="37">
        <v>25</v>
      </c>
      <c r="T478" t="s">
        <v>129</v>
      </c>
      <c r="U478" t="s">
        <v>54</v>
      </c>
      <c r="V478" t="s">
        <v>69</v>
      </c>
    </row>
    <row r="479" spans="1:22" ht="15" customHeight="1" x14ac:dyDescent="0.3">
      <c r="A479" t="s">
        <v>921</v>
      </c>
      <c r="B479" s="20">
        <v>45721</v>
      </c>
      <c r="C479" t="s">
        <v>922</v>
      </c>
      <c r="D479" t="s">
        <v>35</v>
      </c>
      <c r="E479" s="37">
        <v>29</v>
      </c>
      <c r="F479" t="s">
        <v>49</v>
      </c>
      <c r="G479" t="s">
        <v>50</v>
      </c>
      <c r="H479" t="s">
        <v>38</v>
      </c>
      <c r="I479" t="s">
        <v>39</v>
      </c>
      <c r="J479" t="s">
        <v>134</v>
      </c>
      <c r="K479" s="37">
        <v>13</v>
      </c>
      <c r="L479" t="s">
        <v>52</v>
      </c>
      <c r="M479" s="21">
        <v>32800</v>
      </c>
      <c r="N479" s="21">
        <v>444767</v>
      </c>
      <c r="O479" s="21">
        <v>51168</v>
      </c>
      <c r="P479">
        <v>4</v>
      </c>
      <c r="Q479" t="s">
        <v>126</v>
      </c>
      <c r="R479" s="37">
        <v>15</v>
      </c>
      <c r="S479" s="37">
        <v>30</v>
      </c>
      <c r="T479" t="s">
        <v>129</v>
      </c>
      <c r="U479" t="s">
        <v>63</v>
      </c>
      <c r="V479" t="s">
        <v>69</v>
      </c>
    </row>
    <row r="480" spans="1:22" ht="15" customHeight="1" x14ac:dyDescent="0.3">
      <c r="A480" t="s">
        <v>923</v>
      </c>
      <c r="B480" s="20">
        <v>45850</v>
      </c>
      <c r="C480" t="s">
        <v>924</v>
      </c>
      <c r="D480" t="s">
        <v>48</v>
      </c>
      <c r="E480" s="37">
        <v>32</v>
      </c>
      <c r="F480" t="s">
        <v>108</v>
      </c>
      <c r="G480" t="s">
        <v>109</v>
      </c>
      <c r="H480" t="s">
        <v>66</v>
      </c>
      <c r="I480" t="s">
        <v>82</v>
      </c>
      <c r="J480" t="s">
        <v>149</v>
      </c>
      <c r="K480" s="37">
        <v>21</v>
      </c>
      <c r="L480" t="s">
        <v>52</v>
      </c>
      <c r="M480" s="21">
        <v>59400</v>
      </c>
      <c r="N480" s="21">
        <v>769824</v>
      </c>
      <c r="O480" s="21">
        <v>57024</v>
      </c>
      <c r="P480">
        <v>3</v>
      </c>
      <c r="Q480" t="s">
        <v>42</v>
      </c>
      <c r="R480" s="37">
        <v>11</v>
      </c>
      <c r="S480" s="37">
        <v>1</v>
      </c>
      <c r="T480" t="s">
        <v>129</v>
      </c>
      <c r="U480" t="s">
        <v>44</v>
      </c>
      <c r="V480" t="s">
        <v>69</v>
      </c>
    </row>
    <row r="481" spans="1:22" ht="15" customHeight="1" x14ac:dyDescent="0.3">
      <c r="A481" t="s">
        <v>925</v>
      </c>
      <c r="B481" s="20">
        <v>45780</v>
      </c>
      <c r="C481" t="s">
        <v>926</v>
      </c>
      <c r="D481" t="s">
        <v>48</v>
      </c>
      <c r="E481" s="37">
        <v>38</v>
      </c>
      <c r="F481" t="s">
        <v>91</v>
      </c>
      <c r="G481" t="s">
        <v>92</v>
      </c>
      <c r="H481" t="s">
        <v>74</v>
      </c>
      <c r="I481" t="s">
        <v>82</v>
      </c>
      <c r="J481" t="s">
        <v>152</v>
      </c>
      <c r="K481" s="37">
        <v>0</v>
      </c>
      <c r="L481" t="s">
        <v>52</v>
      </c>
      <c r="M481" s="21">
        <v>62400</v>
      </c>
      <c r="N481" s="21">
        <v>868607</v>
      </c>
      <c r="O481" s="21">
        <v>119808</v>
      </c>
      <c r="P481">
        <v>4</v>
      </c>
      <c r="Q481" t="s">
        <v>126</v>
      </c>
      <c r="R481" s="37">
        <v>7</v>
      </c>
      <c r="S481" s="37">
        <v>36</v>
      </c>
      <c r="T481" t="s">
        <v>62</v>
      </c>
      <c r="U481" t="s">
        <v>63</v>
      </c>
      <c r="V481" t="s">
        <v>45</v>
      </c>
    </row>
    <row r="482" spans="1:22" ht="15" customHeight="1" x14ac:dyDescent="0.3">
      <c r="A482" t="s">
        <v>927</v>
      </c>
      <c r="B482" s="20">
        <v>45969</v>
      </c>
      <c r="C482" t="s">
        <v>516</v>
      </c>
      <c r="D482" t="s">
        <v>48</v>
      </c>
      <c r="E482" s="37">
        <v>54</v>
      </c>
      <c r="F482" t="s">
        <v>36</v>
      </c>
      <c r="G482" t="s">
        <v>37</v>
      </c>
      <c r="H482" t="s">
        <v>118</v>
      </c>
      <c r="I482" t="s">
        <v>60</v>
      </c>
      <c r="J482" t="s">
        <v>219</v>
      </c>
      <c r="K482" s="37">
        <v>1</v>
      </c>
      <c r="L482" t="s">
        <v>52</v>
      </c>
      <c r="M482" s="21">
        <v>124100</v>
      </c>
      <c r="N482" s="21">
        <v>1757256</v>
      </c>
      <c r="O482" s="21">
        <v>268056</v>
      </c>
      <c r="P482">
        <v>4</v>
      </c>
      <c r="Q482" t="s">
        <v>42</v>
      </c>
      <c r="R482" s="37">
        <v>19</v>
      </c>
      <c r="S482" s="37">
        <v>23</v>
      </c>
      <c r="T482" t="s">
        <v>77</v>
      </c>
      <c r="U482" t="s">
        <v>63</v>
      </c>
      <c r="V482" t="s">
        <v>69</v>
      </c>
    </row>
    <row r="483" spans="1:22" ht="15" customHeight="1" x14ac:dyDescent="0.3">
      <c r="A483" t="s">
        <v>928</v>
      </c>
      <c r="B483" s="20">
        <v>45741</v>
      </c>
      <c r="C483" t="s">
        <v>929</v>
      </c>
      <c r="D483" t="s">
        <v>48</v>
      </c>
      <c r="E483" s="37">
        <v>29</v>
      </c>
      <c r="F483" t="s">
        <v>91</v>
      </c>
      <c r="G483" t="s">
        <v>92</v>
      </c>
      <c r="H483" t="s">
        <v>118</v>
      </c>
      <c r="I483" t="s">
        <v>82</v>
      </c>
      <c r="J483" t="s">
        <v>250</v>
      </c>
      <c r="K483" s="37">
        <v>10</v>
      </c>
      <c r="L483" t="s">
        <v>52</v>
      </c>
      <c r="M483" s="21">
        <v>56700</v>
      </c>
      <c r="N483" s="21">
        <v>775656</v>
      </c>
      <c r="O483" s="21">
        <v>95256</v>
      </c>
      <c r="P483">
        <v>3</v>
      </c>
      <c r="Q483" t="s">
        <v>42</v>
      </c>
      <c r="R483" s="37">
        <v>1</v>
      </c>
      <c r="S483" s="37">
        <v>11</v>
      </c>
      <c r="T483" t="s">
        <v>175</v>
      </c>
      <c r="U483" t="s">
        <v>44</v>
      </c>
      <c r="V483" t="s">
        <v>69</v>
      </c>
    </row>
    <row r="484" spans="1:22" ht="15" customHeight="1" x14ac:dyDescent="0.3">
      <c r="A484" t="s">
        <v>930</v>
      </c>
      <c r="B484" s="20">
        <v>45778</v>
      </c>
      <c r="C484" t="s">
        <v>514</v>
      </c>
      <c r="D484" t="s">
        <v>35</v>
      </c>
      <c r="E484" s="37">
        <v>58</v>
      </c>
      <c r="F484" t="s">
        <v>97</v>
      </c>
      <c r="G484" t="s">
        <v>98</v>
      </c>
      <c r="H484" t="s">
        <v>74</v>
      </c>
      <c r="I484" t="s">
        <v>60</v>
      </c>
      <c r="J484" t="s">
        <v>367</v>
      </c>
      <c r="K484" s="37">
        <v>2</v>
      </c>
      <c r="L484" t="s">
        <v>52</v>
      </c>
      <c r="M484" s="21">
        <v>137700</v>
      </c>
      <c r="N484" s="21">
        <v>1784592</v>
      </c>
      <c r="O484" s="21">
        <v>132192</v>
      </c>
      <c r="P484">
        <v>4</v>
      </c>
      <c r="Q484" t="s">
        <v>126</v>
      </c>
      <c r="R484" s="37">
        <v>20</v>
      </c>
      <c r="S484" s="37">
        <v>29</v>
      </c>
      <c r="T484" t="s">
        <v>175</v>
      </c>
      <c r="U484" t="s">
        <v>44</v>
      </c>
      <c r="V484" t="s">
        <v>45</v>
      </c>
    </row>
    <row r="485" spans="1:22" ht="15" customHeight="1" x14ac:dyDescent="0.3">
      <c r="A485" t="s">
        <v>931</v>
      </c>
      <c r="B485" s="20">
        <v>45731</v>
      </c>
      <c r="C485" t="s">
        <v>932</v>
      </c>
      <c r="D485" t="s">
        <v>35</v>
      </c>
      <c r="E485" s="37">
        <v>38</v>
      </c>
      <c r="F485" t="s">
        <v>36</v>
      </c>
      <c r="G485" t="s">
        <v>37</v>
      </c>
      <c r="H485" t="s">
        <v>74</v>
      </c>
      <c r="I485" t="s">
        <v>82</v>
      </c>
      <c r="J485" t="s">
        <v>115</v>
      </c>
      <c r="K485" s="37">
        <v>22</v>
      </c>
      <c r="L485" t="s">
        <v>52</v>
      </c>
      <c r="M485" s="21">
        <v>58500</v>
      </c>
      <c r="N485" s="21">
        <v>751140</v>
      </c>
      <c r="O485" s="21">
        <v>49140</v>
      </c>
      <c r="P485">
        <v>3</v>
      </c>
      <c r="Q485" t="s">
        <v>42</v>
      </c>
      <c r="R485" s="37">
        <v>9</v>
      </c>
      <c r="S485" s="37">
        <v>29</v>
      </c>
      <c r="T485" t="s">
        <v>53</v>
      </c>
      <c r="U485" t="s">
        <v>44</v>
      </c>
      <c r="V485" t="s">
        <v>69</v>
      </c>
    </row>
    <row r="486" spans="1:22" ht="15" customHeight="1" x14ac:dyDescent="0.3">
      <c r="A486" t="s">
        <v>933</v>
      </c>
      <c r="B486" s="20">
        <v>45875</v>
      </c>
      <c r="C486" t="s">
        <v>678</v>
      </c>
      <c r="D486" t="s">
        <v>35</v>
      </c>
      <c r="E486" s="37">
        <v>52</v>
      </c>
      <c r="F486" t="s">
        <v>36</v>
      </c>
      <c r="G486" t="s">
        <v>37</v>
      </c>
      <c r="H486" t="s">
        <v>38</v>
      </c>
      <c r="I486" t="s">
        <v>82</v>
      </c>
      <c r="J486" t="s">
        <v>99</v>
      </c>
      <c r="K486" s="37">
        <v>5</v>
      </c>
      <c r="L486" t="s">
        <v>52</v>
      </c>
      <c r="M486" s="21">
        <v>54500</v>
      </c>
      <c r="N486" s="21">
        <v>719400</v>
      </c>
      <c r="O486" s="21">
        <v>65400</v>
      </c>
      <c r="P486">
        <v>1</v>
      </c>
      <c r="Q486" t="s">
        <v>42</v>
      </c>
      <c r="R486" s="37">
        <v>17</v>
      </c>
      <c r="S486" s="37">
        <v>0</v>
      </c>
      <c r="T486" t="s">
        <v>129</v>
      </c>
      <c r="U486" t="s">
        <v>63</v>
      </c>
      <c r="V486" t="s">
        <v>45</v>
      </c>
    </row>
    <row r="487" spans="1:22" ht="15" customHeight="1" x14ac:dyDescent="0.3">
      <c r="A487" t="s">
        <v>934</v>
      </c>
      <c r="B487" s="20">
        <v>45754</v>
      </c>
      <c r="C487" t="s">
        <v>935</v>
      </c>
      <c r="D487" t="s">
        <v>35</v>
      </c>
      <c r="E487" s="37">
        <v>29</v>
      </c>
      <c r="F487" t="s">
        <v>72</v>
      </c>
      <c r="G487" t="s">
        <v>73</v>
      </c>
      <c r="H487" t="s">
        <v>66</v>
      </c>
      <c r="I487" t="s">
        <v>39</v>
      </c>
      <c r="J487" t="s">
        <v>161</v>
      </c>
      <c r="K487" s="37">
        <v>7</v>
      </c>
      <c r="L487" t="s">
        <v>52</v>
      </c>
      <c r="M487" s="21">
        <v>44900</v>
      </c>
      <c r="N487" s="21">
        <v>614232</v>
      </c>
      <c r="O487" s="21">
        <v>75432</v>
      </c>
      <c r="P487">
        <v>2</v>
      </c>
      <c r="Q487" t="s">
        <v>126</v>
      </c>
      <c r="R487" s="37">
        <v>11</v>
      </c>
      <c r="S487" s="37">
        <v>32</v>
      </c>
      <c r="T487" t="s">
        <v>68</v>
      </c>
      <c r="U487" t="s">
        <v>63</v>
      </c>
      <c r="V487" t="s">
        <v>45</v>
      </c>
    </row>
    <row r="488" spans="1:22" ht="15" customHeight="1" x14ac:dyDescent="0.3">
      <c r="A488" t="s">
        <v>936</v>
      </c>
      <c r="B488" s="20">
        <v>45861</v>
      </c>
      <c r="C488" t="s">
        <v>937</v>
      </c>
      <c r="D488" t="s">
        <v>48</v>
      </c>
      <c r="E488" s="37">
        <v>50</v>
      </c>
      <c r="F488" t="s">
        <v>72</v>
      </c>
      <c r="G488" t="s">
        <v>73</v>
      </c>
      <c r="H488" t="s">
        <v>118</v>
      </c>
      <c r="I488" t="s">
        <v>39</v>
      </c>
      <c r="J488" t="s">
        <v>119</v>
      </c>
      <c r="K488" s="37">
        <v>15</v>
      </c>
      <c r="L488" t="s">
        <v>52</v>
      </c>
      <c r="M488" s="21">
        <v>32600</v>
      </c>
      <c r="N488" s="21">
        <v>434232</v>
      </c>
      <c r="O488" s="21">
        <v>43032</v>
      </c>
      <c r="P488">
        <v>3</v>
      </c>
      <c r="Q488" t="s">
        <v>42</v>
      </c>
      <c r="R488" s="37">
        <v>11</v>
      </c>
      <c r="S488" s="37">
        <v>26</v>
      </c>
      <c r="T488" t="s">
        <v>43</v>
      </c>
      <c r="U488" t="s">
        <v>63</v>
      </c>
      <c r="V488" t="s">
        <v>45</v>
      </c>
    </row>
    <row r="489" spans="1:22" ht="15" customHeight="1" x14ac:dyDescent="0.3">
      <c r="A489" t="s">
        <v>938</v>
      </c>
      <c r="B489" s="20">
        <v>45892</v>
      </c>
      <c r="C489" t="s">
        <v>939</v>
      </c>
      <c r="D489" t="s">
        <v>35</v>
      </c>
      <c r="E489" s="37">
        <v>34</v>
      </c>
      <c r="F489" t="s">
        <v>86</v>
      </c>
      <c r="G489" t="s">
        <v>87</v>
      </c>
      <c r="H489" t="s">
        <v>66</v>
      </c>
      <c r="I489" t="s">
        <v>39</v>
      </c>
      <c r="J489" t="s">
        <v>93</v>
      </c>
      <c r="K489" s="37">
        <v>3</v>
      </c>
      <c r="L489" t="s">
        <v>52</v>
      </c>
      <c r="M489" s="21">
        <v>49200</v>
      </c>
      <c r="N489" s="21">
        <v>678960</v>
      </c>
      <c r="O489" s="21">
        <v>88560</v>
      </c>
      <c r="P489">
        <v>3</v>
      </c>
      <c r="Q489" t="s">
        <v>126</v>
      </c>
      <c r="R489" s="37">
        <v>4</v>
      </c>
      <c r="S489" s="37">
        <v>21</v>
      </c>
      <c r="T489" t="s">
        <v>94</v>
      </c>
      <c r="U489" t="s">
        <v>44</v>
      </c>
      <c r="V489" t="s">
        <v>45</v>
      </c>
    </row>
    <row r="490" spans="1:22" ht="15" customHeight="1" x14ac:dyDescent="0.3">
      <c r="A490" t="s">
        <v>940</v>
      </c>
      <c r="B490" s="20">
        <v>45972</v>
      </c>
      <c r="C490" t="s">
        <v>932</v>
      </c>
      <c r="D490" t="s">
        <v>35</v>
      </c>
      <c r="E490" s="37">
        <v>51</v>
      </c>
      <c r="F490" t="s">
        <v>57</v>
      </c>
      <c r="G490" t="s">
        <v>58</v>
      </c>
      <c r="H490" t="s">
        <v>38</v>
      </c>
      <c r="I490" t="s">
        <v>60</v>
      </c>
      <c r="J490" t="s">
        <v>110</v>
      </c>
      <c r="K490" s="37">
        <v>13</v>
      </c>
      <c r="L490" t="s">
        <v>52</v>
      </c>
      <c r="M490" s="21">
        <v>153700</v>
      </c>
      <c r="N490" s="21">
        <v>1991952</v>
      </c>
      <c r="O490" s="21">
        <v>147552</v>
      </c>
      <c r="P490">
        <v>4</v>
      </c>
      <c r="Q490" t="s">
        <v>42</v>
      </c>
      <c r="R490" s="37">
        <v>17</v>
      </c>
      <c r="S490" s="37">
        <v>34</v>
      </c>
      <c r="T490" t="s">
        <v>62</v>
      </c>
      <c r="U490" t="s">
        <v>44</v>
      </c>
      <c r="V490" t="s">
        <v>45</v>
      </c>
    </row>
    <row r="491" spans="1:22" ht="15" customHeight="1" x14ac:dyDescent="0.3">
      <c r="A491" t="s">
        <v>941</v>
      </c>
      <c r="B491" s="20">
        <v>45998</v>
      </c>
      <c r="C491" t="s">
        <v>942</v>
      </c>
      <c r="D491" t="s">
        <v>35</v>
      </c>
      <c r="E491" s="37">
        <v>52</v>
      </c>
      <c r="F491" t="s">
        <v>108</v>
      </c>
      <c r="G491" t="s">
        <v>109</v>
      </c>
      <c r="H491" t="s">
        <v>118</v>
      </c>
      <c r="I491" t="s">
        <v>60</v>
      </c>
      <c r="J491" t="s">
        <v>250</v>
      </c>
      <c r="K491" s="37">
        <v>29</v>
      </c>
      <c r="L491" t="s">
        <v>52</v>
      </c>
      <c r="M491" s="21">
        <v>122500</v>
      </c>
      <c r="N491" s="21">
        <v>1543500</v>
      </c>
      <c r="O491" s="21">
        <v>73500</v>
      </c>
      <c r="P491">
        <v>2</v>
      </c>
      <c r="Q491" t="s">
        <v>42</v>
      </c>
      <c r="R491" s="37">
        <v>3</v>
      </c>
      <c r="S491" s="37">
        <v>3</v>
      </c>
      <c r="T491" t="s">
        <v>62</v>
      </c>
      <c r="U491" t="s">
        <v>44</v>
      </c>
      <c r="V491" t="s">
        <v>45</v>
      </c>
    </row>
    <row r="492" spans="1:22" ht="15" customHeight="1" x14ac:dyDescent="0.3">
      <c r="A492" t="s">
        <v>943</v>
      </c>
      <c r="B492" s="20">
        <v>45846</v>
      </c>
      <c r="C492" t="s">
        <v>944</v>
      </c>
      <c r="D492" t="s">
        <v>48</v>
      </c>
      <c r="E492" s="37">
        <v>35</v>
      </c>
      <c r="F492" t="s">
        <v>108</v>
      </c>
      <c r="G492" t="s">
        <v>109</v>
      </c>
      <c r="H492" t="s">
        <v>38</v>
      </c>
      <c r="I492" t="s">
        <v>51</v>
      </c>
      <c r="J492" t="s">
        <v>99</v>
      </c>
      <c r="K492" s="37">
        <v>1</v>
      </c>
      <c r="L492" t="s">
        <v>41</v>
      </c>
      <c r="M492" s="21">
        <v>244000</v>
      </c>
      <c r="N492" s="21">
        <v>3396479</v>
      </c>
      <c r="O492" s="21">
        <v>468480</v>
      </c>
      <c r="P492">
        <v>4</v>
      </c>
      <c r="Q492" t="s">
        <v>42</v>
      </c>
      <c r="R492" s="37">
        <v>7</v>
      </c>
      <c r="S492" s="37">
        <v>11</v>
      </c>
      <c r="T492" t="s">
        <v>175</v>
      </c>
      <c r="U492" t="s">
        <v>44</v>
      </c>
      <c r="V492" t="s">
        <v>69</v>
      </c>
    </row>
    <row r="493" spans="1:22" ht="15" customHeight="1" x14ac:dyDescent="0.3">
      <c r="A493" t="s">
        <v>945</v>
      </c>
      <c r="B493" s="20">
        <v>45973</v>
      </c>
      <c r="C493" t="s">
        <v>686</v>
      </c>
      <c r="D493" t="s">
        <v>35</v>
      </c>
      <c r="E493" s="37">
        <v>52</v>
      </c>
      <c r="F493" t="s">
        <v>108</v>
      </c>
      <c r="G493" t="s">
        <v>109</v>
      </c>
      <c r="H493" t="s">
        <v>66</v>
      </c>
      <c r="I493" t="s">
        <v>60</v>
      </c>
      <c r="J493" t="s">
        <v>161</v>
      </c>
      <c r="K493" s="37">
        <v>12</v>
      </c>
      <c r="L493" t="s">
        <v>52</v>
      </c>
      <c r="M493" s="21">
        <v>158500</v>
      </c>
      <c r="N493" s="21">
        <v>2016120</v>
      </c>
      <c r="O493" s="21">
        <v>114120</v>
      </c>
      <c r="P493">
        <v>4</v>
      </c>
      <c r="Q493" t="s">
        <v>42</v>
      </c>
      <c r="R493" s="37">
        <v>5</v>
      </c>
      <c r="S493" s="37">
        <v>22</v>
      </c>
      <c r="T493" t="s">
        <v>43</v>
      </c>
      <c r="U493" t="s">
        <v>138</v>
      </c>
      <c r="V493" t="s">
        <v>69</v>
      </c>
    </row>
    <row r="494" spans="1:22" ht="15" customHeight="1" x14ac:dyDescent="0.3">
      <c r="A494" t="s">
        <v>946</v>
      </c>
      <c r="B494" s="20">
        <v>45748</v>
      </c>
      <c r="C494" t="s">
        <v>947</v>
      </c>
      <c r="D494" t="s">
        <v>35</v>
      </c>
      <c r="E494" s="37">
        <v>27</v>
      </c>
      <c r="F494" t="s">
        <v>97</v>
      </c>
      <c r="G494" t="s">
        <v>98</v>
      </c>
      <c r="H494" t="s">
        <v>59</v>
      </c>
      <c r="I494" t="s">
        <v>75</v>
      </c>
      <c r="J494" t="s">
        <v>88</v>
      </c>
      <c r="K494" s="37">
        <v>7</v>
      </c>
      <c r="L494" t="s">
        <v>52</v>
      </c>
      <c r="M494" s="21">
        <v>76200</v>
      </c>
      <c r="N494" s="21">
        <v>1024128</v>
      </c>
      <c r="O494" s="21">
        <v>109728</v>
      </c>
      <c r="P494">
        <v>3</v>
      </c>
      <c r="Q494" t="s">
        <v>42</v>
      </c>
      <c r="R494" s="37">
        <v>7</v>
      </c>
      <c r="S494" s="37">
        <v>21</v>
      </c>
      <c r="T494" t="s">
        <v>146</v>
      </c>
      <c r="U494" t="s">
        <v>54</v>
      </c>
      <c r="V494" t="s">
        <v>69</v>
      </c>
    </row>
    <row r="495" spans="1:22" ht="15" customHeight="1" x14ac:dyDescent="0.3">
      <c r="A495" t="s">
        <v>948</v>
      </c>
      <c r="B495" s="20">
        <v>45984</v>
      </c>
      <c r="C495" t="s">
        <v>949</v>
      </c>
      <c r="D495" t="s">
        <v>35</v>
      </c>
      <c r="E495" s="37">
        <v>58</v>
      </c>
      <c r="F495" t="s">
        <v>123</v>
      </c>
      <c r="G495" t="s">
        <v>124</v>
      </c>
      <c r="H495" t="s">
        <v>38</v>
      </c>
      <c r="I495" t="s">
        <v>82</v>
      </c>
      <c r="J495" t="s">
        <v>134</v>
      </c>
      <c r="K495" s="37">
        <v>9</v>
      </c>
      <c r="L495" t="s">
        <v>41</v>
      </c>
      <c r="M495" s="21">
        <v>52500</v>
      </c>
      <c r="N495" s="21">
        <v>711899</v>
      </c>
      <c r="O495" s="21">
        <v>81900</v>
      </c>
      <c r="P495">
        <v>4</v>
      </c>
      <c r="Q495" t="s">
        <v>126</v>
      </c>
      <c r="R495" s="37">
        <v>16</v>
      </c>
      <c r="S495" s="37">
        <v>20</v>
      </c>
      <c r="T495" t="s">
        <v>175</v>
      </c>
      <c r="U495" t="s">
        <v>63</v>
      </c>
      <c r="V495" t="s">
        <v>45</v>
      </c>
    </row>
    <row r="496" spans="1:22" ht="15" customHeight="1" x14ac:dyDescent="0.3">
      <c r="A496" t="s">
        <v>950</v>
      </c>
      <c r="B496" s="20">
        <v>45660</v>
      </c>
      <c r="C496" t="s">
        <v>951</v>
      </c>
      <c r="D496" t="s">
        <v>35</v>
      </c>
      <c r="E496" s="37">
        <v>51</v>
      </c>
      <c r="F496" t="s">
        <v>123</v>
      </c>
      <c r="G496" t="s">
        <v>124</v>
      </c>
      <c r="H496" t="s">
        <v>38</v>
      </c>
      <c r="I496" t="s">
        <v>75</v>
      </c>
      <c r="J496" t="s">
        <v>110</v>
      </c>
      <c r="K496" s="37">
        <v>21</v>
      </c>
      <c r="L496" t="s">
        <v>52</v>
      </c>
      <c r="M496" s="21">
        <v>84900</v>
      </c>
      <c r="N496" s="21">
        <v>1110492</v>
      </c>
      <c r="O496" s="21">
        <v>91692</v>
      </c>
      <c r="P496">
        <v>4</v>
      </c>
      <c r="Q496" t="s">
        <v>42</v>
      </c>
      <c r="R496" s="37">
        <v>9</v>
      </c>
      <c r="S496" s="37">
        <v>10</v>
      </c>
      <c r="T496" t="s">
        <v>105</v>
      </c>
      <c r="U496" t="s">
        <v>54</v>
      </c>
      <c r="V496" t="s">
        <v>45</v>
      </c>
    </row>
    <row r="497" spans="1:22" ht="15" customHeight="1" x14ac:dyDescent="0.3">
      <c r="A497" t="s">
        <v>952</v>
      </c>
      <c r="B497" s="20">
        <v>45927</v>
      </c>
      <c r="C497" t="s">
        <v>953</v>
      </c>
      <c r="D497" t="s">
        <v>35</v>
      </c>
      <c r="E497" s="37">
        <v>44</v>
      </c>
      <c r="F497" t="s">
        <v>36</v>
      </c>
      <c r="G497" t="s">
        <v>37</v>
      </c>
      <c r="H497" t="s">
        <v>38</v>
      </c>
      <c r="I497" t="s">
        <v>51</v>
      </c>
      <c r="J497" t="s">
        <v>190</v>
      </c>
      <c r="K497" s="37">
        <v>19</v>
      </c>
      <c r="L497" t="s">
        <v>120</v>
      </c>
      <c r="M497" s="21">
        <v>255200</v>
      </c>
      <c r="N497" s="21">
        <v>3460511</v>
      </c>
      <c r="O497" s="21">
        <v>398112</v>
      </c>
      <c r="P497">
        <v>4</v>
      </c>
      <c r="Q497" t="s">
        <v>42</v>
      </c>
      <c r="R497" s="37">
        <v>1</v>
      </c>
      <c r="S497" s="37">
        <v>5</v>
      </c>
      <c r="T497" t="s">
        <v>68</v>
      </c>
      <c r="U497" t="s">
        <v>63</v>
      </c>
      <c r="V497" t="s">
        <v>69</v>
      </c>
    </row>
    <row r="498" spans="1:22" ht="15" customHeight="1" x14ac:dyDescent="0.3">
      <c r="A498" t="s">
        <v>954</v>
      </c>
      <c r="B498" s="20">
        <v>45726</v>
      </c>
      <c r="C498" t="s">
        <v>239</v>
      </c>
      <c r="D498" t="s">
        <v>35</v>
      </c>
      <c r="E498" s="37">
        <v>35</v>
      </c>
      <c r="F498" t="s">
        <v>108</v>
      </c>
      <c r="G498" t="s">
        <v>109</v>
      </c>
      <c r="H498" t="s">
        <v>38</v>
      </c>
      <c r="I498" t="s">
        <v>39</v>
      </c>
      <c r="J498" t="s">
        <v>190</v>
      </c>
      <c r="K498" s="37">
        <v>13</v>
      </c>
      <c r="L498" t="s">
        <v>52</v>
      </c>
      <c r="M498" s="21">
        <v>31200</v>
      </c>
      <c r="N498" s="21">
        <v>438048</v>
      </c>
      <c r="O498" s="21">
        <v>63648</v>
      </c>
      <c r="P498">
        <v>2</v>
      </c>
      <c r="Q498" t="s">
        <v>42</v>
      </c>
      <c r="R498" s="37">
        <v>18</v>
      </c>
      <c r="S498" s="37">
        <v>18</v>
      </c>
      <c r="T498" t="s">
        <v>105</v>
      </c>
      <c r="U498" t="s">
        <v>44</v>
      </c>
      <c r="V498" t="s">
        <v>45</v>
      </c>
    </row>
    <row r="499" spans="1:22" ht="15" customHeight="1" x14ac:dyDescent="0.3">
      <c r="A499" t="s">
        <v>955</v>
      </c>
      <c r="B499" s="20">
        <v>45826</v>
      </c>
      <c r="C499" t="s">
        <v>956</v>
      </c>
      <c r="D499" t="s">
        <v>48</v>
      </c>
      <c r="E499" s="37">
        <v>28</v>
      </c>
      <c r="F499" t="s">
        <v>57</v>
      </c>
      <c r="G499" t="s">
        <v>58</v>
      </c>
      <c r="H499" t="s">
        <v>66</v>
      </c>
      <c r="I499" t="s">
        <v>75</v>
      </c>
      <c r="J499" t="s">
        <v>170</v>
      </c>
      <c r="K499" s="37">
        <v>8</v>
      </c>
      <c r="L499" t="s">
        <v>52</v>
      </c>
      <c r="M499" s="21">
        <v>103400</v>
      </c>
      <c r="N499" s="21">
        <v>1377288</v>
      </c>
      <c r="O499" s="21">
        <v>136488</v>
      </c>
      <c r="P499">
        <v>4</v>
      </c>
      <c r="Q499" t="s">
        <v>42</v>
      </c>
      <c r="R499" s="37">
        <v>11</v>
      </c>
      <c r="S499" s="37">
        <v>9</v>
      </c>
      <c r="T499" t="s">
        <v>68</v>
      </c>
      <c r="U499" t="s">
        <v>44</v>
      </c>
      <c r="V499" t="s">
        <v>69</v>
      </c>
    </row>
    <row r="500" spans="1:22" ht="15" customHeight="1" x14ac:dyDescent="0.3">
      <c r="A500" t="s">
        <v>957</v>
      </c>
      <c r="B500" s="20">
        <v>45841</v>
      </c>
      <c r="C500" t="s">
        <v>958</v>
      </c>
      <c r="D500" t="s">
        <v>35</v>
      </c>
      <c r="E500" s="37">
        <v>24</v>
      </c>
      <c r="F500" t="s">
        <v>97</v>
      </c>
      <c r="G500" t="s">
        <v>98</v>
      </c>
      <c r="H500" t="s">
        <v>66</v>
      </c>
      <c r="I500" t="s">
        <v>82</v>
      </c>
      <c r="J500" t="s">
        <v>149</v>
      </c>
      <c r="K500" s="37">
        <v>25</v>
      </c>
      <c r="L500" t="s">
        <v>52</v>
      </c>
      <c r="M500" s="21">
        <v>74400</v>
      </c>
      <c r="N500" s="21">
        <v>1008863</v>
      </c>
      <c r="O500" s="21">
        <v>116064</v>
      </c>
      <c r="P500">
        <v>2</v>
      </c>
      <c r="Q500" t="s">
        <v>42</v>
      </c>
      <c r="R500" s="37">
        <v>14</v>
      </c>
      <c r="S500" s="37">
        <v>16</v>
      </c>
      <c r="T500" t="s">
        <v>146</v>
      </c>
      <c r="U500" t="s">
        <v>54</v>
      </c>
      <c r="V500" t="s">
        <v>69</v>
      </c>
    </row>
    <row r="501" spans="1:22" ht="15" customHeight="1" x14ac:dyDescent="0.3">
      <c r="A501" t="s">
        <v>959</v>
      </c>
      <c r="B501" s="20">
        <v>45844</v>
      </c>
      <c r="C501" t="s">
        <v>960</v>
      </c>
      <c r="D501" t="s">
        <v>48</v>
      </c>
      <c r="E501" s="37">
        <v>27</v>
      </c>
      <c r="F501" t="s">
        <v>86</v>
      </c>
      <c r="G501" t="s">
        <v>87</v>
      </c>
      <c r="H501" t="s">
        <v>38</v>
      </c>
      <c r="I501" t="s">
        <v>60</v>
      </c>
      <c r="J501" t="s">
        <v>40</v>
      </c>
      <c r="K501" s="37">
        <v>8</v>
      </c>
      <c r="L501" t="s">
        <v>41</v>
      </c>
      <c r="M501" s="21">
        <v>124300</v>
      </c>
      <c r="N501" s="21">
        <v>1685507</v>
      </c>
      <c r="O501" s="21">
        <v>193908</v>
      </c>
      <c r="P501">
        <v>2</v>
      </c>
      <c r="Q501" t="s">
        <v>42</v>
      </c>
      <c r="R501" s="37">
        <v>6</v>
      </c>
      <c r="S501" s="37">
        <v>33</v>
      </c>
      <c r="T501" t="s">
        <v>94</v>
      </c>
      <c r="U501" t="s">
        <v>44</v>
      </c>
      <c r="V501" t="s">
        <v>45</v>
      </c>
    </row>
    <row r="502" spans="1:22" ht="15" customHeight="1" x14ac:dyDescent="0.3">
      <c r="A502" t="s">
        <v>961</v>
      </c>
      <c r="B502" s="20">
        <v>45860</v>
      </c>
      <c r="C502" t="s">
        <v>360</v>
      </c>
      <c r="D502" t="s">
        <v>35</v>
      </c>
      <c r="E502" s="37">
        <v>22</v>
      </c>
      <c r="F502" t="s">
        <v>49</v>
      </c>
      <c r="G502" t="s">
        <v>50</v>
      </c>
      <c r="H502" t="s">
        <v>74</v>
      </c>
      <c r="I502" t="s">
        <v>75</v>
      </c>
      <c r="J502" t="s">
        <v>76</v>
      </c>
      <c r="K502" s="37">
        <v>27</v>
      </c>
      <c r="L502" t="s">
        <v>52</v>
      </c>
      <c r="M502" s="21">
        <v>100500</v>
      </c>
      <c r="N502" s="21">
        <v>1338660</v>
      </c>
      <c r="O502" s="21">
        <v>132660</v>
      </c>
      <c r="P502">
        <v>2</v>
      </c>
      <c r="Q502" t="s">
        <v>42</v>
      </c>
      <c r="R502" s="37">
        <v>7</v>
      </c>
      <c r="S502" s="37">
        <v>20</v>
      </c>
      <c r="T502" t="s">
        <v>175</v>
      </c>
      <c r="U502" t="s">
        <v>63</v>
      </c>
      <c r="V502" t="s">
        <v>45</v>
      </c>
    </row>
    <row r="503" spans="1:22" ht="15" customHeight="1" x14ac:dyDescent="0.3">
      <c r="A503" t="s">
        <v>962</v>
      </c>
      <c r="B503" s="20">
        <v>46010</v>
      </c>
      <c r="C503" t="s">
        <v>503</v>
      </c>
      <c r="D503" t="s">
        <v>35</v>
      </c>
      <c r="E503" s="37">
        <v>44</v>
      </c>
      <c r="F503" t="s">
        <v>97</v>
      </c>
      <c r="G503" t="s">
        <v>98</v>
      </c>
      <c r="H503" t="s">
        <v>66</v>
      </c>
      <c r="I503" t="s">
        <v>60</v>
      </c>
      <c r="J503" t="s">
        <v>67</v>
      </c>
      <c r="K503" s="37">
        <v>0</v>
      </c>
      <c r="L503" t="s">
        <v>52</v>
      </c>
      <c r="M503" s="21">
        <v>156500</v>
      </c>
      <c r="N503" s="21">
        <v>2047020</v>
      </c>
      <c r="O503" s="21">
        <v>169020</v>
      </c>
      <c r="P503">
        <v>4</v>
      </c>
      <c r="Q503" t="s">
        <v>42</v>
      </c>
      <c r="R503" s="37">
        <v>14</v>
      </c>
      <c r="S503" s="37">
        <v>2</v>
      </c>
      <c r="T503" t="s">
        <v>68</v>
      </c>
      <c r="U503" t="s">
        <v>63</v>
      </c>
      <c r="V503" t="s">
        <v>45</v>
      </c>
    </row>
    <row r="504" spans="1:22" ht="15" customHeight="1" x14ac:dyDescent="0.3">
      <c r="A504" t="s">
        <v>963</v>
      </c>
      <c r="B504" s="20">
        <v>45987</v>
      </c>
      <c r="C504" t="s">
        <v>241</v>
      </c>
      <c r="D504" t="s">
        <v>48</v>
      </c>
      <c r="E504" s="37">
        <v>23</v>
      </c>
      <c r="F504" t="s">
        <v>108</v>
      </c>
      <c r="G504" t="s">
        <v>109</v>
      </c>
      <c r="H504" t="s">
        <v>118</v>
      </c>
      <c r="I504" t="s">
        <v>51</v>
      </c>
      <c r="J504" t="s">
        <v>219</v>
      </c>
      <c r="K504" s="37">
        <v>10</v>
      </c>
      <c r="L504" t="s">
        <v>52</v>
      </c>
      <c r="M504" s="21">
        <v>217500</v>
      </c>
      <c r="N504" s="21">
        <v>3027600</v>
      </c>
      <c r="O504" s="21">
        <v>417600</v>
      </c>
      <c r="P504">
        <v>5</v>
      </c>
      <c r="Q504" t="s">
        <v>42</v>
      </c>
      <c r="R504" s="37">
        <v>4</v>
      </c>
      <c r="S504" s="37">
        <v>22</v>
      </c>
      <c r="T504" t="s">
        <v>53</v>
      </c>
      <c r="U504" t="s">
        <v>44</v>
      </c>
      <c r="V504" t="s">
        <v>45</v>
      </c>
    </row>
    <row r="505" spans="1:22" ht="15" customHeight="1" x14ac:dyDescent="0.3">
      <c r="A505" t="s">
        <v>964</v>
      </c>
      <c r="B505" s="20">
        <v>46002</v>
      </c>
      <c r="C505" t="s">
        <v>965</v>
      </c>
      <c r="D505" t="s">
        <v>35</v>
      </c>
      <c r="E505" s="37">
        <v>31</v>
      </c>
      <c r="F505" t="s">
        <v>49</v>
      </c>
      <c r="G505" t="s">
        <v>50</v>
      </c>
      <c r="H505" t="s">
        <v>59</v>
      </c>
      <c r="I505" t="s">
        <v>39</v>
      </c>
      <c r="J505" t="s">
        <v>88</v>
      </c>
      <c r="K505" s="37">
        <v>23</v>
      </c>
      <c r="L505" t="s">
        <v>52</v>
      </c>
      <c r="M505" s="21">
        <v>32700</v>
      </c>
      <c r="N505" s="21">
        <v>443411</v>
      </c>
      <c r="O505" s="21">
        <v>51012</v>
      </c>
      <c r="P505">
        <v>2</v>
      </c>
      <c r="Q505" t="s">
        <v>42</v>
      </c>
      <c r="R505" s="37">
        <v>6</v>
      </c>
      <c r="S505" s="37">
        <v>33</v>
      </c>
      <c r="T505" t="s">
        <v>129</v>
      </c>
      <c r="U505" t="s">
        <v>138</v>
      </c>
      <c r="V505" t="s">
        <v>45</v>
      </c>
    </row>
    <row r="506" spans="1:22" ht="15" customHeight="1" x14ac:dyDescent="0.3">
      <c r="A506" t="s">
        <v>966</v>
      </c>
      <c r="B506" s="20">
        <v>45801</v>
      </c>
      <c r="C506" t="s">
        <v>967</v>
      </c>
      <c r="D506" t="s">
        <v>48</v>
      </c>
      <c r="E506" s="37">
        <v>46</v>
      </c>
      <c r="F506" t="s">
        <v>108</v>
      </c>
      <c r="G506" t="s">
        <v>109</v>
      </c>
      <c r="H506" t="s">
        <v>38</v>
      </c>
      <c r="I506" t="s">
        <v>82</v>
      </c>
      <c r="J506" t="s">
        <v>134</v>
      </c>
      <c r="K506" s="37">
        <v>13</v>
      </c>
      <c r="L506" t="s">
        <v>52</v>
      </c>
      <c r="M506" s="21">
        <v>54800</v>
      </c>
      <c r="N506" s="21">
        <v>782544</v>
      </c>
      <c r="O506" s="21">
        <v>124944</v>
      </c>
      <c r="P506">
        <v>4</v>
      </c>
      <c r="Q506" t="s">
        <v>42</v>
      </c>
      <c r="R506" s="37">
        <v>10</v>
      </c>
      <c r="S506" s="37">
        <v>7</v>
      </c>
      <c r="T506" t="s">
        <v>68</v>
      </c>
      <c r="U506" t="s">
        <v>44</v>
      </c>
      <c r="V506" t="s">
        <v>69</v>
      </c>
    </row>
    <row r="507" spans="1:22" ht="15" customHeight="1" x14ac:dyDescent="0.3">
      <c r="A507" t="s">
        <v>968</v>
      </c>
      <c r="B507" s="20">
        <v>45786</v>
      </c>
      <c r="C507" t="s">
        <v>969</v>
      </c>
      <c r="D507" t="s">
        <v>35</v>
      </c>
      <c r="E507" s="37">
        <v>58</v>
      </c>
      <c r="F507" t="s">
        <v>123</v>
      </c>
      <c r="G507" t="s">
        <v>124</v>
      </c>
      <c r="H507" t="s">
        <v>38</v>
      </c>
      <c r="I507" t="s">
        <v>39</v>
      </c>
      <c r="J507" t="s">
        <v>40</v>
      </c>
      <c r="K507" s="37">
        <v>15</v>
      </c>
      <c r="L507" t="s">
        <v>52</v>
      </c>
      <c r="M507" s="21">
        <v>29800</v>
      </c>
      <c r="N507" s="21">
        <v>396936</v>
      </c>
      <c r="O507" s="21">
        <v>39336</v>
      </c>
      <c r="P507">
        <v>3</v>
      </c>
      <c r="Q507" t="s">
        <v>126</v>
      </c>
      <c r="R507" s="37">
        <v>16</v>
      </c>
      <c r="S507" s="37">
        <v>33</v>
      </c>
      <c r="T507" t="s">
        <v>175</v>
      </c>
      <c r="U507" t="s">
        <v>63</v>
      </c>
      <c r="V507" t="s">
        <v>45</v>
      </c>
    </row>
    <row r="508" spans="1:22" ht="15" customHeight="1" x14ac:dyDescent="0.3">
      <c r="A508" t="s">
        <v>970</v>
      </c>
      <c r="B508" s="20">
        <v>45791</v>
      </c>
      <c r="C508" t="s">
        <v>518</v>
      </c>
      <c r="D508" t="s">
        <v>48</v>
      </c>
      <c r="E508" s="37">
        <v>57</v>
      </c>
      <c r="F508" t="s">
        <v>123</v>
      </c>
      <c r="G508" t="s">
        <v>124</v>
      </c>
      <c r="H508" t="s">
        <v>74</v>
      </c>
      <c r="I508" t="s">
        <v>82</v>
      </c>
      <c r="J508" t="s">
        <v>83</v>
      </c>
      <c r="K508" s="37">
        <v>23</v>
      </c>
      <c r="L508" t="s">
        <v>52</v>
      </c>
      <c r="M508" s="21">
        <v>73200</v>
      </c>
      <c r="N508" s="21">
        <v>1010159</v>
      </c>
      <c r="O508" s="21">
        <v>131760</v>
      </c>
      <c r="P508">
        <v>4</v>
      </c>
      <c r="Q508" t="s">
        <v>42</v>
      </c>
      <c r="R508" s="37">
        <v>6</v>
      </c>
      <c r="S508" s="37">
        <v>35</v>
      </c>
      <c r="T508" t="s">
        <v>77</v>
      </c>
      <c r="U508" t="s">
        <v>63</v>
      </c>
      <c r="V508" t="s">
        <v>45</v>
      </c>
    </row>
    <row r="509" spans="1:22" ht="15" customHeight="1" x14ac:dyDescent="0.3">
      <c r="A509" t="s">
        <v>971</v>
      </c>
      <c r="B509" s="20">
        <v>45819</v>
      </c>
      <c r="C509" t="s">
        <v>972</v>
      </c>
      <c r="D509" t="s">
        <v>35</v>
      </c>
      <c r="E509" s="37">
        <v>33</v>
      </c>
      <c r="F509" t="s">
        <v>97</v>
      </c>
      <c r="G509" t="s">
        <v>98</v>
      </c>
      <c r="H509" t="s">
        <v>118</v>
      </c>
      <c r="I509" t="s">
        <v>51</v>
      </c>
      <c r="J509" t="s">
        <v>219</v>
      </c>
      <c r="K509" s="37">
        <v>2</v>
      </c>
      <c r="L509" t="s">
        <v>52</v>
      </c>
      <c r="M509" s="21">
        <v>217100</v>
      </c>
      <c r="N509" s="21">
        <v>2865720</v>
      </c>
      <c r="O509" s="21">
        <v>260520</v>
      </c>
      <c r="P509">
        <v>4</v>
      </c>
      <c r="Q509" t="s">
        <v>42</v>
      </c>
      <c r="R509" s="37">
        <v>12</v>
      </c>
      <c r="S509" s="37">
        <v>34</v>
      </c>
      <c r="T509" t="s">
        <v>53</v>
      </c>
      <c r="U509" t="s">
        <v>63</v>
      </c>
      <c r="V509" t="s">
        <v>69</v>
      </c>
    </row>
    <row r="510" spans="1:22" ht="15" customHeight="1" x14ac:dyDescent="0.3">
      <c r="A510" t="s">
        <v>973</v>
      </c>
      <c r="B510" s="20">
        <v>45791</v>
      </c>
      <c r="C510" t="s">
        <v>974</v>
      </c>
      <c r="D510" t="s">
        <v>48</v>
      </c>
      <c r="E510" s="37">
        <v>27</v>
      </c>
      <c r="F510" t="s">
        <v>91</v>
      </c>
      <c r="G510" t="s">
        <v>92</v>
      </c>
      <c r="H510" t="s">
        <v>38</v>
      </c>
      <c r="I510" t="s">
        <v>39</v>
      </c>
      <c r="J510" t="s">
        <v>110</v>
      </c>
      <c r="K510" s="37">
        <v>27</v>
      </c>
      <c r="L510" t="s">
        <v>52</v>
      </c>
      <c r="M510" s="21">
        <v>30500</v>
      </c>
      <c r="N510" s="21">
        <v>428220</v>
      </c>
      <c r="O510" s="21">
        <v>62220</v>
      </c>
      <c r="P510">
        <v>3</v>
      </c>
      <c r="Q510" t="s">
        <v>42</v>
      </c>
      <c r="R510" s="37">
        <v>20</v>
      </c>
      <c r="S510" s="37">
        <v>12</v>
      </c>
      <c r="T510" t="s">
        <v>43</v>
      </c>
      <c r="U510" t="s">
        <v>63</v>
      </c>
      <c r="V510" t="s">
        <v>45</v>
      </c>
    </row>
    <row r="511" spans="1:22" ht="15" customHeight="1" x14ac:dyDescent="0.3">
      <c r="A511" t="s">
        <v>975</v>
      </c>
      <c r="B511" s="20">
        <v>45676</v>
      </c>
      <c r="C511" t="s">
        <v>148</v>
      </c>
      <c r="D511" t="s">
        <v>48</v>
      </c>
      <c r="E511" s="37">
        <v>42</v>
      </c>
      <c r="F511" t="s">
        <v>91</v>
      </c>
      <c r="G511" t="s">
        <v>92</v>
      </c>
      <c r="H511" t="s">
        <v>74</v>
      </c>
      <c r="I511" t="s">
        <v>82</v>
      </c>
      <c r="J511" t="s">
        <v>115</v>
      </c>
      <c r="K511" s="37">
        <v>28</v>
      </c>
      <c r="L511" t="s">
        <v>52</v>
      </c>
      <c r="M511" s="21">
        <v>58200</v>
      </c>
      <c r="N511" s="21">
        <v>761256</v>
      </c>
      <c r="O511" s="21">
        <v>62856</v>
      </c>
      <c r="P511">
        <v>3</v>
      </c>
      <c r="Q511" t="s">
        <v>42</v>
      </c>
      <c r="R511" s="37">
        <v>5</v>
      </c>
      <c r="S511" s="37">
        <v>22</v>
      </c>
      <c r="T511" t="s">
        <v>105</v>
      </c>
      <c r="U511" t="s">
        <v>44</v>
      </c>
      <c r="V511" t="s">
        <v>69</v>
      </c>
    </row>
    <row r="512" spans="1:22" ht="15" customHeight="1" x14ac:dyDescent="0.3">
      <c r="A512" t="s">
        <v>976</v>
      </c>
      <c r="B512" s="20">
        <v>45939</v>
      </c>
      <c r="C512" t="s">
        <v>977</v>
      </c>
      <c r="D512" t="s">
        <v>35</v>
      </c>
      <c r="E512" s="37">
        <v>35</v>
      </c>
      <c r="F512" t="s">
        <v>86</v>
      </c>
      <c r="G512" t="s">
        <v>87</v>
      </c>
      <c r="H512" t="s">
        <v>66</v>
      </c>
      <c r="I512" t="s">
        <v>82</v>
      </c>
      <c r="J512" t="s">
        <v>67</v>
      </c>
      <c r="K512" s="37">
        <v>23</v>
      </c>
      <c r="L512" t="s">
        <v>52</v>
      </c>
      <c r="M512" s="21">
        <v>61100</v>
      </c>
      <c r="N512" s="21">
        <v>828515</v>
      </c>
      <c r="O512" s="21">
        <v>95316</v>
      </c>
      <c r="P512">
        <v>1</v>
      </c>
      <c r="Q512" t="s">
        <v>126</v>
      </c>
      <c r="R512" s="37">
        <v>3</v>
      </c>
      <c r="S512" s="37">
        <v>37</v>
      </c>
      <c r="T512" t="s">
        <v>146</v>
      </c>
      <c r="U512" t="s">
        <v>63</v>
      </c>
      <c r="V512" t="s">
        <v>69</v>
      </c>
    </row>
    <row r="513" spans="1:22" ht="15" customHeight="1" x14ac:dyDescent="0.3">
      <c r="A513" t="s">
        <v>978</v>
      </c>
      <c r="B513" s="20">
        <v>45804</v>
      </c>
      <c r="C513" t="s">
        <v>376</v>
      </c>
      <c r="D513" t="s">
        <v>48</v>
      </c>
      <c r="E513" s="37">
        <v>57</v>
      </c>
      <c r="F513" t="s">
        <v>86</v>
      </c>
      <c r="G513" t="s">
        <v>87</v>
      </c>
      <c r="H513" t="s">
        <v>66</v>
      </c>
      <c r="I513" t="s">
        <v>82</v>
      </c>
      <c r="J513" t="s">
        <v>93</v>
      </c>
      <c r="K513" s="37">
        <v>0</v>
      </c>
      <c r="L513" t="s">
        <v>52</v>
      </c>
      <c r="M513" s="21">
        <v>77700</v>
      </c>
      <c r="N513" s="21">
        <v>1109556</v>
      </c>
      <c r="O513" s="21">
        <v>177156</v>
      </c>
      <c r="P513">
        <v>5</v>
      </c>
      <c r="Q513" t="s">
        <v>42</v>
      </c>
      <c r="R513" s="37">
        <v>15</v>
      </c>
      <c r="S513" s="37">
        <v>11</v>
      </c>
      <c r="T513" t="s">
        <v>53</v>
      </c>
      <c r="U513" t="s">
        <v>44</v>
      </c>
      <c r="V513" t="s">
        <v>45</v>
      </c>
    </row>
    <row r="514" spans="1:22" ht="15" customHeight="1" x14ac:dyDescent="0.3">
      <c r="A514" t="s">
        <v>979</v>
      </c>
      <c r="B514" s="20">
        <v>45693</v>
      </c>
      <c r="C514" t="s">
        <v>292</v>
      </c>
      <c r="D514" t="s">
        <v>35</v>
      </c>
      <c r="E514" s="37">
        <v>33</v>
      </c>
      <c r="F514" t="s">
        <v>97</v>
      </c>
      <c r="G514" t="s">
        <v>98</v>
      </c>
      <c r="H514" t="s">
        <v>38</v>
      </c>
      <c r="I514" t="s">
        <v>82</v>
      </c>
      <c r="J514" t="s">
        <v>190</v>
      </c>
      <c r="K514" s="37">
        <v>5</v>
      </c>
      <c r="L514" t="s">
        <v>52</v>
      </c>
      <c r="M514" s="21">
        <v>58900</v>
      </c>
      <c r="N514" s="21">
        <v>841092</v>
      </c>
      <c r="O514" s="21">
        <v>134292</v>
      </c>
      <c r="P514">
        <v>4</v>
      </c>
      <c r="Q514" t="s">
        <v>42</v>
      </c>
      <c r="R514" s="37">
        <v>16</v>
      </c>
      <c r="S514" s="37">
        <v>7</v>
      </c>
      <c r="T514" t="s">
        <v>53</v>
      </c>
      <c r="U514" t="s">
        <v>44</v>
      </c>
      <c r="V514" t="s">
        <v>45</v>
      </c>
    </row>
    <row r="515" spans="1:22" ht="15" customHeight="1" x14ac:dyDescent="0.3">
      <c r="A515" t="s">
        <v>980</v>
      </c>
      <c r="B515" s="20">
        <v>45986</v>
      </c>
      <c r="C515" t="s">
        <v>981</v>
      </c>
      <c r="D515" t="s">
        <v>35</v>
      </c>
      <c r="E515" s="37">
        <v>27</v>
      </c>
      <c r="F515" t="s">
        <v>80</v>
      </c>
      <c r="G515" t="s">
        <v>81</v>
      </c>
      <c r="H515" t="s">
        <v>38</v>
      </c>
      <c r="I515" t="s">
        <v>82</v>
      </c>
      <c r="J515" t="s">
        <v>99</v>
      </c>
      <c r="K515" s="37">
        <v>10</v>
      </c>
      <c r="L515" t="s">
        <v>52</v>
      </c>
      <c r="M515" s="21">
        <v>49700</v>
      </c>
      <c r="N515" s="21">
        <v>662004</v>
      </c>
      <c r="O515" s="21">
        <v>65604</v>
      </c>
      <c r="P515">
        <v>4</v>
      </c>
      <c r="Q515" t="s">
        <v>42</v>
      </c>
      <c r="R515" s="37">
        <v>5</v>
      </c>
      <c r="S515" s="37">
        <v>1</v>
      </c>
      <c r="T515" t="s">
        <v>43</v>
      </c>
      <c r="U515" t="s">
        <v>63</v>
      </c>
      <c r="V515" t="s">
        <v>45</v>
      </c>
    </row>
    <row r="516" spans="1:22" ht="15" customHeight="1" x14ac:dyDescent="0.3">
      <c r="A516" t="s">
        <v>982</v>
      </c>
      <c r="B516" s="20">
        <v>45857</v>
      </c>
      <c r="C516" t="s">
        <v>983</v>
      </c>
      <c r="D516" t="s">
        <v>35</v>
      </c>
      <c r="E516" s="37">
        <v>48</v>
      </c>
      <c r="F516" t="s">
        <v>123</v>
      </c>
      <c r="G516" t="s">
        <v>124</v>
      </c>
      <c r="H516" t="s">
        <v>118</v>
      </c>
      <c r="I516" t="s">
        <v>82</v>
      </c>
      <c r="J516" t="s">
        <v>182</v>
      </c>
      <c r="K516" s="37">
        <v>15</v>
      </c>
      <c r="L516" t="s">
        <v>52</v>
      </c>
      <c r="M516" s="21">
        <v>49100</v>
      </c>
      <c r="N516" s="21">
        <v>689364</v>
      </c>
      <c r="O516" s="21">
        <v>100164</v>
      </c>
      <c r="P516">
        <v>3</v>
      </c>
      <c r="Q516" t="s">
        <v>42</v>
      </c>
      <c r="R516" s="37">
        <v>8</v>
      </c>
      <c r="S516" s="37">
        <v>21</v>
      </c>
      <c r="T516" t="s">
        <v>77</v>
      </c>
      <c r="U516" t="s">
        <v>63</v>
      </c>
      <c r="V516" t="s">
        <v>69</v>
      </c>
    </row>
    <row r="517" spans="1:22" ht="15" customHeight="1" x14ac:dyDescent="0.3">
      <c r="A517" t="s">
        <v>984</v>
      </c>
      <c r="B517" s="20">
        <v>45839</v>
      </c>
      <c r="C517" t="s">
        <v>985</v>
      </c>
      <c r="D517" t="s">
        <v>35</v>
      </c>
      <c r="E517" s="37">
        <v>23</v>
      </c>
      <c r="F517" t="s">
        <v>36</v>
      </c>
      <c r="G517" t="s">
        <v>37</v>
      </c>
      <c r="H517" t="s">
        <v>74</v>
      </c>
      <c r="I517" t="s">
        <v>82</v>
      </c>
      <c r="J517" t="s">
        <v>367</v>
      </c>
      <c r="K517" s="37">
        <v>14</v>
      </c>
      <c r="L517" t="s">
        <v>52</v>
      </c>
      <c r="M517" s="21">
        <v>68900</v>
      </c>
      <c r="N517" s="21">
        <v>926016</v>
      </c>
      <c r="O517" s="21">
        <v>99216</v>
      </c>
      <c r="P517">
        <v>4</v>
      </c>
      <c r="Q517" t="s">
        <v>42</v>
      </c>
      <c r="R517" s="37">
        <v>17</v>
      </c>
      <c r="S517" s="37">
        <v>35</v>
      </c>
      <c r="T517" t="s">
        <v>68</v>
      </c>
      <c r="U517" t="s">
        <v>44</v>
      </c>
      <c r="V517" t="s">
        <v>45</v>
      </c>
    </row>
    <row r="518" spans="1:22" ht="15" customHeight="1" x14ac:dyDescent="0.3">
      <c r="A518" t="s">
        <v>986</v>
      </c>
      <c r="B518" s="20">
        <v>45726</v>
      </c>
      <c r="C518" t="s">
        <v>803</v>
      </c>
      <c r="D518" t="s">
        <v>48</v>
      </c>
      <c r="E518" s="37">
        <v>28</v>
      </c>
      <c r="F518" t="s">
        <v>72</v>
      </c>
      <c r="G518" t="s">
        <v>73</v>
      </c>
      <c r="H518" t="s">
        <v>74</v>
      </c>
      <c r="I518" t="s">
        <v>75</v>
      </c>
      <c r="J518" t="s">
        <v>367</v>
      </c>
      <c r="K518" s="37">
        <v>6</v>
      </c>
      <c r="L518" t="s">
        <v>52</v>
      </c>
      <c r="M518" s="21">
        <v>99300</v>
      </c>
      <c r="N518" s="21">
        <v>1382256</v>
      </c>
      <c r="O518" s="21">
        <v>190656</v>
      </c>
      <c r="P518">
        <v>2</v>
      </c>
      <c r="Q518" t="s">
        <v>42</v>
      </c>
      <c r="R518" s="37">
        <v>6</v>
      </c>
      <c r="S518" s="37">
        <v>26</v>
      </c>
      <c r="T518" t="s">
        <v>43</v>
      </c>
      <c r="U518" t="s">
        <v>63</v>
      </c>
      <c r="V518" t="s">
        <v>45</v>
      </c>
    </row>
    <row r="519" spans="1:22" ht="15" customHeight="1" x14ac:dyDescent="0.3">
      <c r="A519" t="s">
        <v>987</v>
      </c>
      <c r="B519" s="20">
        <v>45821</v>
      </c>
      <c r="C519" t="s">
        <v>988</v>
      </c>
      <c r="D519" t="s">
        <v>35</v>
      </c>
      <c r="E519" s="37">
        <v>52</v>
      </c>
      <c r="F519" t="s">
        <v>49</v>
      </c>
      <c r="G519" t="s">
        <v>50</v>
      </c>
      <c r="H519" t="s">
        <v>38</v>
      </c>
      <c r="I519" t="s">
        <v>39</v>
      </c>
      <c r="J519" t="s">
        <v>99</v>
      </c>
      <c r="K519" s="37">
        <v>20</v>
      </c>
      <c r="L519" t="s">
        <v>52</v>
      </c>
      <c r="M519" s="21">
        <v>38100</v>
      </c>
      <c r="N519" s="21">
        <v>484632</v>
      </c>
      <c r="O519" s="21">
        <v>27432</v>
      </c>
      <c r="P519">
        <v>4</v>
      </c>
      <c r="Q519" t="s">
        <v>126</v>
      </c>
      <c r="R519" s="37">
        <v>16</v>
      </c>
      <c r="S519" s="37">
        <v>6</v>
      </c>
      <c r="T519" t="s">
        <v>105</v>
      </c>
      <c r="U519" t="s">
        <v>63</v>
      </c>
      <c r="V519" t="s">
        <v>69</v>
      </c>
    </row>
    <row r="520" spans="1:22" ht="15" customHeight="1" x14ac:dyDescent="0.3">
      <c r="A520" t="s">
        <v>989</v>
      </c>
      <c r="B520" s="20">
        <v>45797</v>
      </c>
      <c r="C520" t="s">
        <v>947</v>
      </c>
      <c r="D520" t="s">
        <v>35</v>
      </c>
      <c r="E520" s="37">
        <v>53</v>
      </c>
      <c r="F520" t="s">
        <v>108</v>
      </c>
      <c r="G520" t="s">
        <v>109</v>
      </c>
      <c r="H520" t="s">
        <v>118</v>
      </c>
      <c r="I520" t="s">
        <v>39</v>
      </c>
      <c r="J520" t="s">
        <v>137</v>
      </c>
      <c r="K520" s="37">
        <v>26</v>
      </c>
      <c r="L520" t="s">
        <v>52</v>
      </c>
      <c r="M520" s="21">
        <v>35600</v>
      </c>
      <c r="N520" s="21">
        <v>452832</v>
      </c>
      <c r="O520" s="21">
        <v>25632</v>
      </c>
      <c r="P520">
        <v>3</v>
      </c>
      <c r="Q520" t="s">
        <v>42</v>
      </c>
      <c r="R520" s="37">
        <v>10</v>
      </c>
      <c r="S520" s="37">
        <v>10</v>
      </c>
      <c r="T520" t="s">
        <v>43</v>
      </c>
      <c r="U520" t="s">
        <v>44</v>
      </c>
      <c r="V520" t="s">
        <v>69</v>
      </c>
    </row>
    <row r="521" spans="1:22" ht="15" customHeight="1" x14ac:dyDescent="0.3">
      <c r="A521" t="s">
        <v>990</v>
      </c>
      <c r="B521" s="20">
        <v>45879</v>
      </c>
      <c r="C521" t="s">
        <v>101</v>
      </c>
      <c r="D521" t="s">
        <v>35</v>
      </c>
      <c r="E521" s="37">
        <v>27</v>
      </c>
      <c r="F521" t="s">
        <v>86</v>
      </c>
      <c r="G521" t="s">
        <v>87</v>
      </c>
      <c r="H521" t="s">
        <v>74</v>
      </c>
      <c r="I521" t="s">
        <v>39</v>
      </c>
      <c r="J521" t="s">
        <v>115</v>
      </c>
      <c r="K521" s="37">
        <v>12</v>
      </c>
      <c r="L521" t="s">
        <v>52</v>
      </c>
      <c r="M521" s="21">
        <v>46800</v>
      </c>
      <c r="N521" s="21">
        <v>651456</v>
      </c>
      <c r="O521" s="21">
        <v>89856</v>
      </c>
      <c r="P521">
        <v>3</v>
      </c>
      <c r="Q521" t="s">
        <v>42</v>
      </c>
      <c r="R521" s="37">
        <v>3</v>
      </c>
      <c r="S521" s="37">
        <v>7</v>
      </c>
      <c r="T521" t="s">
        <v>77</v>
      </c>
      <c r="U521" t="s">
        <v>44</v>
      </c>
      <c r="V521" t="s">
        <v>69</v>
      </c>
    </row>
    <row r="522" spans="1:22" ht="15" customHeight="1" x14ac:dyDescent="0.3">
      <c r="A522" t="s">
        <v>991</v>
      </c>
      <c r="B522" s="20">
        <v>45680</v>
      </c>
      <c r="C522" t="s">
        <v>992</v>
      </c>
      <c r="D522" t="s">
        <v>35</v>
      </c>
      <c r="E522" s="37">
        <v>52</v>
      </c>
      <c r="F522" t="s">
        <v>86</v>
      </c>
      <c r="G522" t="s">
        <v>87</v>
      </c>
      <c r="H522" t="s">
        <v>59</v>
      </c>
      <c r="I522" t="s">
        <v>39</v>
      </c>
      <c r="J522" t="s">
        <v>104</v>
      </c>
      <c r="K522" s="37">
        <v>3</v>
      </c>
      <c r="L522" t="s">
        <v>52</v>
      </c>
      <c r="M522" s="21">
        <v>37800</v>
      </c>
      <c r="N522" s="21">
        <v>539784</v>
      </c>
      <c r="O522" s="21">
        <v>86184</v>
      </c>
      <c r="P522">
        <v>5</v>
      </c>
      <c r="Q522" t="s">
        <v>42</v>
      </c>
      <c r="R522" s="37">
        <v>12</v>
      </c>
      <c r="S522" s="37">
        <v>22</v>
      </c>
      <c r="T522" t="s">
        <v>43</v>
      </c>
      <c r="U522" t="s">
        <v>63</v>
      </c>
      <c r="V522" t="s">
        <v>69</v>
      </c>
    </row>
    <row r="523" spans="1:22" ht="15" customHeight="1" x14ac:dyDescent="0.3">
      <c r="A523" t="s">
        <v>993</v>
      </c>
      <c r="B523" s="20">
        <v>45767</v>
      </c>
      <c r="C523" t="s">
        <v>994</v>
      </c>
      <c r="D523" t="s">
        <v>35</v>
      </c>
      <c r="E523" s="37">
        <v>26</v>
      </c>
      <c r="F523" t="s">
        <v>57</v>
      </c>
      <c r="G523" t="s">
        <v>58</v>
      </c>
      <c r="H523" t="s">
        <v>118</v>
      </c>
      <c r="I523" t="s">
        <v>39</v>
      </c>
      <c r="J523" t="s">
        <v>219</v>
      </c>
      <c r="K523" s="37">
        <v>25</v>
      </c>
      <c r="L523" t="s">
        <v>52</v>
      </c>
      <c r="M523" s="21">
        <v>32100</v>
      </c>
      <c r="N523" s="21">
        <v>439128</v>
      </c>
      <c r="O523" s="21">
        <v>53928</v>
      </c>
      <c r="P523">
        <v>4</v>
      </c>
      <c r="Q523" t="s">
        <v>42</v>
      </c>
      <c r="R523" s="37">
        <v>14</v>
      </c>
      <c r="S523" s="37">
        <v>16</v>
      </c>
      <c r="T523" t="s">
        <v>94</v>
      </c>
      <c r="U523" t="s">
        <v>44</v>
      </c>
      <c r="V523" t="s">
        <v>45</v>
      </c>
    </row>
    <row r="524" spans="1:22" ht="15" customHeight="1" x14ac:dyDescent="0.3">
      <c r="A524" t="s">
        <v>995</v>
      </c>
      <c r="B524" s="20">
        <v>45663</v>
      </c>
      <c r="C524" t="s">
        <v>136</v>
      </c>
      <c r="D524" t="s">
        <v>35</v>
      </c>
      <c r="E524" s="37">
        <v>27</v>
      </c>
      <c r="F524" t="s">
        <v>36</v>
      </c>
      <c r="G524" t="s">
        <v>37</v>
      </c>
      <c r="H524" t="s">
        <v>59</v>
      </c>
      <c r="I524" t="s">
        <v>39</v>
      </c>
      <c r="J524" t="s">
        <v>61</v>
      </c>
      <c r="K524" s="37">
        <v>6</v>
      </c>
      <c r="L524" t="s">
        <v>52</v>
      </c>
      <c r="M524" s="21">
        <v>35200</v>
      </c>
      <c r="N524" s="21">
        <v>447744</v>
      </c>
      <c r="O524" s="21">
        <v>25344</v>
      </c>
      <c r="P524">
        <v>5</v>
      </c>
      <c r="Q524" t="s">
        <v>42</v>
      </c>
      <c r="R524" s="37">
        <v>16</v>
      </c>
      <c r="S524" s="37">
        <v>36</v>
      </c>
      <c r="T524" t="s">
        <v>43</v>
      </c>
      <c r="U524" t="s">
        <v>44</v>
      </c>
      <c r="V524" t="s">
        <v>69</v>
      </c>
    </row>
    <row r="525" spans="1:22" ht="15" customHeight="1" x14ac:dyDescent="0.3">
      <c r="A525" t="s">
        <v>996</v>
      </c>
      <c r="B525" s="20">
        <v>46003</v>
      </c>
      <c r="C525" t="s">
        <v>974</v>
      </c>
      <c r="D525" t="s">
        <v>48</v>
      </c>
      <c r="E525" s="37">
        <v>34</v>
      </c>
      <c r="F525" t="s">
        <v>86</v>
      </c>
      <c r="G525" t="s">
        <v>87</v>
      </c>
      <c r="H525" t="s">
        <v>59</v>
      </c>
      <c r="I525" t="s">
        <v>75</v>
      </c>
      <c r="J525" t="s">
        <v>61</v>
      </c>
      <c r="K525" s="37">
        <v>19</v>
      </c>
      <c r="L525" t="s">
        <v>52</v>
      </c>
      <c r="M525" s="21">
        <v>89000</v>
      </c>
      <c r="N525" s="21">
        <v>1206840</v>
      </c>
      <c r="O525" s="21">
        <v>138840</v>
      </c>
      <c r="P525">
        <v>3</v>
      </c>
      <c r="Q525" t="s">
        <v>42</v>
      </c>
      <c r="R525" s="37">
        <v>11</v>
      </c>
      <c r="S525" s="37">
        <v>38</v>
      </c>
      <c r="T525" t="s">
        <v>43</v>
      </c>
      <c r="U525" t="s">
        <v>44</v>
      </c>
      <c r="V525" t="s">
        <v>69</v>
      </c>
    </row>
    <row r="526" spans="1:22" ht="15" customHeight="1" x14ac:dyDescent="0.3">
      <c r="A526" t="s">
        <v>997</v>
      </c>
      <c r="B526" s="20">
        <v>46003</v>
      </c>
      <c r="C526" t="s">
        <v>292</v>
      </c>
      <c r="D526" t="s">
        <v>35</v>
      </c>
      <c r="E526" s="37">
        <v>44</v>
      </c>
      <c r="F526" t="s">
        <v>49</v>
      </c>
      <c r="G526" t="s">
        <v>50</v>
      </c>
      <c r="H526" t="s">
        <v>118</v>
      </c>
      <c r="I526" t="s">
        <v>82</v>
      </c>
      <c r="J526" t="s">
        <v>182</v>
      </c>
      <c r="K526" s="37">
        <v>10</v>
      </c>
      <c r="L526" t="s">
        <v>52</v>
      </c>
      <c r="M526" s="21">
        <v>53600</v>
      </c>
      <c r="N526" s="21">
        <v>739680</v>
      </c>
      <c r="O526" s="21">
        <v>96480</v>
      </c>
      <c r="P526">
        <v>4</v>
      </c>
      <c r="Q526" t="s">
        <v>126</v>
      </c>
      <c r="R526" s="37">
        <v>2</v>
      </c>
      <c r="S526" s="37">
        <v>28</v>
      </c>
      <c r="T526" t="s">
        <v>105</v>
      </c>
      <c r="U526" t="s">
        <v>44</v>
      </c>
      <c r="V526" t="s">
        <v>69</v>
      </c>
    </row>
    <row r="527" spans="1:22" ht="15" customHeight="1" x14ac:dyDescent="0.3">
      <c r="A527" t="s">
        <v>998</v>
      </c>
      <c r="B527" s="20">
        <v>45886</v>
      </c>
      <c r="C527" t="s">
        <v>999</v>
      </c>
      <c r="D527" t="s">
        <v>35</v>
      </c>
      <c r="E527" s="37">
        <v>33</v>
      </c>
      <c r="F527" t="s">
        <v>72</v>
      </c>
      <c r="G527" t="s">
        <v>73</v>
      </c>
      <c r="H527" t="s">
        <v>38</v>
      </c>
      <c r="I527" t="s">
        <v>75</v>
      </c>
      <c r="J527" t="s">
        <v>40</v>
      </c>
      <c r="K527" s="37">
        <v>17</v>
      </c>
      <c r="L527" t="s">
        <v>52</v>
      </c>
      <c r="M527" s="21">
        <v>103900</v>
      </c>
      <c r="N527" s="21">
        <v>1359012</v>
      </c>
      <c r="O527" s="21">
        <v>112212</v>
      </c>
      <c r="P527">
        <v>4</v>
      </c>
      <c r="Q527" t="s">
        <v>42</v>
      </c>
      <c r="R527" s="37">
        <v>9</v>
      </c>
      <c r="S527" s="37">
        <v>4</v>
      </c>
      <c r="T527" t="s">
        <v>62</v>
      </c>
      <c r="U527" t="s">
        <v>63</v>
      </c>
      <c r="V527" t="s">
        <v>45</v>
      </c>
    </row>
    <row r="528" spans="1:22" ht="15" customHeight="1" x14ac:dyDescent="0.3">
      <c r="A528" t="s">
        <v>1000</v>
      </c>
      <c r="B528" s="20">
        <v>45811</v>
      </c>
      <c r="C528" t="s">
        <v>1001</v>
      </c>
      <c r="D528" t="s">
        <v>48</v>
      </c>
      <c r="E528" s="37">
        <v>47</v>
      </c>
      <c r="F528" t="s">
        <v>49</v>
      </c>
      <c r="G528" t="s">
        <v>50</v>
      </c>
      <c r="H528" t="s">
        <v>74</v>
      </c>
      <c r="I528" t="s">
        <v>82</v>
      </c>
      <c r="J528" t="s">
        <v>367</v>
      </c>
      <c r="K528" s="37">
        <v>0</v>
      </c>
      <c r="L528" t="s">
        <v>52</v>
      </c>
      <c r="M528" s="21">
        <v>51900</v>
      </c>
      <c r="N528" s="21">
        <v>660168</v>
      </c>
      <c r="O528" s="21">
        <v>37368</v>
      </c>
      <c r="P528">
        <v>3</v>
      </c>
      <c r="Q528" t="s">
        <v>42</v>
      </c>
      <c r="R528" s="37">
        <v>17</v>
      </c>
      <c r="S528" s="37">
        <v>16</v>
      </c>
      <c r="T528" t="s">
        <v>129</v>
      </c>
      <c r="U528" t="s">
        <v>44</v>
      </c>
      <c r="V528" t="s">
        <v>45</v>
      </c>
    </row>
    <row r="529" spans="1:22" ht="15" customHeight="1" x14ac:dyDescent="0.3">
      <c r="A529" t="s">
        <v>1002</v>
      </c>
      <c r="B529" s="20">
        <v>45754</v>
      </c>
      <c r="C529" t="s">
        <v>764</v>
      </c>
      <c r="D529" t="s">
        <v>35</v>
      </c>
      <c r="E529" s="37">
        <v>45</v>
      </c>
      <c r="F529" t="s">
        <v>97</v>
      </c>
      <c r="G529" t="s">
        <v>98</v>
      </c>
      <c r="H529" t="s">
        <v>66</v>
      </c>
      <c r="I529" t="s">
        <v>75</v>
      </c>
      <c r="J529" t="s">
        <v>67</v>
      </c>
      <c r="K529" s="37">
        <v>9</v>
      </c>
      <c r="L529" t="s">
        <v>52</v>
      </c>
      <c r="M529" s="21">
        <v>91800</v>
      </c>
      <c r="N529" s="21">
        <v>1277856</v>
      </c>
      <c r="O529" s="21">
        <v>176256</v>
      </c>
      <c r="P529">
        <v>4</v>
      </c>
      <c r="Q529" t="s">
        <v>126</v>
      </c>
      <c r="R529" s="37">
        <v>20</v>
      </c>
      <c r="S529" s="37">
        <v>9</v>
      </c>
      <c r="T529" t="s">
        <v>77</v>
      </c>
      <c r="U529" t="s">
        <v>44</v>
      </c>
      <c r="V529" t="s">
        <v>45</v>
      </c>
    </row>
    <row r="530" spans="1:22" ht="15" customHeight="1" x14ac:dyDescent="0.3">
      <c r="A530" t="s">
        <v>1003</v>
      </c>
      <c r="B530" s="20">
        <v>46012</v>
      </c>
      <c r="C530" t="s">
        <v>1004</v>
      </c>
      <c r="D530" t="s">
        <v>48</v>
      </c>
      <c r="E530" s="37">
        <v>26</v>
      </c>
      <c r="F530" t="s">
        <v>86</v>
      </c>
      <c r="G530" t="s">
        <v>87</v>
      </c>
      <c r="H530" t="s">
        <v>38</v>
      </c>
      <c r="I530" t="s">
        <v>39</v>
      </c>
      <c r="J530" t="s">
        <v>134</v>
      </c>
      <c r="K530" s="37">
        <v>7</v>
      </c>
      <c r="L530" t="s">
        <v>52</v>
      </c>
      <c r="M530" s="21">
        <v>33100</v>
      </c>
      <c r="N530" s="21">
        <v>472668</v>
      </c>
      <c r="O530" s="21">
        <v>75468</v>
      </c>
      <c r="P530">
        <v>2</v>
      </c>
      <c r="Q530" t="s">
        <v>42</v>
      </c>
      <c r="R530" s="37">
        <v>16</v>
      </c>
      <c r="S530" s="37">
        <v>36</v>
      </c>
      <c r="T530" t="s">
        <v>43</v>
      </c>
      <c r="U530" t="s">
        <v>44</v>
      </c>
      <c r="V530" t="s">
        <v>45</v>
      </c>
    </row>
    <row r="531" spans="1:22" ht="15" customHeight="1" x14ac:dyDescent="0.3">
      <c r="A531" t="s">
        <v>1005</v>
      </c>
      <c r="B531" s="20">
        <v>45949</v>
      </c>
      <c r="C531" t="s">
        <v>1006</v>
      </c>
      <c r="D531" t="s">
        <v>35</v>
      </c>
      <c r="E531" s="37">
        <v>34</v>
      </c>
      <c r="F531" t="s">
        <v>36</v>
      </c>
      <c r="G531" t="s">
        <v>37</v>
      </c>
      <c r="H531" t="s">
        <v>66</v>
      </c>
      <c r="I531" t="s">
        <v>82</v>
      </c>
      <c r="J531" t="s">
        <v>161</v>
      </c>
      <c r="K531" s="37">
        <v>26</v>
      </c>
      <c r="L531" t="s">
        <v>120</v>
      </c>
      <c r="M531" s="21">
        <v>77900</v>
      </c>
      <c r="N531" s="21">
        <v>1103064</v>
      </c>
      <c r="O531" s="21">
        <v>168264</v>
      </c>
      <c r="P531">
        <v>4</v>
      </c>
      <c r="Q531" t="s">
        <v>42</v>
      </c>
      <c r="R531" s="37">
        <v>12</v>
      </c>
      <c r="S531" s="37">
        <v>22</v>
      </c>
      <c r="T531" t="s">
        <v>129</v>
      </c>
      <c r="U531" t="s">
        <v>44</v>
      </c>
      <c r="V531" t="s">
        <v>45</v>
      </c>
    </row>
    <row r="532" spans="1:22" ht="15" customHeight="1" x14ac:dyDescent="0.3">
      <c r="A532" t="s">
        <v>1007</v>
      </c>
      <c r="B532" s="20">
        <v>45951</v>
      </c>
      <c r="C532" t="s">
        <v>1008</v>
      </c>
      <c r="D532" t="s">
        <v>48</v>
      </c>
      <c r="E532" s="37">
        <v>31</v>
      </c>
      <c r="F532" t="s">
        <v>86</v>
      </c>
      <c r="G532" t="s">
        <v>87</v>
      </c>
      <c r="H532" t="s">
        <v>38</v>
      </c>
      <c r="I532" t="s">
        <v>82</v>
      </c>
      <c r="J532" t="s">
        <v>190</v>
      </c>
      <c r="K532" s="37">
        <v>22</v>
      </c>
      <c r="L532" t="s">
        <v>52</v>
      </c>
      <c r="M532" s="21">
        <v>58400</v>
      </c>
      <c r="N532" s="21">
        <v>798912</v>
      </c>
      <c r="O532" s="21">
        <v>98112</v>
      </c>
      <c r="P532">
        <v>3</v>
      </c>
      <c r="Q532" t="s">
        <v>42</v>
      </c>
      <c r="R532" s="37">
        <v>7</v>
      </c>
      <c r="S532" s="37">
        <v>11</v>
      </c>
      <c r="T532" t="s">
        <v>129</v>
      </c>
      <c r="U532" t="s">
        <v>63</v>
      </c>
      <c r="V532" t="s">
        <v>45</v>
      </c>
    </row>
    <row r="533" spans="1:22" ht="15" customHeight="1" x14ac:dyDescent="0.3">
      <c r="A533" t="s">
        <v>1009</v>
      </c>
      <c r="B533" s="20">
        <v>45952</v>
      </c>
      <c r="C533" t="s">
        <v>1010</v>
      </c>
      <c r="D533" t="s">
        <v>35</v>
      </c>
      <c r="E533" s="37">
        <v>27</v>
      </c>
      <c r="F533" t="s">
        <v>36</v>
      </c>
      <c r="G533" t="s">
        <v>37</v>
      </c>
      <c r="H533" t="s">
        <v>66</v>
      </c>
      <c r="I533" t="s">
        <v>60</v>
      </c>
      <c r="J533" t="s">
        <v>170</v>
      </c>
      <c r="K533" s="37">
        <v>8</v>
      </c>
      <c r="L533" t="s">
        <v>52</v>
      </c>
      <c r="M533" s="21">
        <v>134100</v>
      </c>
      <c r="N533" s="21">
        <v>1705752</v>
      </c>
      <c r="O533" s="21">
        <v>96552</v>
      </c>
      <c r="P533">
        <v>3</v>
      </c>
      <c r="Q533" t="s">
        <v>42</v>
      </c>
      <c r="R533" s="37">
        <v>18</v>
      </c>
      <c r="S533" s="37">
        <v>18</v>
      </c>
      <c r="T533" t="s">
        <v>43</v>
      </c>
      <c r="U533" t="s">
        <v>63</v>
      </c>
      <c r="V533" t="s">
        <v>69</v>
      </c>
    </row>
    <row r="534" spans="1:22" ht="15" customHeight="1" x14ac:dyDescent="0.3">
      <c r="A534" t="s">
        <v>1011</v>
      </c>
      <c r="B534" s="20">
        <v>45729</v>
      </c>
      <c r="C534" t="s">
        <v>586</v>
      </c>
      <c r="D534" t="s">
        <v>35</v>
      </c>
      <c r="E534" s="37">
        <v>51</v>
      </c>
      <c r="F534" t="s">
        <v>57</v>
      </c>
      <c r="G534" t="s">
        <v>58</v>
      </c>
      <c r="H534" t="s">
        <v>66</v>
      </c>
      <c r="I534" t="s">
        <v>82</v>
      </c>
      <c r="J534" t="s">
        <v>67</v>
      </c>
      <c r="K534" s="37">
        <v>16</v>
      </c>
      <c r="L534" t="s">
        <v>52</v>
      </c>
      <c r="M534" s="21">
        <v>76800</v>
      </c>
      <c r="N534" s="21">
        <v>967680</v>
      </c>
      <c r="O534" s="21">
        <v>46080</v>
      </c>
      <c r="P534">
        <v>5</v>
      </c>
      <c r="Q534" t="s">
        <v>42</v>
      </c>
      <c r="R534" s="37">
        <v>13</v>
      </c>
      <c r="S534" s="37">
        <v>2</v>
      </c>
      <c r="T534" t="s">
        <v>68</v>
      </c>
      <c r="U534" t="s">
        <v>138</v>
      </c>
      <c r="V534" t="s">
        <v>45</v>
      </c>
    </row>
    <row r="535" spans="1:22" ht="15" customHeight="1" x14ac:dyDescent="0.3">
      <c r="A535" t="s">
        <v>1012</v>
      </c>
      <c r="B535" s="20">
        <v>45710</v>
      </c>
      <c r="C535" t="s">
        <v>616</v>
      </c>
      <c r="D535" t="s">
        <v>35</v>
      </c>
      <c r="E535" s="37">
        <v>25</v>
      </c>
      <c r="F535" t="s">
        <v>123</v>
      </c>
      <c r="G535" t="s">
        <v>124</v>
      </c>
      <c r="H535" t="s">
        <v>38</v>
      </c>
      <c r="I535" t="s">
        <v>82</v>
      </c>
      <c r="J535" t="s">
        <v>99</v>
      </c>
      <c r="K535" s="37">
        <v>6</v>
      </c>
      <c r="L535" t="s">
        <v>52</v>
      </c>
      <c r="M535" s="21">
        <v>62400</v>
      </c>
      <c r="N535" s="21">
        <v>876096</v>
      </c>
      <c r="O535" s="21">
        <v>127296</v>
      </c>
      <c r="P535">
        <v>3</v>
      </c>
      <c r="Q535" t="s">
        <v>42</v>
      </c>
      <c r="R535" s="37">
        <v>13</v>
      </c>
      <c r="S535" s="37">
        <v>11</v>
      </c>
      <c r="T535" t="s">
        <v>68</v>
      </c>
      <c r="U535" t="s">
        <v>54</v>
      </c>
      <c r="V535" t="s">
        <v>45</v>
      </c>
    </row>
    <row r="536" spans="1:22" ht="15" customHeight="1" x14ac:dyDescent="0.3">
      <c r="A536" t="s">
        <v>1013</v>
      </c>
      <c r="B536" s="20">
        <v>45926</v>
      </c>
      <c r="C536" t="s">
        <v>1014</v>
      </c>
      <c r="D536" t="s">
        <v>48</v>
      </c>
      <c r="E536" s="37">
        <v>34</v>
      </c>
      <c r="F536" t="s">
        <v>86</v>
      </c>
      <c r="G536" t="s">
        <v>87</v>
      </c>
      <c r="H536" t="s">
        <v>66</v>
      </c>
      <c r="I536" t="s">
        <v>39</v>
      </c>
      <c r="J536" t="s">
        <v>149</v>
      </c>
      <c r="K536" s="37">
        <v>6</v>
      </c>
      <c r="L536" t="s">
        <v>52</v>
      </c>
      <c r="M536" s="21">
        <v>45700</v>
      </c>
      <c r="N536" s="21">
        <v>641628</v>
      </c>
      <c r="O536" s="21">
        <v>93228</v>
      </c>
      <c r="P536">
        <v>4</v>
      </c>
      <c r="Q536" t="s">
        <v>42</v>
      </c>
      <c r="R536" s="37">
        <v>4</v>
      </c>
      <c r="S536" s="37">
        <v>7</v>
      </c>
      <c r="T536" t="s">
        <v>146</v>
      </c>
      <c r="U536" t="s">
        <v>54</v>
      </c>
      <c r="V536" t="s">
        <v>45</v>
      </c>
    </row>
    <row r="537" spans="1:22" ht="15" customHeight="1" x14ac:dyDescent="0.3">
      <c r="A537" t="s">
        <v>1015</v>
      </c>
      <c r="B537" s="20">
        <v>45793</v>
      </c>
      <c r="C537" t="s">
        <v>737</v>
      </c>
      <c r="D537" t="s">
        <v>35</v>
      </c>
      <c r="E537" s="37">
        <v>32</v>
      </c>
      <c r="F537" t="s">
        <v>80</v>
      </c>
      <c r="G537" t="s">
        <v>81</v>
      </c>
      <c r="H537" t="s">
        <v>74</v>
      </c>
      <c r="I537" t="s">
        <v>39</v>
      </c>
      <c r="J537" t="s">
        <v>76</v>
      </c>
      <c r="K537" s="37">
        <v>5</v>
      </c>
      <c r="L537" t="s">
        <v>52</v>
      </c>
      <c r="M537" s="21">
        <v>43100</v>
      </c>
      <c r="N537" s="21">
        <v>584436</v>
      </c>
      <c r="O537" s="21">
        <v>67236</v>
      </c>
      <c r="P537">
        <v>4</v>
      </c>
      <c r="Q537" t="s">
        <v>42</v>
      </c>
      <c r="R537" s="37">
        <v>7</v>
      </c>
      <c r="S537" s="37">
        <v>37</v>
      </c>
      <c r="T537" t="s">
        <v>53</v>
      </c>
      <c r="U537" t="s">
        <v>63</v>
      </c>
      <c r="V537" t="s">
        <v>45</v>
      </c>
    </row>
    <row r="538" spans="1:22" ht="15" customHeight="1" x14ac:dyDescent="0.3">
      <c r="A538" t="s">
        <v>1016</v>
      </c>
      <c r="B538" s="20">
        <v>45699</v>
      </c>
      <c r="C538" t="s">
        <v>1017</v>
      </c>
      <c r="D538" t="s">
        <v>48</v>
      </c>
      <c r="E538" s="37">
        <v>28</v>
      </c>
      <c r="F538" t="s">
        <v>36</v>
      </c>
      <c r="G538" t="s">
        <v>37</v>
      </c>
      <c r="H538" t="s">
        <v>59</v>
      </c>
      <c r="I538" t="s">
        <v>82</v>
      </c>
      <c r="J538" t="s">
        <v>141</v>
      </c>
      <c r="K538" s="37">
        <v>11</v>
      </c>
      <c r="L538" t="s">
        <v>52</v>
      </c>
      <c r="M538" s="21">
        <v>62900</v>
      </c>
      <c r="N538" s="21">
        <v>822732</v>
      </c>
      <c r="O538" s="21">
        <v>67932</v>
      </c>
      <c r="P538">
        <v>2</v>
      </c>
      <c r="Q538" t="s">
        <v>126</v>
      </c>
      <c r="R538" s="37">
        <v>8</v>
      </c>
      <c r="S538" s="37">
        <v>8</v>
      </c>
      <c r="T538" t="s">
        <v>94</v>
      </c>
      <c r="U538" t="s">
        <v>63</v>
      </c>
      <c r="V538" t="s">
        <v>45</v>
      </c>
    </row>
    <row r="539" spans="1:22" ht="15" customHeight="1" x14ac:dyDescent="0.3">
      <c r="A539" t="s">
        <v>1018</v>
      </c>
      <c r="B539" s="20">
        <v>45760</v>
      </c>
      <c r="C539" t="s">
        <v>1019</v>
      </c>
      <c r="D539" t="s">
        <v>35</v>
      </c>
      <c r="E539" s="37">
        <v>56</v>
      </c>
      <c r="F539" t="s">
        <v>72</v>
      </c>
      <c r="G539" t="s">
        <v>73</v>
      </c>
      <c r="H539" t="s">
        <v>74</v>
      </c>
      <c r="I539" t="s">
        <v>82</v>
      </c>
      <c r="J539" t="s">
        <v>152</v>
      </c>
      <c r="K539" s="37">
        <v>20</v>
      </c>
      <c r="L539" t="s">
        <v>52</v>
      </c>
      <c r="M539" s="21">
        <v>69300</v>
      </c>
      <c r="N539" s="21">
        <v>931392</v>
      </c>
      <c r="O539" s="21">
        <v>99792</v>
      </c>
      <c r="P539">
        <v>4</v>
      </c>
      <c r="Q539" t="s">
        <v>42</v>
      </c>
      <c r="R539" s="37">
        <v>20</v>
      </c>
      <c r="S539" s="37">
        <v>35</v>
      </c>
      <c r="T539" t="s">
        <v>68</v>
      </c>
      <c r="U539" t="s">
        <v>54</v>
      </c>
      <c r="V539" t="s">
        <v>69</v>
      </c>
    </row>
    <row r="540" spans="1:22" ht="15" customHeight="1" x14ac:dyDescent="0.3">
      <c r="A540" t="s">
        <v>1020</v>
      </c>
      <c r="B540" s="20">
        <v>45671</v>
      </c>
      <c r="C540" t="s">
        <v>873</v>
      </c>
      <c r="D540" t="s">
        <v>35</v>
      </c>
      <c r="E540" s="37">
        <v>57</v>
      </c>
      <c r="F540" t="s">
        <v>36</v>
      </c>
      <c r="G540" t="s">
        <v>37</v>
      </c>
      <c r="H540" t="s">
        <v>38</v>
      </c>
      <c r="I540" t="s">
        <v>82</v>
      </c>
      <c r="J540" t="s">
        <v>99</v>
      </c>
      <c r="K540" s="37">
        <v>24</v>
      </c>
      <c r="L540" t="s">
        <v>52</v>
      </c>
      <c r="M540" s="21">
        <v>58100</v>
      </c>
      <c r="N540" s="21">
        <v>732060</v>
      </c>
      <c r="O540" s="21">
        <v>34860</v>
      </c>
      <c r="P540">
        <v>3</v>
      </c>
      <c r="Q540" t="s">
        <v>42</v>
      </c>
      <c r="R540" s="37">
        <v>5</v>
      </c>
      <c r="S540" s="37">
        <v>0</v>
      </c>
      <c r="T540" t="s">
        <v>175</v>
      </c>
      <c r="U540" t="s">
        <v>44</v>
      </c>
      <c r="V540" t="s">
        <v>69</v>
      </c>
    </row>
    <row r="541" spans="1:22" ht="15" customHeight="1" x14ac:dyDescent="0.3">
      <c r="A541" t="s">
        <v>1021</v>
      </c>
      <c r="B541" s="20">
        <v>45934</v>
      </c>
      <c r="C541" t="s">
        <v>1022</v>
      </c>
      <c r="D541" t="s">
        <v>48</v>
      </c>
      <c r="E541" s="37">
        <v>35</v>
      </c>
      <c r="F541" t="s">
        <v>91</v>
      </c>
      <c r="G541" t="s">
        <v>92</v>
      </c>
      <c r="H541" t="s">
        <v>66</v>
      </c>
      <c r="I541" t="s">
        <v>75</v>
      </c>
      <c r="J541" t="s">
        <v>93</v>
      </c>
      <c r="K541" s="37">
        <v>12</v>
      </c>
      <c r="L541" t="s">
        <v>120</v>
      </c>
      <c r="M541" s="21">
        <v>103900</v>
      </c>
      <c r="N541" s="21">
        <v>1334076</v>
      </c>
      <c r="O541" s="21">
        <v>87276</v>
      </c>
      <c r="P541">
        <v>4</v>
      </c>
      <c r="Q541" t="s">
        <v>42</v>
      </c>
      <c r="R541" s="37">
        <v>9</v>
      </c>
      <c r="S541" s="37">
        <v>36</v>
      </c>
      <c r="T541" t="s">
        <v>94</v>
      </c>
      <c r="U541" t="s">
        <v>63</v>
      </c>
      <c r="V541" t="s">
        <v>69</v>
      </c>
    </row>
    <row r="542" spans="1:22" ht="15" customHeight="1" x14ac:dyDescent="0.3">
      <c r="A542" t="s">
        <v>1023</v>
      </c>
      <c r="B542" s="20">
        <v>45761</v>
      </c>
      <c r="C542" t="s">
        <v>1024</v>
      </c>
      <c r="D542" t="s">
        <v>35</v>
      </c>
      <c r="E542" s="37">
        <v>42</v>
      </c>
      <c r="F542" t="s">
        <v>97</v>
      </c>
      <c r="G542" t="s">
        <v>98</v>
      </c>
      <c r="H542" t="s">
        <v>38</v>
      </c>
      <c r="I542" t="s">
        <v>82</v>
      </c>
      <c r="J542" t="s">
        <v>110</v>
      </c>
      <c r="K542" s="37">
        <v>18</v>
      </c>
      <c r="L542" t="s">
        <v>52</v>
      </c>
      <c r="M542" s="21">
        <v>58500</v>
      </c>
      <c r="N542" s="21">
        <v>821340</v>
      </c>
      <c r="O542" s="21">
        <v>119340</v>
      </c>
      <c r="P542">
        <v>4</v>
      </c>
      <c r="Q542" t="s">
        <v>42</v>
      </c>
      <c r="R542" s="37">
        <v>6</v>
      </c>
      <c r="S542" s="37">
        <v>27</v>
      </c>
      <c r="T542" t="s">
        <v>68</v>
      </c>
      <c r="U542" t="s">
        <v>63</v>
      </c>
      <c r="V542" t="s">
        <v>45</v>
      </c>
    </row>
    <row r="543" spans="1:22" ht="15" customHeight="1" x14ac:dyDescent="0.3">
      <c r="A543" t="s">
        <v>1025</v>
      </c>
      <c r="B543" s="20">
        <v>45998</v>
      </c>
      <c r="C543" t="s">
        <v>1026</v>
      </c>
      <c r="D543" t="s">
        <v>35</v>
      </c>
      <c r="E543" s="37">
        <v>43</v>
      </c>
      <c r="F543" t="s">
        <v>80</v>
      </c>
      <c r="G543" t="s">
        <v>81</v>
      </c>
      <c r="H543" t="s">
        <v>74</v>
      </c>
      <c r="I543" t="s">
        <v>82</v>
      </c>
      <c r="J543" t="s">
        <v>367</v>
      </c>
      <c r="K543" s="37">
        <v>20</v>
      </c>
      <c r="L543" t="s">
        <v>52</v>
      </c>
      <c r="M543" s="21">
        <v>69200</v>
      </c>
      <c r="N543" s="21">
        <v>971567</v>
      </c>
      <c r="O543" s="21">
        <v>141168</v>
      </c>
      <c r="P543">
        <v>2</v>
      </c>
      <c r="Q543" t="s">
        <v>42</v>
      </c>
      <c r="R543" s="37">
        <v>17</v>
      </c>
      <c r="S543" s="37">
        <v>27</v>
      </c>
      <c r="T543" t="s">
        <v>94</v>
      </c>
      <c r="U543" t="s">
        <v>54</v>
      </c>
      <c r="V543" t="s">
        <v>45</v>
      </c>
    </row>
    <row r="544" spans="1:22" ht="15" customHeight="1" x14ac:dyDescent="0.3">
      <c r="A544" t="s">
        <v>1027</v>
      </c>
      <c r="B544" s="20">
        <v>45880</v>
      </c>
      <c r="C544" t="s">
        <v>1028</v>
      </c>
      <c r="D544" t="s">
        <v>48</v>
      </c>
      <c r="E544" s="37">
        <v>42</v>
      </c>
      <c r="F544" t="s">
        <v>86</v>
      </c>
      <c r="G544" t="s">
        <v>87</v>
      </c>
      <c r="H544" t="s">
        <v>66</v>
      </c>
      <c r="I544" t="s">
        <v>82</v>
      </c>
      <c r="J544" t="s">
        <v>67</v>
      </c>
      <c r="K544" s="37">
        <v>4</v>
      </c>
      <c r="L544" t="s">
        <v>52</v>
      </c>
      <c r="M544" s="21">
        <v>67900</v>
      </c>
      <c r="N544" s="21">
        <v>937019</v>
      </c>
      <c r="O544" s="21">
        <v>122220</v>
      </c>
      <c r="P544">
        <v>5</v>
      </c>
      <c r="Q544" t="s">
        <v>42</v>
      </c>
      <c r="R544" s="37">
        <v>4</v>
      </c>
      <c r="S544" s="37">
        <v>13</v>
      </c>
      <c r="T544" t="s">
        <v>146</v>
      </c>
      <c r="U544" t="s">
        <v>44</v>
      </c>
      <c r="V544" t="s">
        <v>45</v>
      </c>
    </row>
    <row r="545" spans="1:22" ht="15" customHeight="1" x14ac:dyDescent="0.3">
      <c r="A545" t="s">
        <v>1029</v>
      </c>
      <c r="B545" s="20">
        <v>45754</v>
      </c>
      <c r="C545" t="s">
        <v>559</v>
      </c>
      <c r="D545" t="s">
        <v>35</v>
      </c>
      <c r="E545" s="37">
        <v>53</v>
      </c>
      <c r="F545" t="s">
        <v>97</v>
      </c>
      <c r="G545" t="s">
        <v>98</v>
      </c>
      <c r="H545" t="s">
        <v>59</v>
      </c>
      <c r="I545" t="s">
        <v>39</v>
      </c>
      <c r="J545" t="s">
        <v>104</v>
      </c>
      <c r="K545" s="37">
        <v>27</v>
      </c>
      <c r="L545" t="s">
        <v>52</v>
      </c>
      <c r="M545" s="21">
        <v>36600</v>
      </c>
      <c r="N545" s="21">
        <v>496295</v>
      </c>
      <c r="O545" s="21">
        <v>57096</v>
      </c>
      <c r="P545">
        <v>3</v>
      </c>
      <c r="Q545" t="s">
        <v>42</v>
      </c>
      <c r="R545" s="37">
        <v>4</v>
      </c>
      <c r="S545" s="37">
        <v>39</v>
      </c>
      <c r="T545" t="s">
        <v>105</v>
      </c>
      <c r="U545" t="s">
        <v>63</v>
      </c>
      <c r="V545" t="s">
        <v>45</v>
      </c>
    </row>
    <row r="546" spans="1:22" ht="15" customHeight="1" x14ac:dyDescent="0.3">
      <c r="A546" t="s">
        <v>1030</v>
      </c>
      <c r="B546" s="20">
        <v>45811</v>
      </c>
      <c r="C546" t="s">
        <v>282</v>
      </c>
      <c r="D546" t="s">
        <v>35</v>
      </c>
      <c r="E546" s="37">
        <v>35</v>
      </c>
      <c r="F546" t="s">
        <v>72</v>
      </c>
      <c r="G546" t="s">
        <v>73</v>
      </c>
      <c r="H546" t="s">
        <v>74</v>
      </c>
      <c r="I546" t="s">
        <v>75</v>
      </c>
      <c r="J546" t="s">
        <v>115</v>
      </c>
      <c r="K546" s="37">
        <v>15</v>
      </c>
      <c r="L546" t="s">
        <v>120</v>
      </c>
      <c r="M546" s="21">
        <v>99000</v>
      </c>
      <c r="N546" s="21">
        <v>1283040</v>
      </c>
      <c r="O546" s="21">
        <v>95040</v>
      </c>
      <c r="P546">
        <v>5</v>
      </c>
      <c r="Q546" t="s">
        <v>42</v>
      </c>
      <c r="R546" s="37">
        <v>8</v>
      </c>
      <c r="S546" s="37">
        <v>13</v>
      </c>
      <c r="T546" t="s">
        <v>105</v>
      </c>
      <c r="U546" t="s">
        <v>44</v>
      </c>
      <c r="V546" t="s">
        <v>45</v>
      </c>
    </row>
    <row r="547" spans="1:22" ht="15" customHeight="1" x14ac:dyDescent="0.3">
      <c r="A547" t="s">
        <v>1031</v>
      </c>
      <c r="B547" s="20">
        <v>45926</v>
      </c>
      <c r="C547" t="s">
        <v>1032</v>
      </c>
      <c r="D547" t="s">
        <v>48</v>
      </c>
      <c r="E547" s="37">
        <v>41</v>
      </c>
      <c r="F547" t="s">
        <v>72</v>
      </c>
      <c r="G547" t="s">
        <v>73</v>
      </c>
      <c r="H547" t="s">
        <v>38</v>
      </c>
      <c r="I547" t="s">
        <v>39</v>
      </c>
      <c r="J547" t="s">
        <v>40</v>
      </c>
      <c r="K547" s="37">
        <v>29</v>
      </c>
      <c r="L547" t="s">
        <v>52</v>
      </c>
      <c r="M547" s="21">
        <v>42800</v>
      </c>
      <c r="N547" s="21">
        <v>549552</v>
      </c>
      <c r="O547" s="21">
        <v>35952</v>
      </c>
      <c r="P547">
        <v>3</v>
      </c>
      <c r="Q547" t="s">
        <v>126</v>
      </c>
      <c r="R547" s="37">
        <v>17</v>
      </c>
      <c r="S547" s="37">
        <v>31</v>
      </c>
      <c r="T547" t="s">
        <v>146</v>
      </c>
      <c r="U547" t="s">
        <v>44</v>
      </c>
      <c r="V547" t="s">
        <v>45</v>
      </c>
    </row>
    <row r="548" spans="1:22" ht="15" customHeight="1" x14ac:dyDescent="0.3">
      <c r="A548" t="s">
        <v>1033</v>
      </c>
      <c r="B548" s="20">
        <v>46015</v>
      </c>
      <c r="C548" t="s">
        <v>300</v>
      </c>
      <c r="D548" t="s">
        <v>35</v>
      </c>
      <c r="E548" s="37">
        <v>22</v>
      </c>
      <c r="F548" t="s">
        <v>91</v>
      </c>
      <c r="G548" t="s">
        <v>92</v>
      </c>
      <c r="H548" t="s">
        <v>74</v>
      </c>
      <c r="I548" t="s">
        <v>39</v>
      </c>
      <c r="J548" t="s">
        <v>152</v>
      </c>
      <c r="K548" s="37">
        <v>0</v>
      </c>
      <c r="L548" t="s">
        <v>120</v>
      </c>
      <c r="M548" s="21">
        <v>45700</v>
      </c>
      <c r="N548" s="21">
        <v>652596</v>
      </c>
      <c r="O548" s="21">
        <v>104196</v>
      </c>
      <c r="P548">
        <v>3</v>
      </c>
      <c r="Q548" t="s">
        <v>42</v>
      </c>
      <c r="R548" s="37">
        <v>12</v>
      </c>
      <c r="S548" s="37">
        <v>15</v>
      </c>
      <c r="T548" t="s">
        <v>94</v>
      </c>
      <c r="U548" t="s">
        <v>138</v>
      </c>
      <c r="V548" t="s">
        <v>45</v>
      </c>
    </row>
    <row r="549" spans="1:22" ht="15" customHeight="1" x14ac:dyDescent="0.3">
      <c r="A549" t="s">
        <v>1034</v>
      </c>
      <c r="B549" s="20">
        <v>45920</v>
      </c>
      <c r="C549" t="s">
        <v>409</v>
      </c>
      <c r="D549" t="s">
        <v>48</v>
      </c>
      <c r="E549" s="37">
        <v>36</v>
      </c>
      <c r="F549" t="s">
        <v>72</v>
      </c>
      <c r="G549" t="s">
        <v>73</v>
      </c>
      <c r="H549" t="s">
        <v>66</v>
      </c>
      <c r="I549" t="s">
        <v>39</v>
      </c>
      <c r="J549" t="s">
        <v>149</v>
      </c>
      <c r="K549" s="37">
        <v>17</v>
      </c>
      <c r="L549" t="s">
        <v>52</v>
      </c>
      <c r="M549" s="21">
        <v>42400</v>
      </c>
      <c r="N549" s="21">
        <v>585120</v>
      </c>
      <c r="O549" s="21">
        <v>76320</v>
      </c>
      <c r="P549">
        <v>3</v>
      </c>
      <c r="Q549" t="s">
        <v>42</v>
      </c>
      <c r="R549" s="37">
        <v>19</v>
      </c>
      <c r="S549" s="37">
        <v>10</v>
      </c>
      <c r="T549" t="s">
        <v>129</v>
      </c>
      <c r="U549" t="s">
        <v>63</v>
      </c>
      <c r="V549" t="s">
        <v>45</v>
      </c>
    </row>
    <row r="550" spans="1:22" ht="15" customHeight="1" x14ac:dyDescent="0.3">
      <c r="A550" t="s">
        <v>1035</v>
      </c>
      <c r="B550" s="20">
        <v>45691</v>
      </c>
      <c r="C550" t="s">
        <v>1036</v>
      </c>
      <c r="D550" t="s">
        <v>48</v>
      </c>
      <c r="E550" s="37">
        <v>48</v>
      </c>
      <c r="F550" t="s">
        <v>97</v>
      </c>
      <c r="G550" t="s">
        <v>98</v>
      </c>
      <c r="H550" t="s">
        <v>118</v>
      </c>
      <c r="I550" t="s">
        <v>39</v>
      </c>
      <c r="J550" t="s">
        <v>137</v>
      </c>
      <c r="K550" s="37">
        <v>27</v>
      </c>
      <c r="L550" t="s">
        <v>52</v>
      </c>
      <c r="M550" s="21">
        <v>36200</v>
      </c>
      <c r="N550" s="21">
        <v>469152</v>
      </c>
      <c r="O550" s="21">
        <v>34752</v>
      </c>
      <c r="P550">
        <v>3</v>
      </c>
      <c r="Q550" t="s">
        <v>42</v>
      </c>
      <c r="R550" s="37">
        <v>9</v>
      </c>
      <c r="S550" s="37">
        <v>1</v>
      </c>
      <c r="T550" t="s">
        <v>94</v>
      </c>
      <c r="U550" t="s">
        <v>63</v>
      </c>
      <c r="V550" t="s">
        <v>45</v>
      </c>
    </row>
    <row r="551" spans="1:22" ht="15" customHeight="1" x14ac:dyDescent="0.3">
      <c r="A551" t="s">
        <v>1037</v>
      </c>
      <c r="B551" s="20">
        <v>46008</v>
      </c>
      <c r="C551" t="s">
        <v>953</v>
      </c>
      <c r="D551" t="s">
        <v>35</v>
      </c>
      <c r="E551" s="37">
        <v>45</v>
      </c>
      <c r="F551" t="s">
        <v>123</v>
      </c>
      <c r="G551" t="s">
        <v>124</v>
      </c>
      <c r="H551" t="s">
        <v>59</v>
      </c>
      <c r="I551" t="s">
        <v>82</v>
      </c>
      <c r="J551" t="s">
        <v>104</v>
      </c>
      <c r="K551" s="37">
        <v>18</v>
      </c>
      <c r="L551" t="s">
        <v>52</v>
      </c>
      <c r="M551" s="21">
        <v>47400</v>
      </c>
      <c r="N551" s="21">
        <v>637056</v>
      </c>
      <c r="O551" s="21">
        <v>68256</v>
      </c>
      <c r="P551">
        <v>4</v>
      </c>
      <c r="Q551" t="s">
        <v>42</v>
      </c>
      <c r="R551" s="37">
        <v>6</v>
      </c>
      <c r="S551" s="37">
        <v>34</v>
      </c>
      <c r="T551" t="s">
        <v>68</v>
      </c>
      <c r="U551" t="s">
        <v>63</v>
      </c>
      <c r="V551" t="s">
        <v>45</v>
      </c>
    </row>
    <row r="552" spans="1:22" ht="15" customHeight="1" x14ac:dyDescent="0.3">
      <c r="A552" t="s">
        <v>1038</v>
      </c>
      <c r="B552" s="20">
        <v>45699</v>
      </c>
      <c r="C552" t="s">
        <v>321</v>
      </c>
      <c r="D552" t="s">
        <v>48</v>
      </c>
      <c r="E552" s="37">
        <v>53</v>
      </c>
      <c r="F552" t="s">
        <v>123</v>
      </c>
      <c r="G552" t="s">
        <v>124</v>
      </c>
      <c r="H552" t="s">
        <v>38</v>
      </c>
      <c r="I552" t="s">
        <v>60</v>
      </c>
      <c r="J552" t="s">
        <v>40</v>
      </c>
      <c r="K552" s="37">
        <v>26</v>
      </c>
      <c r="L552" t="s">
        <v>120</v>
      </c>
      <c r="M552" s="21">
        <v>126900</v>
      </c>
      <c r="N552" s="21">
        <v>1812132</v>
      </c>
      <c r="O552" s="21">
        <v>289332</v>
      </c>
      <c r="P552">
        <v>3</v>
      </c>
      <c r="Q552" t="s">
        <v>126</v>
      </c>
      <c r="R552" s="37">
        <v>10</v>
      </c>
      <c r="S552" s="37">
        <v>21</v>
      </c>
      <c r="T552" t="s">
        <v>53</v>
      </c>
      <c r="U552" t="s">
        <v>63</v>
      </c>
      <c r="V552" t="s">
        <v>45</v>
      </c>
    </row>
    <row r="553" spans="1:22" ht="15" customHeight="1" x14ac:dyDescent="0.3">
      <c r="A553" t="s">
        <v>1039</v>
      </c>
      <c r="B553" s="20">
        <v>46010</v>
      </c>
      <c r="C553" t="s">
        <v>509</v>
      </c>
      <c r="D553" t="s">
        <v>48</v>
      </c>
      <c r="E553" s="37">
        <v>51</v>
      </c>
      <c r="F553" t="s">
        <v>49</v>
      </c>
      <c r="G553" t="s">
        <v>50</v>
      </c>
      <c r="H553" t="s">
        <v>38</v>
      </c>
      <c r="I553" t="s">
        <v>39</v>
      </c>
      <c r="J553" t="s">
        <v>110</v>
      </c>
      <c r="K553" s="37">
        <v>7</v>
      </c>
      <c r="L553" t="s">
        <v>52</v>
      </c>
      <c r="M553" s="21">
        <v>30200</v>
      </c>
      <c r="N553" s="21">
        <v>420384</v>
      </c>
      <c r="O553" s="21">
        <v>57984</v>
      </c>
      <c r="P553">
        <v>3</v>
      </c>
      <c r="Q553" t="s">
        <v>42</v>
      </c>
      <c r="R553" s="37">
        <v>16</v>
      </c>
      <c r="S553" s="37">
        <v>26</v>
      </c>
      <c r="T553" t="s">
        <v>62</v>
      </c>
      <c r="U553" t="s">
        <v>54</v>
      </c>
      <c r="V553" t="s">
        <v>45</v>
      </c>
    </row>
    <row r="554" spans="1:22" ht="15" customHeight="1" x14ac:dyDescent="0.3">
      <c r="A554" t="s">
        <v>1040</v>
      </c>
      <c r="B554" s="20">
        <v>45766</v>
      </c>
      <c r="C554" t="s">
        <v>1041</v>
      </c>
      <c r="D554" t="s">
        <v>48</v>
      </c>
      <c r="E554" s="37">
        <v>51</v>
      </c>
      <c r="F554" t="s">
        <v>72</v>
      </c>
      <c r="G554" t="s">
        <v>73</v>
      </c>
      <c r="H554" t="s">
        <v>66</v>
      </c>
      <c r="I554" t="s">
        <v>51</v>
      </c>
      <c r="J554" t="s">
        <v>161</v>
      </c>
      <c r="K554" s="37">
        <v>2</v>
      </c>
      <c r="L554" t="s">
        <v>52</v>
      </c>
      <c r="M554" s="21">
        <v>265400</v>
      </c>
      <c r="N554" s="21">
        <v>3566976</v>
      </c>
      <c r="O554" s="21">
        <v>382176</v>
      </c>
      <c r="P554">
        <v>2</v>
      </c>
      <c r="Q554" t="s">
        <v>42</v>
      </c>
      <c r="R554" s="37">
        <v>6</v>
      </c>
      <c r="S554" s="37">
        <v>27</v>
      </c>
      <c r="T554" t="s">
        <v>105</v>
      </c>
      <c r="U554" t="s">
        <v>54</v>
      </c>
      <c r="V554" t="s">
        <v>45</v>
      </c>
    </row>
    <row r="555" spans="1:22" ht="15" customHeight="1" x14ac:dyDescent="0.3">
      <c r="A555" t="s">
        <v>1042</v>
      </c>
      <c r="B555" s="20">
        <v>45731</v>
      </c>
      <c r="C555" t="s">
        <v>1043</v>
      </c>
      <c r="D555" t="s">
        <v>48</v>
      </c>
      <c r="E555" s="37">
        <v>45</v>
      </c>
      <c r="F555" t="s">
        <v>123</v>
      </c>
      <c r="G555" t="s">
        <v>124</v>
      </c>
      <c r="H555" t="s">
        <v>66</v>
      </c>
      <c r="I555" t="s">
        <v>82</v>
      </c>
      <c r="J555" t="s">
        <v>93</v>
      </c>
      <c r="K555" s="37">
        <v>18</v>
      </c>
      <c r="L555" t="s">
        <v>52</v>
      </c>
      <c r="M555" s="21">
        <v>60200</v>
      </c>
      <c r="N555" s="21">
        <v>765744</v>
      </c>
      <c r="O555" s="21">
        <v>43344</v>
      </c>
      <c r="P555">
        <v>4</v>
      </c>
      <c r="Q555" t="s">
        <v>42</v>
      </c>
      <c r="R555" s="37">
        <v>14</v>
      </c>
      <c r="S555" s="37">
        <v>12</v>
      </c>
      <c r="T555" t="s">
        <v>43</v>
      </c>
      <c r="U555" t="s">
        <v>54</v>
      </c>
      <c r="V555" t="s">
        <v>45</v>
      </c>
    </row>
    <row r="556" spans="1:22" ht="15" customHeight="1" x14ac:dyDescent="0.3">
      <c r="A556" t="s">
        <v>1044</v>
      </c>
      <c r="B556" s="20">
        <v>45708</v>
      </c>
      <c r="C556" t="s">
        <v>386</v>
      </c>
      <c r="D556" t="s">
        <v>48</v>
      </c>
      <c r="E556" s="37">
        <v>27</v>
      </c>
      <c r="F556" t="s">
        <v>123</v>
      </c>
      <c r="G556" t="s">
        <v>124</v>
      </c>
      <c r="H556" t="s">
        <v>118</v>
      </c>
      <c r="I556" t="s">
        <v>39</v>
      </c>
      <c r="J556" t="s">
        <v>137</v>
      </c>
      <c r="K556" s="37">
        <v>1</v>
      </c>
      <c r="L556" t="s">
        <v>52</v>
      </c>
      <c r="M556" s="21">
        <v>29000</v>
      </c>
      <c r="N556" s="21">
        <v>417600</v>
      </c>
      <c r="O556" s="21">
        <v>69600</v>
      </c>
      <c r="P556">
        <v>4</v>
      </c>
      <c r="Q556" t="s">
        <v>42</v>
      </c>
      <c r="R556" s="37">
        <v>14</v>
      </c>
      <c r="S556" s="37">
        <v>23</v>
      </c>
      <c r="T556" t="s">
        <v>43</v>
      </c>
      <c r="U556" t="s">
        <v>63</v>
      </c>
      <c r="V556" t="s">
        <v>45</v>
      </c>
    </row>
    <row r="557" spans="1:22" ht="15" customHeight="1" x14ac:dyDescent="0.3">
      <c r="A557" t="s">
        <v>1045</v>
      </c>
      <c r="B557" s="20">
        <v>45770</v>
      </c>
      <c r="C557" t="s">
        <v>1046</v>
      </c>
      <c r="D557" t="s">
        <v>48</v>
      </c>
      <c r="E557" s="37">
        <v>53</v>
      </c>
      <c r="F557" t="s">
        <v>91</v>
      </c>
      <c r="G557" t="s">
        <v>92</v>
      </c>
      <c r="H557" t="s">
        <v>118</v>
      </c>
      <c r="I557" t="s">
        <v>51</v>
      </c>
      <c r="J557" t="s">
        <v>119</v>
      </c>
      <c r="K557" s="37">
        <v>30</v>
      </c>
      <c r="L557" t="s">
        <v>52</v>
      </c>
      <c r="M557" s="21">
        <v>188800</v>
      </c>
      <c r="N557" s="21">
        <v>2446848</v>
      </c>
      <c r="O557" s="21">
        <v>181248</v>
      </c>
      <c r="P557">
        <v>5</v>
      </c>
      <c r="Q557" t="s">
        <v>42</v>
      </c>
      <c r="R557" s="37">
        <v>12</v>
      </c>
      <c r="S557" s="37">
        <v>22</v>
      </c>
      <c r="T557" t="s">
        <v>175</v>
      </c>
      <c r="U557" t="s">
        <v>44</v>
      </c>
      <c r="V557" t="s">
        <v>45</v>
      </c>
    </row>
    <row r="558" spans="1:22" ht="15" customHeight="1" x14ac:dyDescent="0.3">
      <c r="A558" t="s">
        <v>1047</v>
      </c>
      <c r="B558" s="20">
        <v>45880</v>
      </c>
      <c r="C558" t="s">
        <v>1010</v>
      </c>
      <c r="D558" t="s">
        <v>35</v>
      </c>
      <c r="E558" s="37">
        <v>54</v>
      </c>
      <c r="F558" t="s">
        <v>108</v>
      </c>
      <c r="G558" t="s">
        <v>109</v>
      </c>
      <c r="H558" t="s">
        <v>66</v>
      </c>
      <c r="I558" t="s">
        <v>39</v>
      </c>
      <c r="J558" t="s">
        <v>170</v>
      </c>
      <c r="K558" s="37">
        <v>24</v>
      </c>
      <c r="L558" t="s">
        <v>52</v>
      </c>
      <c r="M558" s="21">
        <v>36900</v>
      </c>
      <c r="N558" s="21">
        <v>473796</v>
      </c>
      <c r="O558" s="21">
        <v>30996</v>
      </c>
      <c r="P558">
        <v>4</v>
      </c>
      <c r="Q558" t="s">
        <v>126</v>
      </c>
      <c r="R558" s="37">
        <v>7</v>
      </c>
      <c r="S558" s="37">
        <v>27</v>
      </c>
      <c r="T558" t="s">
        <v>62</v>
      </c>
      <c r="U558" t="s">
        <v>44</v>
      </c>
      <c r="V558" t="s">
        <v>45</v>
      </c>
    </row>
    <row r="559" spans="1:22" ht="15" customHeight="1" x14ac:dyDescent="0.3">
      <c r="A559" t="s">
        <v>1048</v>
      </c>
      <c r="B559" s="20">
        <v>45892</v>
      </c>
      <c r="C559" t="s">
        <v>480</v>
      </c>
      <c r="D559" t="s">
        <v>35</v>
      </c>
      <c r="E559" s="37">
        <v>35</v>
      </c>
      <c r="F559" t="s">
        <v>72</v>
      </c>
      <c r="G559" t="s">
        <v>73</v>
      </c>
      <c r="H559" t="s">
        <v>59</v>
      </c>
      <c r="I559" t="s">
        <v>75</v>
      </c>
      <c r="J559" t="s">
        <v>141</v>
      </c>
      <c r="K559" s="37">
        <v>23</v>
      </c>
      <c r="L559" t="s">
        <v>52</v>
      </c>
      <c r="M559" s="21">
        <v>80800</v>
      </c>
      <c r="N559" s="21">
        <v>1027776</v>
      </c>
      <c r="O559" s="21">
        <v>58176</v>
      </c>
      <c r="P559">
        <v>1</v>
      </c>
      <c r="Q559" t="s">
        <v>126</v>
      </c>
      <c r="R559" s="37">
        <v>19</v>
      </c>
      <c r="S559" s="37">
        <v>30</v>
      </c>
      <c r="T559" t="s">
        <v>77</v>
      </c>
      <c r="U559" t="s">
        <v>44</v>
      </c>
      <c r="V559" t="s">
        <v>69</v>
      </c>
    </row>
    <row r="560" spans="1:22" ht="15" customHeight="1" x14ac:dyDescent="0.3">
      <c r="A560" t="s">
        <v>1049</v>
      </c>
      <c r="B560" s="20">
        <v>45903</v>
      </c>
      <c r="C560" t="s">
        <v>409</v>
      </c>
      <c r="D560" t="s">
        <v>48</v>
      </c>
      <c r="E560" s="37">
        <v>35</v>
      </c>
      <c r="F560" t="s">
        <v>86</v>
      </c>
      <c r="G560" t="s">
        <v>87</v>
      </c>
      <c r="H560" t="s">
        <v>66</v>
      </c>
      <c r="I560" t="s">
        <v>60</v>
      </c>
      <c r="J560" t="s">
        <v>149</v>
      </c>
      <c r="K560" s="37">
        <v>20</v>
      </c>
      <c r="L560" t="s">
        <v>41</v>
      </c>
      <c r="M560" s="21">
        <v>141400</v>
      </c>
      <c r="N560" s="21">
        <v>1849512</v>
      </c>
      <c r="O560" s="21">
        <v>152712</v>
      </c>
      <c r="P560">
        <v>2</v>
      </c>
      <c r="Q560" t="s">
        <v>42</v>
      </c>
      <c r="R560" s="37">
        <v>20</v>
      </c>
      <c r="S560" s="37">
        <v>15</v>
      </c>
      <c r="T560" t="s">
        <v>43</v>
      </c>
      <c r="U560" t="s">
        <v>44</v>
      </c>
      <c r="V560" t="s">
        <v>45</v>
      </c>
    </row>
    <row r="561" spans="1:22" ht="15" customHeight="1" x14ac:dyDescent="0.3">
      <c r="A561" t="s">
        <v>1050</v>
      </c>
      <c r="B561" s="20">
        <v>45695</v>
      </c>
      <c r="C561" t="s">
        <v>1051</v>
      </c>
      <c r="D561" t="s">
        <v>35</v>
      </c>
      <c r="E561" s="37">
        <v>33</v>
      </c>
      <c r="F561" t="s">
        <v>80</v>
      </c>
      <c r="G561" t="s">
        <v>81</v>
      </c>
      <c r="H561" t="s">
        <v>66</v>
      </c>
      <c r="I561" t="s">
        <v>60</v>
      </c>
      <c r="J561" t="s">
        <v>161</v>
      </c>
      <c r="K561" s="37">
        <v>19</v>
      </c>
      <c r="L561" t="s">
        <v>52</v>
      </c>
      <c r="M561" s="21">
        <v>153700</v>
      </c>
      <c r="N561" s="21">
        <v>2176392</v>
      </c>
      <c r="O561" s="21">
        <v>331992</v>
      </c>
      <c r="P561">
        <v>4</v>
      </c>
      <c r="Q561" t="s">
        <v>126</v>
      </c>
      <c r="R561" s="37">
        <v>8</v>
      </c>
      <c r="S561" s="37">
        <v>8</v>
      </c>
      <c r="T561" t="s">
        <v>43</v>
      </c>
      <c r="U561" t="s">
        <v>44</v>
      </c>
      <c r="V561" t="s">
        <v>45</v>
      </c>
    </row>
    <row r="562" spans="1:22" ht="15" customHeight="1" x14ac:dyDescent="0.3">
      <c r="A562" t="s">
        <v>1052</v>
      </c>
      <c r="B562" s="20">
        <v>45696</v>
      </c>
      <c r="C562" t="s">
        <v>280</v>
      </c>
      <c r="D562" t="s">
        <v>35</v>
      </c>
      <c r="E562" s="37">
        <v>23</v>
      </c>
      <c r="F562" t="s">
        <v>80</v>
      </c>
      <c r="G562" t="s">
        <v>81</v>
      </c>
      <c r="H562" t="s">
        <v>66</v>
      </c>
      <c r="I562" t="s">
        <v>82</v>
      </c>
      <c r="J562" t="s">
        <v>161</v>
      </c>
      <c r="K562" s="37">
        <v>6</v>
      </c>
      <c r="L562" t="s">
        <v>41</v>
      </c>
      <c r="M562" s="21">
        <v>62100</v>
      </c>
      <c r="N562" s="21">
        <v>797364</v>
      </c>
      <c r="O562" s="21">
        <v>52164</v>
      </c>
      <c r="P562">
        <v>2</v>
      </c>
      <c r="Q562" t="s">
        <v>126</v>
      </c>
      <c r="R562" s="37">
        <v>8</v>
      </c>
      <c r="S562" s="37">
        <v>12</v>
      </c>
      <c r="T562" t="s">
        <v>62</v>
      </c>
      <c r="U562" t="s">
        <v>44</v>
      </c>
      <c r="V562" t="s">
        <v>45</v>
      </c>
    </row>
    <row r="563" spans="1:22" ht="15" customHeight="1" x14ac:dyDescent="0.3">
      <c r="A563" t="s">
        <v>1053</v>
      </c>
      <c r="B563" s="20">
        <v>45663</v>
      </c>
      <c r="C563" t="s">
        <v>594</v>
      </c>
      <c r="D563" t="s">
        <v>35</v>
      </c>
      <c r="E563" s="37">
        <v>42</v>
      </c>
      <c r="F563" t="s">
        <v>80</v>
      </c>
      <c r="G563" t="s">
        <v>81</v>
      </c>
      <c r="H563" t="s">
        <v>38</v>
      </c>
      <c r="I563" t="s">
        <v>75</v>
      </c>
      <c r="J563" t="s">
        <v>40</v>
      </c>
      <c r="K563" s="37">
        <v>2</v>
      </c>
      <c r="L563" t="s">
        <v>52</v>
      </c>
      <c r="M563" s="21">
        <v>101100</v>
      </c>
      <c r="N563" s="21">
        <v>1346652</v>
      </c>
      <c r="O563" s="21">
        <v>133452</v>
      </c>
      <c r="P563">
        <v>5</v>
      </c>
      <c r="Q563" t="s">
        <v>42</v>
      </c>
      <c r="R563" s="37">
        <v>15</v>
      </c>
      <c r="S563" s="37">
        <v>38</v>
      </c>
      <c r="T563" t="s">
        <v>77</v>
      </c>
      <c r="U563" t="s">
        <v>63</v>
      </c>
      <c r="V563" t="s">
        <v>45</v>
      </c>
    </row>
    <row r="564" spans="1:22" ht="15" customHeight="1" x14ac:dyDescent="0.3">
      <c r="A564" t="s">
        <v>1054</v>
      </c>
      <c r="B564" s="20">
        <v>45979</v>
      </c>
      <c r="C564" t="s">
        <v>1055</v>
      </c>
      <c r="D564" t="s">
        <v>48</v>
      </c>
      <c r="E564" s="37">
        <v>51</v>
      </c>
      <c r="F564" t="s">
        <v>57</v>
      </c>
      <c r="G564" t="s">
        <v>58</v>
      </c>
      <c r="H564" t="s">
        <v>74</v>
      </c>
      <c r="I564" t="s">
        <v>82</v>
      </c>
      <c r="J564" t="s">
        <v>115</v>
      </c>
      <c r="K564" s="37">
        <v>0</v>
      </c>
      <c r="L564" t="s">
        <v>52</v>
      </c>
      <c r="M564" s="21">
        <v>57400</v>
      </c>
      <c r="N564" s="21">
        <v>750792</v>
      </c>
      <c r="O564" s="21">
        <v>61992</v>
      </c>
      <c r="P564">
        <v>3</v>
      </c>
      <c r="Q564" t="s">
        <v>42</v>
      </c>
      <c r="R564" s="37">
        <v>7</v>
      </c>
      <c r="S564" s="37">
        <v>21</v>
      </c>
      <c r="T564" t="s">
        <v>146</v>
      </c>
      <c r="U564" t="s">
        <v>63</v>
      </c>
      <c r="V564" t="s">
        <v>45</v>
      </c>
    </row>
    <row r="565" spans="1:22" ht="15" customHeight="1" x14ac:dyDescent="0.3">
      <c r="A565" t="s">
        <v>1056</v>
      </c>
      <c r="B565" s="20">
        <v>45920</v>
      </c>
      <c r="C565" t="s">
        <v>768</v>
      </c>
      <c r="D565" t="s">
        <v>35</v>
      </c>
      <c r="E565" s="37">
        <v>42</v>
      </c>
      <c r="F565" t="s">
        <v>36</v>
      </c>
      <c r="G565" t="s">
        <v>37</v>
      </c>
      <c r="H565" t="s">
        <v>59</v>
      </c>
      <c r="I565" t="s">
        <v>75</v>
      </c>
      <c r="J565" t="s">
        <v>61</v>
      </c>
      <c r="K565" s="37">
        <v>5</v>
      </c>
      <c r="L565" t="s">
        <v>120</v>
      </c>
      <c r="M565" s="21">
        <v>69000</v>
      </c>
      <c r="N565" s="21">
        <v>910800</v>
      </c>
      <c r="O565" s="21">
        <v>82800</v>
      </c>
      <c r="P565">
        <v>3</v>
      </c>
      <c r="Q565" t="s">
        <v>126</v>
      </c>
      <c r="R565" s="37">
        <v>6</v>
      </c>
      <c r="S565" s="37">
        <v>28</v>
      </c>
      <c r="T565" t="s">
        <v>53</v>
      </c>
      <c r="U565" t="s">
        <v>63</v>
      </c>
      <c r="V565" t="s">
        <v>45</v>
      </c>
    </row>
    <row r="566" spans="1:22" ht="15" customHeight="1" x14ac:dyDescent="0.3">
      <c r="A566" t="s">
        <v>1057</v>
      </c>
      <c r="B566" s="20">
        <v>45668</v>
      </c>
      <c r="C566" t="s">
        <v>1058</v>
      </c>
      <c r="D566" t="s">
        <v>48</v>
      </c>
      <c r="E566" s="37">
        <v>23</v>
      </c>
      <c r="F566" t="s">
        <v>86</v>
      </c>
      <c r="G566" t="s">
        <v>87</v>
      </c>
      <c r="H566" t="s">
        <v>66</v>
      </c>
      <c r="I566" t="s">
        <v>60</v>
      </c>
      <c r="J566" t="s">
        <v>149</v>
      </c>
      <c r="K566" s="37">
        <v>9</v>
      </c>
      <c r="L566" t="s">
        <v>120</v>
      </c>
      <c r="M566" s="21">
        <v>166900</v>
      </c>
      <c r="N566" s="21">
        <v>2183052</v>
      </c>
      <c r="O566" s="21">
        <v>180252</v>
      </c>
      <c r="P566">
        <v>5</v>
      </c>
      <c r="Q566" t="s">
        <v>42</v>
      </c>
      <c r="R566" s="37">
        <v>10</v>
      </c>
      <c r="S566" s="37">
        <v>16</v>
      </c>
      <c r="T566" t="s">
        <v>53</v>
      </c>
      <c r="U566" t="s">
        <v>44</v>
      </c>
      <c r="V566" t="s">
        <v>45</v>
      </c>
    </row>
    <row r="567" spans="1:22" ht="15" customHeight="1" x14ac:dyDescent="0.3">
      <c r="A567" t="s">
        <v>1059</v>
      </c>
      <c r="B567" s="20">
        <v>45945</v>
      </c>
      <c r="C567" t="s">
        <v>1060</v>
      </c>
      <c r="D567" t="s">
        <v>48</v>
      </c>
      <c r="E567" s="37">
        <v>58</v>
      </c>
      <c r="F567" t="s">
        <v>91</v>
      </c>
      <c r="G567" t="s">
        <v>92</v>
      </c>
      <c r="H567" t="s">
        <v>38</v>
      </c>
      <c r="I567" t="s">
        <v>82</v>
      </c>
      <c r="J567" t="s">
        <v>110</v>
      </c>
      <c r="K567" s="37">
        <v>26</v>
      </c>
      <c r="L567" t="s">
        <v>52</v>
      </c>
      <c r="M567" s="21">
        <v>68200</v>
      </c>
      <c r="N567" s="21">
        <v>867504</v>
      </c>
      <c r="O567" s="21">
        <v>49104</v>
      </c>
      <c r="P567">
        <v>5</v>
      </c>
      <c r="Q567" t="s">
        <v>42</v>
      </c>
      <c r="R567" s="37">
        <v>19</v>
      </c>
      <c r="S567" s="37">
        <v>20</v>
      </c>
      <c r="T567" t="s">
        <v>68</v>
      </c>
      <c r="U567" t="s">
        <v>138</v>
      </c>
      <c r="V567" t="s">
        <v>45</v>
      </c>
    </row>
    <row r="568" spans="1:22" ht="15" customHeight="1" x14ac:dyDescent="0.3">
      <c r="A568" t="s">
        <v>1061</v>
      </c>
      <c r="B568" s="20">
        <v>45814</v>
      </c>
      <c r="C568" t="s">
        <v>415</v>
      </c>
      <c r="D568" t="s">
        <v>35</v>
      </c>
      <c r="E568" s="37">
        <v>54</v>
      </c>
      <c r="F568" t="s">
        <v>91</v>
      </c>
      <c r="G568" t="s">
        <v>92</v>
      </c>
      <c r="H568" t="s">
        <v>74</v>
      </c>
      <c r="I568" t="s">
        <v>39</v>
      </c>
      <c r="J568" t="s">
        <v>115</v>
      </c>
      <c r="K568" s="37">
        <v>29</v>
      </c>
      <c r="L568" t="s">
        <v>52</v>
      </c>
      <c r="M568" s="21">
        <v>33000</v>
      </c>
      <c r="N568" s="21">
        <v>455399</v>
      </c>
      <c r="O568" s="21">
        <v>59400</v>
      </c>
      <c r="P568">
        <v>5</v>
      </c>
      <c r="Q568" t="s">
        <v>42</v>
      </c>
      <c r="R568" s="37">
        <v>1</v>
      </c>
      <c r="S568" s="37">
        <v>34</v>
      </c>
      <c r="T568" t="s">
        <v>94</v>
      </c>
      <c r="U568" t="s">
        <v>54</v>
      </c>
      <c r="V568" t="s">
        <v>69</v>
      </c>
    </row>
    <row r="569" spans="1:22" ht="15" customHeight="1" x14ac:dyDescent="0.3">
      <c r="A569" t="s">
        <v>1062</v>
      </c>
      <c r="B569" s="20">
        <v>45871</v>
      </c>
      <c r="C569" t="s">
        <v>1063</v>
      </c>
      <c r="D569" t="s">
        <v>48</v>
      </c>
      <c r="E569" s="37">
        <v>51</v>
      </c>
      <c r="F569" t="s">
        <v>97</v>
      </c>
      <c r="G569" t="s">
        <v>98</v>
      </c>
      <c r="H569" t="s">
        <v>38</v>
      </c>
      <c r="I569" t="s">
        <v>75</v>
      </c>
      <c r="J569" t="s">
        <v>99</v>
      </c>
      <c r="K569" s="37">
        <v>17</v>
      </c>
      <c r="L569" t="s">
        <v>52</v>
      </c>
      <c r="M569" s="21">
        <v>72300</v>
      </c>
      <c r="N569" s="21">
        <v>997739</v>
      </c>
      <c r="O569" s="21">
        <v>130140</v>
      </c>
      <c r="P569">
        <v>3</v>
      </c>
      <c r="Q569" t="s">
        <v>42</v>
      </c>
      <c r="R569" s="37">
        <v>16</v>
      </c>
      <c r="S569" s="37">
        <v>20</v>
      </c>
      <c r="T569" t="s">
        <v>68</v>
      </c>
      <c r="U569" t="s">
        <v>44</v>
      </c>
      <c r="V569" t="s">
        <v>45</v>
      </c>
    </row>
    <row r="570" spans="1:22" ht="15" customHeight="1" x14ac:dyDescent="0.3">
      <c r="A570" t="s">
        <v>1064</v>
      </c>
      <c r="B570" s="20">
        <v>45918</v>
      </c>
      <c r="C570" t="s">
        <v>1065</v>
      </c>
      <c r="D570" t="s">
        <v>35</v>
      </c>
      <c r="E570" s="37">
        <v>35</v>
      </c>
      <c r="F570" t="s">
        <v>108</v>
      </c>
      <c r="G570" t="s">
        <v>109</v>
      </c>
      <c r="H570" t="s">
        <v>74</v>
      </c>
      <c r="I570" t="s">
        <v>51</v>
      </c>
      <c r="J570" t="s">
        <v>367</v>
      </c>
      <c r="K570" s="37">
        <v>25</v>
      </c>
      <c r="L570" t="s">
        <v>52</v>
      </c>
      <c r="M570" s="21">
        <v>220000</v>
      </c>
      <c r="N570" s="21">
        <v>2983199</v>
      </c>
      <c r="O570" s="21">
        <v>343200</v>
      </c>
      <c r="P570">
        <v>3</v>
      </c>
      <c r="Q570" t="s">
        <v>42</v>
      </c>
      <c r="R570" s="37">
        <v>12</v>
      </c>
      <c r="S570" s="37">
        <v>23</v>
      </c>
      <c r="T570" t="s">
        <v>62</v>
      </c>
      <c r="U570" t="s">
        <v>44</v>
      </c>
      <c r="V570" t="s">
        <v>69</v>
      </c>
    </row>
    <row r="571" spans="1:22" ht="15" customHeight="1" x14ac:dyDescent="0.3">
      <c r="A571" t="s">
        <v>1066</v>
      </c>
      <c r="B571" s="20">
        <v>45894</v>
      </c>
      <c r="C571" t="s">
        <v>1067</v>
      </c>
      <c r="D571" t="s">
        <v>48</v>
      </c>
      <c r="E571" s="37">
        <v>44</v>
      </c>
      <c r="F571" t="s">
        <v>97</v>
      </c>
      <c r="G571" t="s">
        <v>98</v>
      </c>
      <c r="H571" t="s">
        <v>74</v>
      </c>
      <c r="I571" t="s">
        <v>51</v>
      </c>
      <c r="J571" t="s">
        <v>152</v>
      </c>
      <c r="K571" s="37">
        <v>25</v>
      </c>
      <c r="L571" t="s">
        <v>41</v>
      </c>
      <c r="M571" s="21">
        <v>281200</v>
      </c>
      <c r="N571" s="21">
        <v>3981792</v>
      </c>
      <c r="O571" s="21">
        <v>607392</v>
      </c>
      <c r="P571">
        <v>3</v>
      </c>
      <c r="Q571" t="s">
        <v>126</v>
      </c>
      <c r="R571" s="37">
        <v>1</v>
      </c>
      <c r="S571" s="37">
        <v>3</v>
      </c>
      <c r="T571" t="s">
        <v>68</v>
      </c>
      <c r="U571" t="s">
        <v>63</v>
      </c>
      <c r="V571" t="s">
        <v>69</v>
      </c>
    </row>
    <row r="572" spans="1:22" ht="15" customHeight="1" x14ac:dyDescent="0.3">
      <c r="A572" t="s">
        <v>1068</v>
      </c>
      <c r="B572" s="20">
        <v>45915</v>
      </c>
      <c r="C572" t="s">
        <v>1069</v>
      </c>
      <c r="D572" t="s">
        <v>35</v>
      </c>
      <c r="E572" s="37">
        <v>47</v>
      </c>
      <c r="F572" t="s">
        <v>72</v>
      </c>
      <c r="G572" t="s">
        <v>73</v>
      </c>
      <c r="H572" t="s">
        <v>38</v>
      </c>
      <c r="I572" t="s">
        <v>75</v>
      </c>
      <c r="J572" t="s">
        <v>40</v>
      </c>
      <c r="K572" s="37">
        <v>6</v>
      </c>
      <c r="L572" t="s">
        <v>52</v>
      </c>
      <c r="M572" s="21">
        <v>85200</v>
      </c>
      <c r="N572" s="21">
        <v>1124640</v>
      </c>
      <c r="O572" s="21">
        <v>102240</v>
      </c>
      <c r="P572">
        <v>3</v>
      </c>
      <c r="Q572" t="s">
        <v>42</v>
      </c>
      <c r="R572" s="37">
        <v>3</v>
      </c>
      <c r="S572" s="37">
        <v>37</v>
      </c>
      <c r="T572" t="s">
        <v>146</v>
      </c>
      <c r="U572" t="s">
        <v>44</v>
      </c>
      <c r="V572" t="s">
        <v>45</v>
      </c>
    </row>
    <row r="573" spans="1:22" ht="15" customHeight="1" x14ac:dyDescent="0.3">
      <c r="A573" t="s">
        <v>1070</v>
      </c>
      <c r="B573" s="20">
        <v>45843</v>
      </c>
      <c r="C573" t="s">
        <v>542</v>
      </c>
      <c r="D573" t="s">
        <v>35</v>
      </c>
      <c r="E573" s="37">
        <v>56</v>
      </c>
      <c r="F573" t="s">
        <v>86</v>
      </c>
      <c r="G573" t="s">
        <v>87</v>
      </c>
      <c r="H573" t="s">
        <v>66</v>
      </c>
      <c r="I573" t="s">
        <v>75</v>
      </c>
      <c r="J573" t="s">
        <v>149</v>
      </c>
      <c r="K573" s="37">
        <v>1</v>
      </c>
      <c r="L573" t="s">
        <v>52</v>
      </c>
      <c r="M573" s="21">
        <v>110700</v>
      </c>
      <c r="N573" s="21">
        <v>1447956</v>
      </c>
      <c r="O573" s="21">
        <v>119556</v>
      </c>
      <c r="P573">
        <v>5</v>
      </c>
      <c r="Q573" t="s">
        <v>42</v>
      </c>
      <c r="R573" s="37">
        <v>2</v>
      </c>
      <c r="S573" s="37">
        <v>20</v>
      </c>
      <c r="T573" t="s">
        <v>146</v>
      </c>
      <c r="U573" t="s">
        <v>44</v>
      </c>
      <c r="V573" t="s">
        <v>45</v>
      </c>
    </row>
    <row r="574" spans="1:22" ht="15" customHeight="1" x14ac:dyDescent="0.3">
      <c r="A574" t="s">
        <v>1071</v>
      </c>
      <c r="B574" s="20">
        <v>45760</v>
      </c>
      <c r="C574" t="s">
        <v>1072</v>
      </c>
      <c r="D574" t="s">
        <v>35</v>
      </c>
      <c r="E574" s="37">
        <v>55</v>
      </c>
      <c r="F574" t="s">
        <v>49</v>
      </c>
      <c r="G574" t="s">
        <v>50</v>
      </c>
      <c r="H574" t="s">
        <v>66</v>
      </c>
      <c r="I574" t="s">
        <v>82</v>
      </c>
      <c r="J574" t="s">
        <v>161</v>
      </c>
      <c r="K574" s="37">
        <v>5</v>
      </c>
      <c r="L574" t="s">
        <v>52</v>
      </c>
      <c r="M574" s="21">
        <v>57700</v>
      </c>
      <c r="N574" s="21">
        <v>747792</v>
      </c>
      <c r="O574" s="21">
        <v>55392</v>
      </c>
      <c r="P574">
        <v>5</v>
      </c>
      <c r="Q574" t="s">
        <v>126</v>
      </c>
      <c r="R574" s="37">
        <v>10</v>
      </c>
      <c r="S574" s="37">
        <v>17</v>
      </c>
      <c r="T574" t="s">
        <v>77</v>
      </c>
      <c r="U574" t="s">
        <v>44</v>
      </c>
      <c r="V574" t="s">
        <v>45</v>
      </c>
    </row>
    <row r="575" spans="1:22" ht="15" customHeight="1" x14ac:dyDescent="0.3">
      <c r="A575" t="s">
        <v>1073</v>
      </c>
      <c r="B575" s="20">
        <v>45856</v>
      </c>
      <c r="C575" t="s">
        <v>294</v>
      </c>
      <c r="D575" t="s">
        <v>35</v>
      </c>
      <c r="E575" s="37">
        <v>45</v>
      </c>
      <c r="F575" t="s">
        <v>123</v>
      </c>
      <c r="G575" t="s">
        <v>124</v>
      </c>
      <c r="H575" t="s">
        <v>74</v>
      </c>
      <c r="I575" t="s">
        <v>75</v>
      </c>
      <c r="J575" t="s">
        <v>367</v>
      </c>
      <c r="K575" s="37">
        <v>22</v>
      </c>
      <c r="L575" t="s">
        <v>52</v>
      </c>
      <c r="M575" s="21">
        <v>98500</v>
      </c>
      <c r="N575" s="21">
        <v>1276560</v>
      </c>
      <c r="O575" s="21">
        <v>94560</v>
      </c>
      <c r="P575">
        <v>3</v>
      </c>
      <c r="Q575" t="s">
        <v>42</v>
      </c>
      <c r="R575" s="37">
        <v>20</v>
      </c>
      <c r="S575" s="37">
        <v>40</v>
      </c>
      <c r="T575" t="s">
        <v>43</v>
      </c>
      <c r="U575" t="s">
        <v>44</v>
      </c>
      <c r="V575" t="s">
        <v>45</v>
      </c>
    </row>
    <row r="576" spans="1:22" ht="15" customHeight="1" x14ac:dyDescent="0.3">
      <c r="A576" t="s">
        <v>1074</v>
      </c>
      <c r="B576" s="20">
        <v>45986</v>
      </c>
      <c r="C576" t="s">
        <v>1075</v>
      </c>
      <c r="D576" t="s">
        <v>35</v>
      </c>
      <c r="E576" s="37">
        <v>37</v>
      </c>
      <c r="F576" t="s">
        <v>91</v>
      </c>
      <c r="G576" t="s">
        <v>92</v>
      </c>
      <c r="H576" t="s">
        <v>59</v>
      </c>
      <c r="I576" t="s">
        <v>51</v>
      </c>
      <c r="J576" t="s">
        <v>61</v>
      </c>
      <c r="K576" s="37">
        <v>6</v>
      </c>
      <c r="L576" t="s">
        <v>52</v>
      </c>
      <c r="M576" s="21">
        <v>175300</v>
      </c>
      <c r="N576" s="21">
        <v>2461212</v>
      </c>
      <c r="O576" s="21">
        <v>357612</v>
      </c>
      <c r="P576">
        <v>5</v>
      </c>
      <c r="Q576" t="s">
        <v>42</v>
      </c>
      <c r="R576" s="37">
        <v>5</v>
      </c>
      <c r="S576" s="37">
        <v>33</v>
      </c>
      <c r="T576" t="s">
        <v>77</v>
      </c>
      <c r="U576" t="s">
        <v>44</v>
      </c>
      <c r="V576" t="s">
        <v>45</v>
      </c>
    </row>
    <row r="577" spans="1:22" ht="15" customHeight="1" x14ac:dyDescent="0.3">
      <c r="A577" t="s">
        <v>1076</v>
      </c>
      <c r="B577" s="20">
        <v>45846</v>
      </c>
      <c r="C577" t="s">
        <v>1077</v>
      </c>
      <c r="D577" t="s">
        <v>48</v>
      </c>
      <c r="E577" s="37">
        <v>46</v>
      </c>
      <c r="F577" t="s">
        <v>97</v>
      </c>
      <c r="G577" t="s">
        <v>98</v>
      </c>
      <c r="H577" t="s">
        <v>74</v>
      </c>
      <c r="I577" t="s">
        <v>51</v>
      </c>
      <c r="J577" t="s">
        <v>76</v>
      </c>
      <c r="K577" s="37">
        <v>6</v>
      </c>
      <c r="L577" t="s">
        <v>41</v>
      </c>
      <c r="M577" s="21">
        <v>266600</v>
      </c>
      <c r="N577" s="21">
        <v>3583104</v>
      </c>
      <c r="O577" s="21">
        <v>383904</v>
      </c>
      <c r="P577">
        <v>3</v>
      </c>
      <c r="Q577" t="s">
        <v>42</v>
      </c>
      <c r="R577" s="37">
        <v>8</v>
      </c>
      <c r="S577" s="37">
        <v>8</v>
      </c>
      <c r="T577" t="s">
        <v>146</v>
      </c>
      <c r="U577" t="s">
        <v>63</v>
      </c>
      <c r="V577" t="s">
        <v>45</v>
      </c>
    </row>
    <row r="578" spans="1:22" ht="15" customHeight="1" x14ac:dyDescent="0.3">
      <c r="A578" t="s">
        <v>1078</v>
      </c>
      <c r="B578" s="20">
        <v>45966</v>
      </c>
      <c r="C578" t="s">
        <v>1079</v>
      </c>
      <c r="D578" t="s">
        <v>35</v>
      </c>
      <c r="E578" s="37">
        <v>54</v>
      </c>
      <c r="F578" t="s">
        <v>57</v>
      </c>
      <c r="G578" t="s">
        <v>58</v>
      </c>
      <c r="H578" t="s">
        <v>38</v>
      </c>
      <c r="I578" t="s">
        <v>82</v>
      </c>
      <c r="J578" t="s">
        <v>99</v>
      </c>
      <c r="K578" s="37">
        <v>18</v>
      </c>
      <c r="L578" t="s">
        <v>52</v>
      </c>
      <c r="M578" s="21">
        <v>56900</v>
      </c>
      <c r="N578" s="21">
        <v>812532</v>
      </c>
      <c r="O578" s="21">
        <v>129732</v>
      </c>
      <c r="P578">
        <v>3</v>
      </c>
      <c r="Q578" t="s">
        <v>42</v>
      </c>
      <c r="R578" s="37">
        <v>15</v>
      </c>
      <c r="S578" s="37">
        <v>18</v>
      </c>
      <c r="T578" t="s">
        <v>68</v>
      </c>
      <c r="U578" t="s">
        <v>63</v>
      </c>
      <c r="V578" t="s">
        <v>45</v>
      </c>
    </row>
    <row r="579" spans="1:22" ht="15" customHeight="1" x14ac:dyDescent="0.3">
      <c r="A579" t="s">
        <v>1080</v>
      </c>
      <c r="B579" s="20">
        <v>45766</v>
      </c>
      <c r="C579" t="s">
        <v>1081</v>
      </c>
      <c r="D579" t="s">
        <v>35</v>
      </c>
      <c r="E579" s="37">
        <v>33</v>
      </c>
      <c r="F579" t="s">
        <v>49</v>
      </c>
      <c r="G579" t="s">
        <v>50</v>
      </c>
      <c r="H579" t="s">
        <v>66</v>
      </c>
      <c r="I579" t="s">
        <v>39</v>
      </c>
      <c r="J579" t="s">
        <v>170</v>
      </c>
      <c r="K579" s="37">
        <v>19</v>
      </c>
      <c r="L579" t="s">
        <v>52</v>
      </c>
      <c r="M579" s="21">
        <v>43800</v>
      </c>
      <c r="N579" s="21">
        <v>609696</v>
      </c>
      <c r="O579" s="21">
        <v>84096</v>
      </c>
      <c r="P579">
        <v>3</v>
      </c>
      <c r="Q579" t="s">
        <v>42</v>
      </c>
      <c r="R579" s="37">
        <v>1</v>
      </c>
      <c r="S579" s="37">
        <v>21</v>
      </c>
      <c r="T579" t="s">
        <v>77</v>
      </c>
      <c r="U579" t="s">
        <v>63</v>
      </c>
      <c r="V579" t="s">
        <v>45</v>
      </c>
    </row>
    <row r="580" spans="1:22" ht="15" customHeight="1" x14ac:dyDescent="0.3">
      <c r="A580" t="s">
        <v>1082</v>
      </c>
      <c r="B580" s="20">
        <v>45997</v>
      </c>
      <c r="C580" t="s">
        <v>327</v>
      </c>
      <c r="D580" t="s">
        <v>35</v>
      </c>
      <c r="E580" s="37">
        <v>30</v>
      </c>
      <c r="F580" t="s">
        <v>72</v>
      </c>
      <c r="G580" t="s">
        <v>73</v>
      </c>
      <c r="H580" t="s">
        <v>74</v>
      </c>
      <c r="I580" t="s">
        <v>60</v>
      </c>
      <c r="J580" t="s">
        <v>76</v>
      </c>
      <c r="K580" s="37">
        <v>15</v>
      </c>
      <c r="L580" t="s">
        <v>52</v>
      </c>
      <c r="M580" s="21">
        <v>133500</v>
      </c>
      <c r="N580" s="21">
        <v>1874340</v>
      </c>
      <c r="O580" s="21">
        <v>272340</v>
      </c>
      <c r="P580">
        <v>3</v>
      </c>
      <c r="Q580" t="s">
        <v>42</v>
      </c>
      <c r="R580" s="37">
        <v>14</v>
      </c>
      <c r="S580" s="37">
        <v>38</v>
      </c>
      <c r="T580" t="s">
        <v>68</v>
      </c>
      <c r="U580" t="s">
        <v>63</v>
      </c>
      <c r="V580" t="s">
        <v>45</v>
      </c>
    </row>
    <row r="581" spans="1:22" ht="15" customHeight="1" x14ac:dyDescent="0.3">
      <c r="A581" t="s">
        <v>1083</v>
      </c>
      <c r="B581" s="20">
        <v>46012</v>
      </c>
      <c r="C581" t="s">
        <v>1084</v>
      </c>
      <c r="D581" t="s">
        <v>48</v>
      </c>
      <c r="E581" s="37">
        <v>27</v>
      </c>
      <c r="F581" t="s">
        <v>97</v>
      </c>
      <c r="G581" t="s">
        <v>98</v>
      </c>
      <c r="H581" t="s">
        <v>38</v>
      </c>
      <c r="I581" t="s">
        <v>39</v>
      </c>
      <c r="J581" t="s">
        <v>134</v>
      </c>
      <c r="K581" s="37">
        <v>2</v>
      </c>
      <c r="L581" t="s">
        <v>52</v>
      </c>
      <c r="M581" s="21">
        <v>30700</v>
      </c>
      <c r="N581" s="21">
        <v>434712</v>
      </c>
      <c r="O581" s="21">
        <v>66312</v>
      </c>
      <c r="P581">
        <v>2</v>
      </c>
      <c r="Q581" t="s">
        <v>42</v>
      </c>
      <c r="R581" s="37">
        <v>5</v>
      </c>
      <c r="S581" s="37">
        <v>39</v>
      </c>
      <c r="T581" t="s">
        <v>62</v>
      </c>
      <c r="U581" t="s">
        <v>44</v>
      </c>
      <c r="V581" t="s">
        <v>45</v>
      </c>
    </row>
    <row r="582" spans="1:22" ht="15" customHeight="1" x14ac:dyDescent="0.3">
      <c r="A582" t="s">
        <v>1085</v>
      </c>
      <c r="B582" s="20">
        <v>46014</v>
      </c>
      <c r="C582" t="s">
        <v>985</v>
      </c>
      <c r="D582" t="s">
        <v>35</v>
      </c>
      <c r="E582" s="37">
        <v>58</v>
      </c>
      <c r="F582" t="s">
        <v>97</v>
      </c>
      <c r="G582" t="s">
        <v>98</v>
      </c>
      <c r="H582" t="s">
        <v>74</v>
      </c>
      <c r="I582" t="s">
        <v>39</v>
      </c>
      <c r="J582" t="s">
        <v>152</v>
      </c>
      <c r="K582" s="37">
        <v>19</v>
      </c>
      <c r="L582" t="s">
        <v>52</v>
      </c>
      <c r="M582" s="21">
        <v>36900</v>
      </c>
      <c r="N582" s="21">
        <v>509219</v>
      </c>
      <c r="O582" s="21">
        <v>66420</v>
      </c>
      <c r="P582">
        <v>4</v>
      </c>
      <c r="Q582" t="s">
        <v>42</v>
      </c>
      <c r="R582" s="37">
        <v>18</v>
      </c>
      <c r="S582" s="37">
        <v>18</v>
      </c>
      <c r="T582" t="s">
        <v>94</v>
      </c>
      <c r="U582" t="s">
        <v>63</v>
      </c>
      <c r="V582" t="s">
        <v>45</v>
      </c>
    </row>
    <row r="583" spans="1:22" ht="15" customHeight="1" x14ac:dyDescent="0.3">
      <c r="A583" t="s">
        <v>1086</v>
      </c>
      <c r="B583" s="20">
        <v>45696</v>
      </c>
      <c r="C583" t="s">
        <v>1087</v>
      </c>
      <c r="D583" t="s">
        <v>35</v>
      </c>
      <c r="E583" s="37">
        <v>49</v>
      </c>
      <c r="F583" t="s">
        <v>86</v>
      </c>
      <c r="G583" t="s">
        <v>87</v>
      </c>
      <c r="H583" t="s">
        <v>38</v>
      </c>
      <c r="I583" t="s">
        <v>51</v>
      </c>
      <c r="J583" t="s">
        <v>134</v>
      </c>
      <c r="K583" s="37">
        <v>30</v>
      </c>
      <c r="L583" t="s">
        <v>52</v>
      </c>
      <c r="M583" s="21">
        <v>182400</v>
      </c>
      <c r="N583" s="21">
        <v>2539008</v>
      </c>
      <c r="O583" s="21">
        <v>350208</v>
      </c>
      <c r="P583">
        <v>5</v>
      </c>
      <c r="Q583" t="s">
        <v>42</v>
      </c>
      <c r="R583" s="37">
        <v>15</v>
      </c>
      <c r="S583" s="37">
        <v>31</v>
      </c>
      <c r="T583" t="s">
        <v>62</v>
      </c>
      <c r="U583" t="s">
        <v>44</v>
      </c>
      <c r="V583" t="s">
        <v>69</v>
      </c>
    </row>
    <row r="584" spans="1:22" ht="15" customHeight="1" x14ac:dyDescent="0.3">
      <c r="A584" t="s">
        <v>1088</v>
      </c>
      <c r="B584" s="20">
        <v>45955</v>
      </c>
      <c r="C584" t="s">
        <v>340</v>
      </c>
      <c r="D584" t="s">
        <v>35</v>
      </c>
      <c r="E584" s="37">
        <v>49</v>
      </c>
      <c r="F584" t="s">
        <v>97</v>
      </c>
      <c r="G584" t="s">
        <v>98</v>
      </c>
      <c r="H584" t="s">
        <v>74</v>
      </c>
      <c r="I584" t="s">
        <v>82</v>
      </c>
      <c r="J584" t="s">
        <v>152</v>
      </c>
      <c r="K584" s="37">
        <v>1</v>
      </c>
      <c r="L584" t="s">
        <v>52</v>
      </c>
      <c r="M584" s="21">
        <v>63000</v>
      </c>
      <c r="N584" s="21">
        <v>831600</v>
      </c>
      <c r="O584" s="21">
        <v>75600</v>
      </c>
      <c r="P584">
        <v>2</v>
      </c>
      <c r="Q584" t="s">
        <v>42</v>
      </c>
      <c r="R584" s="37">
        <v>14</v>
      </c>
      <c r="S584" s="37">
        <v>38</v>
      </c>
      <c r="T584" t="s">
        <v>43</v>
      </c>
      <c r="U584" t="s">
        <v>63</v>
      </c>
      <c r="V584" t="s">
        <v>45</v>
      </c>
    </row>
    <row r="585" spans="1:22" ht="15" customHeight="1" x14ac:dyDescent="0.3">
      <c r="A585" t="s">
        <v>1089</v>
      </c>
      <c r="B585" s="20">
        <v>45970</v>
      </c>
      <c r="C585" t="s">
        <v>1090</v>
      </c>
      <c r="D585" t="s">
        <v>35</v>
      </c>
      <c r="E585" s="37">
        <v>57</v>
      </c>
      <c r="F585" t="s">
        <v>86</v>
      </c>
      <c r="G585" t="s">
        <v>87</v>
      </c>
      <c r="H585" t="s">
        <v>38</v>
      </c>
      <c r="I585" t="s">
        <v>82</v>
      </c>
      <c r="J585" t="s">
        <v>134</v>
      </c>
      <c r="K585" s="37">
        <v>17</v>
      </c>
      <c r="L585" t="s">
        <v>120</v>
      </c>
      <c r="M585" s="21">
        <v>54100</v>
      </c>
      <c r="N585" s="21">
        <v>714120</v>
      </c>
      <c r="O585" s="21">
        <v>64920</v>
      </c>
      <c r="P585">
        <v>5</v>
      </c>
      <c r="Q585" t="s">
        <v>42</v>
      </c>
      <c r="R585" s="37">
        <v>13</v>
      </c>
      <c r="S585" s="37">
        <v>13</v>
      </c>
      <c r="T585" t="s">
        <v>94</v>
      </c>
      <c r="U585" t="s">
        <v>63</v>
      </c>
      <c r="V585" t="s">
        <v>45</v>
      </c>
    </row>
    <row r="586" spans="1:22" ht="15" customHeight="1" x14ac:dyDescent="0.3">
      <c r="A586" t="s">
        <v>1091</v>
      </c>
      <c r="B586" s="20">
        <v>45883</v>
      </c>
      <c r="C586" t="s">
        <v>594</v>
      </c>
      <c r="D586" t="s">
        <v>35</v>
      </c>
      <c r="E586" s="37">
        <v>45</v>
      </c>
      <c r="F586" t="s">
        <v>123</v>
      </c>
      <c r="G586" t="s">
        <v>124</v>
      </c>
      <c r="H586" t="s">
        <v>118</v>
      </c>
      <c r="I586" t="s">
        <v>60</v>
      </c>
      <c r="J586" t="s">
        <v>182</v>
      </c>
      <c r="K586" s="37">
        <v>3</v>
      </c>
      <c r="L586" t="s">
        <v>52</v>
      </c>
      <c r="M586" s="21">
        <v>110300</v>
      </c>
      <c r="N586" s="21">
        <v>1508904</v>
      </c>
      <c r="O586" s="21">
        <v>185304</v>
      </c>
      <c r="P586">
        <v>1</v>
      </c>
      <c r="Q586" t="s">
        <v>42</v>
      </c>
      <c r="R586" s="37">
        <v>16</v>
      </c>
      <c r="S586" s="37">
        <v>21</v>
      </c>
      <c r="T586" t="s">
        <v>43</v>
      </c>
      <c r="U586" t="s">
        <v>44</v>
      </c>
      <c r="V586" t="s">
        <v>45</v>
      </c>
    </row>
    <row r="587" spans="1:22" ht="15" customHeight="1" x14ac:dyDescent="0.3">
      <c r="A587" t="s">
        <v>1092</v>
      </c>
      <c r="B587" s="20">
        <v>45710</v>
      </c>
      <c r="C587" t="s">
        <v>967</v>
      </c>
      <c r="D587" t="s">
        <v>48</v>
      </c>
      <c r="E587" s="37">
        <v>37</v>
      </c>
      <c r="F587" t="s">
        <v>36</v>
      </c>
      <c r="G587" t="s">
        <v>37</v>
      </c>
      <c r="H587" t="s">
        <v>59</v>
      </c>
      <c r="I587" t="s">
        <v>60</v>
      </c>
      <c r="J587" t="s">
        <v>104</v>
      </c>
      <c r="K587" s="37">
        <v>8</v>
      </c>
      <c r="L587" t="s">
        <v>120</v>
      </c>
      <c r="M587" s="21">
        <v>135900</v>
      </c>
      <c r="N587" s="21">
        <v>1891727</v>
      </c>
      <c r="O587" s="21">
        <v>260928</v>
      </c>
      <c r="P587">
        <v>3</v>
      </c>
      <c r="Q587" t="s">
        <v>42</v>
      </c>
      <c r="R587" s="37">
        <v>0</v>
      </c>
      <c r="S587" s="37">
        <v>7</v>
      </c>
      <c r="T587" t="s">
        <v>175</v>
      </c>
      <c r="U587" t="s">
        <v>54</v>
      </c>
      <c r="V587" t="s">
        <v>69</v>
      </c>
    </row>
    <row r="588" spans="1:22" ht="15" customHeight="1" x14ac:dyDescent="0.3">
      <c r="A588" t="s">
        <v>1093</v>
      </c>
      <c r="B588" s="20">
        <v>45704</v>
      </c>
      <c r="C588" t="s">
        <v>854</v>
      </c>
      <c r="D588" t="s">
        <v>48</v>
      </c>
      <c r="E588" s="37">
        <v>26</v>
      </c>
      <c r="F588" t="s">
        <v>86</v>
      </c>
      <c r="G588" t="s">
        <v>87</v>
      </c>
      <c r="H588" t="s">
        <v>66</v>
      </c>
      <c r="I588" t="s">
        <v>39</v>
      </c>
      <c r="J588" t="s">
        <v>161</v>
      </c>
      <c r="K588" s="37">
        <v>6</v>
      </c>
      <c r="L588" t="s">
        <v>52</v>
      </c>
      <c r="M588" s="21">
        <v>43800</v>
      </c>
      <c r="N588" s="21">
        <v>567648</v>
      </c>
      <c r="O588" s="21">
        <v>42048</v>
      </c>
      <c r="P588">
        <v>4</v>
      </c>
      <c r="Q588" t="s">
        <v>42</v>
      </c>
      <c r="R588" s="37">
        <v>13</v>
      </c>
      <c r="S588" s="37">
        <v>25</v>
      </c>
      <c r="T588" t="s">
        <v>129</v>
      </c>
      <c r="U588" t="s">
        <v>44</v>
      </c>
      <c r="V588" t="s">
        <v>45</v>
      </c>
    </row>
    <row r="589" spans="1:22" ht="15" customHeight="1" x14ac:dyDescent="0.3">
      <c r="A589" t="s">
        <v>1094</v>
      </c>
      <c r="B589" s="20">
        <v>45974</v>
      </c>
      <c r="C589" t="s">
        <v>1095</v>
      </c>
      <c r="D589" t="s">
        <v>48</v>
      </c>
      <c r="E589" s="37">
        <v>31</v>
      </c>
      <c r="F589" t="s">
        <v>72</v>
      </c>
      <c r="G589" t="s">
        <v>73</v>
      </c>
      <c r="H589" t="s">
        <v>38</v>
      </c>
      <c r="I589" t="s">
        <v>82</v>
      </c>
      <c r="J589" t="s">
        <v>99</v>
      </c>
      <c r="K589" s="37">
        <v>26</v>
      </c>
      <c r="L589" t="s">
        <v>52</v>
      </c>
      <c r="M589" s="21">
        <v>48300</v>
      </c>
      <c r="N589" s="21">
        <v>625968</v>
      </c>
      <c r="O589" s="21">
        <v>46368</v>
      </c>
      <c r="P589">
        <v>4</v>
      </c>
      <c r="Q589" t="s">
        <v>42</v>
      </c>
      <c r="R589" s="37">
        <v>19</v>
      </c>
      <c r="S589" s="37">
        <v>38</v>
      </c>
      <c r="T589" t="s">
        <v>77</v>
      </c>
      <c r="U589" t="s">
        <v>44</v>
      </c>
      <c r="V589" t="s">
        <v>69</v>
      </c>
    </row>
    <row r="590" spans="1:22" ht="15" customHeight="1" x14ac:dyDescent="0.3">
      <c r="A590" t="s">
        <v>1096</v>
      </c>
      <c r="B590" s="20">
        <v>45934</v>
      </c>
      <c r="C590" t="s">
        <v>1097</v>
      </c>
      <c r="D590" t="s">
        <v>35</v>
      </c>
      <c r="E590" s="37">
        <v>43</v>
      </c>
      <c r="F590" t="s">
        <v>86</v>
      </c>
      <c r="G590" t="s">
        <v>87</v>
      </c>
      <c r="H590" t="s">
        <v>66</v>
      </c>
      <c r="I590" t="s">
        <v>39</v>
      </c>
      <c r="J590" t="s">
        <v>93</v>
      </c>
      <c r="K590" s="37">
        <v>23</v>
      </c>
      <c r="L590" t="s">
        <v>52</v>
      </c>
      <c r="M590" s="21">
        <v>45800</v>
      </c>
      <c r="N590" s="21">
        <v>582576</v>
      </c>
      <c r="O590" s="21">
        <v>32976</v>
      </c>
      <c r="P590">
        <v>5</v>
      </c>
      <c r="Q590" t="s">
        <v>42</v>
      </c>
      <c r="R590" s="37">
        <v>6</v>
      </c>
      <c r="S590" s="37">
        <v>11</v>
      </c>
      <c r="T590" t="s">
        <v>94</v>
      </c>
      <c r="U590" t="s">
        <v>63</v>
      </c>
      <c r="V590" t="s">
        <v>69</v>
      </c>
    </row>
    <row r="591" spans="1:22" ht="15" customHeight="1" x14ac:dyDescent="0.3">
      <c r="A591" t="s">
        <v>1098</v>
      </c>
      <c r="B591" s="20">
        <v>45702</v>
      </c>
      <c r="C591" t="s">
        <v>612</v>
      </c>
      <c r="D591" t="s">
        <v>35</v>
      </c>
      <c r="E591" s="37">
        <v>28</v>
      </c>
      <c r="F591" t="s">
        <v>36</v>
      </c>
      <c r="G591" t="s">
        <v>37</v>
      </c>
      <c r="H591" t="s">
        <v>74</v>
      </c>
      <c r="I591" t="s">
        <v>82</v>
      </c>
      <c r="J591" t="s">
        <v>83</v>
      </c>
      <c r="K591" s="37">
        <v>16</v>
      </c>
      <c r="L591" t="s">
        <v>52</v>
      </c>
      <c r="M591" s="21">
        <v>66100</v>
      </c>
      <c r="N591" s="21">
        <v>872520</v>
      </c>
      <c r="O591" s="21">
        <v>79320</v>
      </c>
      <c r="P591">
        <v>4</v>
      </c>
      <c r="Q591" t="s">
        <v>126</v>
      </c>
      <c r="R591" s="37">
        <v>13</v>
      </c>
      <c r="S591" s="37">
        <v>13</v>
      </c>
      <c r="T591" t="s">
        <v>175</v>
      </c>
      <c r="U591" t="s">
        <v>44</v>
      </c>
      <c r="V591" t="s">
        <v>69</v>
      </c>
    </row>
    <row r="592" spans="1:22" ht="15" customHeight="1" x14ac:dyDescent="0.3">
      <c r="A592" t="s">
        <v>1099</v>
      </c>
      <c r="B592" s="20">
        <v>45981</v>
      </c>
      <c r="C592" t="s">
        <v>1100</v>
      </c>
      <c r="D592" t="s">
        <v>35</v>
      </c>
      <c r="E592" s="37">
        <v>31</v>
      </c>
      <c r="F592" t="s">
        <v>49</v>
      </c>
      <c r="G592" t="s">
        <v>50</v>
      </c>
      <c r="H592" t="s">
        <v>59</v>
      </c>
      <c r="I592" t="s">
        <v>82</v>
      </c>
      <c r="J592" t="s">
        <v>125</v>
      </c>
      <c r="K592" s="37">
        <v>26</v>
      </c>
      <c r="L592" t="s">
        <v>52</v>
      </c>
      <c r="M592" s="21">
        <v>46500</v>
      </c>
      <c r="N592" s="21">
        <v>641700</v>
      </c>
      <c r="O592" s="21">
        <v>83700</v>
      </c>
      <c r="P592">
        <v>3</v>
      </c>
      <c r="Q592" t="s">
        <v>42</v>
      </c>
      <c r="R592" s="37">
        <v>10</v>
      </c>
      <c r="S592" s="37">
        <v>24</v>
      </c>
      <c r="T592" t="s">
        <v>175</v>
      </c>
      <c r="U592" t="s">
        <v>44</v>
      </c>
      <c r="V592" t="s">
        <v>45</v>
      </c>
    </row>
    <row r="593" spans="1:22" ht="15" customHeight="1" x14ac:dyDescent="0.3">
      <c r="A593" t="s">
        <v>1101</v>
      </c>
      <c r="B593" s="20">
        <v>45683</v>
      </c>
      <c r="C593" t="s">
        <v>136</v>
      </c>
      <c r="D593" t="s">
        <v>35</v>
      </c>
      <c r="E593" s="37">
        <v>48</v>
      </c>
      <c r="F593" t="s">
        <v>123</v>
      </c>
      <c r="G593" t="s">
        <v>124</v>
      </c>
      <c r="H593" t="s">
        <v>38</v>
      </c>
      <c r="I593" t="s">
        <v>75</v>
      </c>
      <c r="J593" t="s">
        <v>190</v>
      </c>
      <c r="K593" s="37">
        <v>7</v>
      </c>
      <c r="L593" t="s">
        <v>52</v>
      </c>
      <c r="M593" s="21">
        <v>102000</v>
      </c>
      <c r="N593" s="21">
        <v>1444320</v>
      </c>
      <c r="O593" s="21">
        <v>220320</v>
      </c>
      <c r="P593">
        <v>4</v>
      </c>
      <c r="Q593" t="s">
        <v>126</v>
      </c>
      <c r="R593" s="37">
        <v>9</v>
      </c>
      <c r="S593" s="37">
        <v>9</v>
      </c>
      <c r="T593" t="s">
        <v>129</v>
      </c>
      <c r="U593" t="s">
        <v>63</v>
      </c>
      <c r="V593" t="s">
        <v>69</v>
      </c>
    </row>
    <row r="594" spans="1:22" ht="15" customHeight="1" x14ac:dyDescent="0.3">
      <c r="A594" t="s">
        <v>1102</v>
      </c>
      <c r="B594" s="20">
        <v>45813</v>
      </c>
      <c r="C594" t="s">
        <v>201</v>
      </c>
      <c r="D594" t="s">
        <v>35</v>
      </c>
      <c r="E594" s="37">
        <v>42</v>
      </c>
      <c r="F594" t="s">
        <v>108</v>
      </c>
      <c r="G594" t="s">
        <v>109</v>
      </c>
      <c r="H594" t="s">
        <v>38</v>
      </c>
      <c r="I594" t="s">
        <v>60</v>
      </c>
      <c r="J594" t="s">
        <v>99</v>
      </c>
      <c r="K594" s="37">
        <v>7</v>
      </c>
      <c r="L594" t="s">
        <v>52</v>
      </c>
      <c r="M594" s="21">
        <v>123600</v>
      </c>
      <c r="N594" s="21">
        <v>1616688</v>
      </c>
      <c r="O594" s="21">
        <v>133488</v>
      </c>
      <c r="P594">
        <v>4</v>
      </c>
      <c r="Q594" t="s">
        <v>126</v>
      </c>
      <c r="R594" s="37">
        <v>5</v>
      </c>
      <c r="S594" s="37">
        <v>25</v>
      </c>
      <c r="T594" t="s">
        <v>62</v>
      </c>
      <c r="U594" t="s">
        <v>63</v>
      </c>
      <c r="V594" t="s">
        <v>69</v>
      </c>
    </row>
    <row r="595" spans="1:22" ht="15" customHeight="1" x14ac:dyDescent="0.3">
      <c r="A595" t="s">
        <v>1103</v>
      </c>
      <c r="B595" s="20">
        <v>45774</v>
      </c>
      <c r="C595" t="s">
        <v>1104</v>
      </c>
      <c r="D595" t="s">
        <v>35</v>
      </c>
      <c r="E595" s="37">
        <v>51</v>
      </c>
      <c r="F595" t="s">
        <v>97</v>
      </c>
      <c r="G595" t="s">
        <v>98</v>
      </c>
      <c r="H595" t="s">
        <v>59</v>
      </c>
      <c r="I595" t="s">
        <v>75</v>
      </c>
      <c r="J595" t="s">
        <v>125</v>
      </c>
      <c r="K595" s="37">
        <v>12</v>
      </c>
      <c r="L595" t="s">
        <v>52</v>
      </c>
      <c r="M595" s="21">
        <v>81900</v>
      </c>
      <c r="N595" s="21">
        <v>1081080</v>
      </c>
      <c r="O595" s="21">
        <v>98280</v>
      </c>
      <c r="P595">
        <v>4</v>
      </c>
      <c r="Q595" t="s">
        <v>42</v>
      </c>
      <c r="R595" s="37">
        <v>10</v>
      </c>
      <c r="S595" s="37">
        <v>24</v>
      </c>
      <c r="T595" t="s">
        <v>43</v>
      </c>
      <c r="U595" t="s">
        <v>44</v>
      </c>
      <c r="V595" t="s">
        <v>69</v>
      </c>
    </row>
    <row r="596" spans="1:22" ht="15" customHeight="1" x14ac:dyDescent="0.3">
      <c r="A596" t="s">
        <v>1105</v>
      </c>
      <c r="B596" s="20">
        <v>46007</v>
      </c>
      <c r="C596" t="s">
        <v>1106</v>
      </c>
      <c r="D596" t="s">
        <v>48</v>
      </c>
      <c r="E596" s="37">
        <v>32</v>
      </c>
      <c r="F596" t="s">
        <v>108</v>
      </c>
      <c r="G596" t="s">
        <v>109</v>
      </c>
      <c r="H596" t="s">
        <v>38</v>
      </c>
      <c r="I596" t="s">
        <v>82</v>
      </c>
      <c r="J596" t="s">
        <v>110</v>
      </c>
      <c r="K596" s="37">
        <v>13</v>
      </c>
      <c r="L596" t="s">
        <v>52</v>
      </c>
      <c r="M596" s="21">
        <v>60900</v>
      </c>
      <c r="N596" s="21">
        <v>811188</v>
      </c>
      <c r="O596" s="21">
        <v>80388</v>
      </c>
      <c r="P596">
        <v>4</v>
      </c>
      <c r="Q596" t="s">
        <v>42</v>
      </c>
      <c r="R596" s="37">
        <v>14</v>
      </c>
      <c r="S596" s="37">
        <v>38</v>
      </c>
      <c r="T596" t="s">
        <v>94</v>
      </c>
      <c r="U596" t="s">
        <v>44</v>
      </c>
      <c r="V596" t="s">
        <v>69</v>
      </c>
    </row>
    <row r="597" spans="1:22" ht="15" customHeight="1" x14ac:dyDescent="0.3">
      <c r="A597" t="s">
        <v>1107</v>
      </c>
      <c r="B597" s="20">
        <v>45939</v>
      </c>
      <c r="C597" t="s">
        <v>1108</v>
      </c>
      <c r="D597" t="s">
        <v>48</v>
      </c>
      <c r="E597" s="37">
        <v>26</v>
      </c>
      <c r="F597" t="s">
        <v>49</v>
      </c>
      <c r="G597" t="s">
        <v>50</v>
      </c>
      <c r="H597" t="s">
        <v>66</v>
      </c>
      <c r="I597" t="s">
        <v>39</v>
      </c>
      <c r="J597" t="s">
        <v>67</v>
      </c>
      <c r="K597" s="37">
        <v>21</v>
      </c>
      <c r="L597" t="s">
        <v>120</v>
      </c>
      <c r="M597" s="21">
        <v>44400</v>
      </c>
      <c r="N597" s="21">
        <v>570096</v>
      </c>
      <c r="O597" s="21">
        <v>37296</v>
      </c>
      <c r="P597">
        <v>4</v>
      </c>
      <c r="Q597" t="s">
        <v>42</v>
      </c>
      <c r="R597" s="37">
        <v>9</v>
      </c>
      <c r="S597" s="37">
        <v>33</v>
      </c>
      <c r="T597" t="s">
        <v>53</v>
      </c>
      <c r="U597" t="s">
        <v>44</v>
      </c>
      <c r="V597" t="s">
        <v>45</v>
      </c>
    </row>
    <row r="598" spans="1:22" ht="15" customHeight="1" x14ac:dyDescent="0.3">
      <c r="A598" t="s">
        <v>1109</v>
      </c>
      <c r="B598" s="20">
        <v>45721</v>
      </c>
      <c r="C598" t="s">
        <v>1110</v>
      </c>
      <c r="D598" t="s">
        <v>48</v>
      </c>
      <c r="E598" s="37">
        <v>40</v>
      </c>
      <c r="F598" t="s">
        <v>36</v>
      </c>
      <c r="G598" t="s">
        <v>37</v>
      </c>
      <c r="H598" t="s">
        <v>38</v>
      </c>
      <c r="I598" t="s">
        <v>51</v>
      </c>
      <c r="J598" t="s">
        <v>134</v>
      </c>
      <c r="K598" s="37">
        <v>13</v>
      </c>
      <c r="L598" t="s">
        <v>52</v>
      </c>
      <c r="M598" s="21">
        <v>182100</v>
      </c>
      <c r="N598" s="21">
        <v>2491128</v>
      </c>
      <c r="O598" s="21">
        <v>305928</v>
      </c>
      <c r="P598">
        <v>3</v>
      </c>
      <c r="Q598" t="s">
        <v>42</v>
      </c>
      <c r="R598" s="37">
        <v>7</v>
      </c>
      <c r="S598" s="37">
        <v>33</v>
      </c>
      <c r="T598" t="s">
        <v>77</v>
      </c>
      <c r="U598" t="s">
        <v>63</v>
      </c>
      <c r="V598" t="s">
        <v>45</v>
      </c>
    </row>
    <row r="599" spans="1:22" ht="15" customHeight="1" x14ac:dyDescent="0.3">
      <c r="A599" t="s">
        <v>1111</v>
      </c>
      <c r="B599" s="20">
        <v>45712</v>
      </c>
      <c r="C599" t="s">
        <v>793</v>
      </c>
      <c r="D599" t="s">
        <v>35</v>
      </c>
      <c r="E599" s="37">
        <v>28</v>
      </c>
      <c r="F599" t="s">
        <v>57</v>
      </c>
      <c r="G599" t="s">
        <v>58</v>
      </c>
      <c r="H599" t="s">
        <v>118</v>
      </c>
      <c r="I599" t="s">
        <v>60</v>
      </c>
      <c r="J599" t="s">
        <v>119</v>
      </c>
      <c r="K599" s="37">
        <v>28</v>
      </c>
      <c r="L599" t="s">
        <v>52</v>
      </c>
      <c r="M599" s="21">
        <v>135800</v>
      </c>
      <c r="N599" s="21">
        <v>1906632</v>
      </c>
      <c r="O599" s="21">
        <v>277032</v>
      </c>
      <c r="P599">
        <v>3</v>
      </c>
      <c r="Q599" t="s">
        <v>42</v>
      </c>
      <c r="R599" s="37">
        <v>16</v>
      </c>
      <c r="S599" s="37">
        <v>31</v>
      </c>
      <c r="T599" t="s">
        <v>53</v>
      </c>
      <c r="U599" t="s">
        <v>138</v>
      </c>
      <c r="V599" t="s">
        <v>45</v>
      </c>
    </row>
    <row r="600" spans="1:22" ht="15" customHeight="1" x14ac:dyDescent="0.3">
      <c r="A600" t="s">
        <v>1112</v>
      </c>
      <c r="B600" s="20">
        <v>45734</v>
      </c>
      <c r="C600" t="s">
        <v>1113</v>
      </c>
      <c r="D600" t="s">
        <v>35</v>
      </c>
      <c r="E600" s="37">
        <v>49</v>
      </c>
      <c r="F600" t="s">
        <v>91</v>
      </c>
      <c r="G600" t="s">
        <v>92</v>
      </c>
      <c r="H600" t="s">
        <v>38</v>
      </c>
      <c r="I600" t="s">
        <v>39</v>
      </c>
      <c r="J600" t="s">
        <v>134</v>
      </c>
      <c r="K600" s="37">
        <v>25</v>
      </c>
      <c r="L600" t="s">
        <v>52</v>
      </c>
      <c r="M600" s="21">
        <v>43700</v>
      </c>
      <c r="N600" s="21">
        <v>629280</v>
      </c>
      <c r="O600" s="21">
        <v>104880</v>
      </c>
      <c r="P600">
        <v>4</v>
      </c>
      <c r="Q600" t="s">
        <v>42</v>
      </c>
      <c r="R600" s="37">
        <v>2</v>
      </c>
      <c r="S600" s="37">
        <v>18</v>
      </c>
      <c r="T600" t="s">
        <v>105</v>
      </c>
      <c r="U600" t="s">
        <v>44</v>
      </c>
      <c r="V600" t="s">
        <v>45</v>
      </c>
    </row>
    <row r="601" spans="1:22" ht="15" customHeight="1" x14ac:dyDescent="0.3">
      <c r="A601" t="s">
        <v>1114</v>
      </c>
      <c r="B601" s="20">
        <v>45707</v>
      </c>
      <c r="C601" t="s">
        <v>823</v>
      </c>
      <c r="D601" t="s">
        <v>35</v>
      </c>
      <c r="E601" s="37">
        <v>37</v>
      </c>
      <c r="F601" t="s">
        <v>123</v>
      </c>
      <c r="G601" t="s">
        <v>124</v>
      </c>
      <c r="H601" t="s">
        <v>66</v>
      </c>
      <c r="I601" t="s">
        <v>75</v>
      </c>
      <c r="J601" t="s">
        <v>170</v>
      </c>
      <c r="K601" s="37">
        <v>23</v>
      </c>
      <c r="L601" t="s">
        <v>52</v>
      </c>
      <c r="M601" s="21">
        <v>115100</v>
      </c>
      <c r="N601" s="21">
        <v>1464072</v>
      </c>
      <c r="O601" s="21">
        <v>82872</v>
      </c>
      <c r="P601">
        <v>5</v>
      </c>
      <c r="Q601" t="s">
        <v>126</v>
      </c>
      <c r="R601" s="37">
        <v>18</v>
      </c>
      <c r="S601" s="37">
        <v>23</v>
      </c>
      <c r="T601" t="s">
        <v>68</v>
      </c>
      <c r="U601" t="s">
        <v>44</v>
      </c>
      <c r="V601" t="s">
        <v>45</v>
      </c>
    </row>
    <row r="602" spans="1:22" ht="15" customHeight="1" x14ac:dyDescent="0.3">
      <c r="A602" t="s">
        <v>1115</v>
      </c>
      <c r="B602" s="20">
        <v>46003</v>
      </c>
      <c r="C602" t="s">
        <v>909</v>
      </c>
      <c r="D602" t="s">
        <v>48</v>
      </c>
      <c r="E602" s="37">
        <v>44</v>
      </c>
      <c r="F602" t="s">
        <v>123</v>
      </c>
      <c r="G602" t="s">
        <v>124</v>
      </c>
      <c r="H602" t="s">
        <v>59</v>
      </c>
      <c r="I602" t="s">
        <v>75</v>
      </c>
      <c r="J602" t="s">
        <v>88</v>
      </c>
      <c r="K602" s="37">
        <v>8</v>
      </c>
      <c r="L602" t="s">
        <v>52</v>
      </c>
      <c r="M602" s="21">
        <v>79400</v>
      </c>
      <c r="N602" s="21">
        <v>1124304</v>
      </c>
      <c r="O602" s="21">
        <v>171504</v>
      </c>
      <c r="P602">
        <v>3</v>
      </c>
      <c r="Q602" t="s">
        <v>126</v>
      </c>
      <c r="R602" s="37">
        <v>13</v>
      </c>
      <c r="S602" s="37">
        <v>7</v>
      </c>
      <c r="T602" t="s">
        <v>175</v>
      </c>
      <c r="U602" t="s">
        <v>54</v>
      </c>
      <c r="V602" t="s">
        <v>45</v>
      </c>
    </row>
    <row r="603" spans="1:22" ht="15" customHeight="1" x14ac:dyDescent="0.3">
      <c r="A603" t="s">
        <v>1116</v>
      </c>
      <c r="B603" s="20">
        <v>45968</v>
      </c>
      <c r="C603" t="s">
        <v>1051</v>
      </c>
      <c r="D603" t="s">
        <v>35</v>
      </c>
      <c r="E603" s="37">
        <v>35</v>
      </c>
      <c r="F603" t="s">
        <v>86</v>
      </c>
      <c r="G603" t="s">
        <v>87</v>
      </c>
      <c r="H603" t="s">
        <v>59</v>
      </c>
      <c r="I603" t="s">
        <v>82</v>
      </c>
      <c r="J603" t="s">
        <v>125</v>
      </c>
      <c r="K603" s="37">
        <v>15</v>
      </c>
      <c r="L603" t="s">
        <v>52</v>
      </c>
      <c r="M603" s="21">
        <v>47300</v>
      </c>
      <c r="N603" s="21">
        <v>669768</v>
      </c>
      <c r="O603" s="21">
        <v>102168</v>
      </c>
      <c r="P603">
        <v>3</v>
      </c>
      <c r="Q603" t="s">
        <v>42</v>
      </c>
      <c r="R603" s="37">
        <v>18</v>
      </c>
      <c r="S603" s="37">
        <v>35</v>
      </c>
      <c r="T603" t="s">
        <v>53</v>
      </c>
      <c r="U603" t="s">
        <v>44</v>
      </c>
      <c r="V603" t="s">
        <v>69</v>
      </c>
    </row>
    <row r="604" spans="1:22" ht="15" customHeight="1" x14ac:dyDescent="0.3">
      <c r="A604" t="s">
        <v>1117</v>
      </c>
      <c r="B604" s="20">
        <v>45717</v>
      </c>
      <c r="C604" t="s">
        <v>1118</v>
      </c>
      <c r="D604" t="s">
        <v>35</v>
      </c>
      <c r="E604" s="37">
        <v>57</v>
      </c>
      <c r="F604" t="s">
        <v>49</v>
      </c>
      <c r="G604" t="s">
        <v>50</v>
      </c>
      <c r="H604" t="s">
        <v>38</v>
      </c>
      <c r="I604" t="s">
        <v>82</v>
      </c>
      <c r="J604" t="s">
        <v>134</v>
      </c>
      <c r="K604" s="37">
        <v>10</v>
      </c>
      <c r="L604" t="s">
        <v>52</v>
      </c>
      <c r="M604" s="21">
        <v>61700</v>
      </c>
      <c r="N604" s="21">
        <v>784824</v>
      </c>
      <c r="O604" s="21">
        <v>44424</v>
      </c>
      <c r="P604">
        <v>5</v>
      </c>
      <c r="Q604" t="s">
        <v>42</v>
      </c>
      <c r="R604" s="37">
        <v>10</v>
      </c>
      <c r="S604" s="37">
        <v>30</v>
      </c>
      <c r="T604" t="s">
        <v>175</v>
      </c>
      <c r="U604" t="s">
        <v>44</v>
      </c>
      <c r="V604" t="s">
        <v>69</v>
      </c>
    </row>
    <row r="605" spans="1:22" ht="15" customHeight="1" x14ac:dyDescent="0.3">
      <c r="A605" t="s">
        <v>1119</v>
      </c>
      <c r="B605" s="20">
        <v>45980</v>
      </c>
      <c r="C605" t="s">
        <v>380</v>
      </c>
      <c r="D605" t="s">
        <v>35</v>
      </c>
      <c r="E605" s="37">
        <v>55</v>
      </c>
      <c r="F605" t="s">
        <v>123</v>
      </c>
      <c r="G605" t="s">
        <v>124</v>
      </c>
      <c r="H605" t="s">
        <v>59</v>
      </c>
      <c r="I605" t="s">
        <v>82</v>
      </c>
      <c r="J605" t="s">
        <v>88</v>
      </c>
      <c r="K605" s="37">
        <v>19</v>
      </c>
      <c r="L605" t="s">
        <v>41</v>
      </c>
      <c r="M605" s="21">
        <v>61700</v>
      </c>
      <c r="N605" s="21">
        <v>821844</v>
      </c>
      <c r="O605" s="21">
        <v>81444</v>
      </c>
      <c r="P605">
        <v>3</v>
      </c>
      <c r="Q605" t="s">
        <v>42</v>
      </c>
      <c r="R605" s="37">
        <v>5</v>
      </c>
      <c r="S605" s="37">
        <v>27</v>
      </c>
      <c r="T605" t="s">
        <v>129</v>
      </c>
      <c r="U605" t="s">
        <v>44</v>
      </c>
      <c r="V605" t="s">
        <v>69</v>
      </c>
    </row>
    <row r="606" spans="1:22" ht="15" customHeight="1" x14ac:dyDescent="0.3">
      <c r="A606" t="s">
        <v>1120</v>
      </c>
      <c r="B606" s="20">
        <v>45772</v>
      </c>
      <c r="C606" t="s">
        <v>688</v>
      </c>
      <c r="D606" t="s">
        <v>35</v>
      </c>
      <c r="E606" s="37">
        <v>57</v>
      </c>
      <c r="F606" t="s">
        <v>49</v>
      </c>
      <c r="G606" t="s">
        <v>50</v>
      </c>
      <c r="H606" t="s">
        <v>38</v>
      </c>
      <c r="I606" t="s">
        <v>75</v>
      </c>
      <c r="J606" t="s">
        <v>190</v>
      </c>
      <c r="K606" s="37">
        <v>11</v>
      </c>
      <c r="L606" t="s">
        <v>52</v>
      </c>
      <c r="M606" s="21">
        <v>82400</v>
      </c>
      <c r="N606" s="21">
        <v>1067904</v>
      </c>
      <c r="O606" s="21">
        <v>79104</v>
      </c>
      <c r="P606">
        <v>2</v>
      </c>
      <c r="Q606" t="s">
        <v>126</v>
      </c>
      <c r="R606" s="37">
        <v>4</v>
      </c>
      <c r="S606" s="37">
        <v>5</v>
      </c>
      <c r="T606" t="s">
        <v>146</v>
      </c>
      <c r="U606" t="s">
        <v>44</v>
      </c>
      <c r="V606" t="s">
        <v>45</v>
      </c>
    </row>
    <row r="607" spans="1:22" ht="15" customHeight="1" x14ac:dyDescent="0.3">
      <c r="A607" t="s">
        <v>1121</v>
      </c>
      <c r="B607" s="20">
        <v>45981</v>
      </c>
      <c r="C607" t="s">
        <v>1084</v>
      </c>
      <c r="D607" t="s">
        <v>48</v>
      </c>
      <c r="E607" s="37">
        <v>36</v>
      </c>
      <c r="F607" t="s">
        <v>36</v>
      </c>
      <c r="G607" t="s">
        <v>37</v>
      </c>
      <c r="H607" t="s">
        <v>38</v>
      </c>
      <c r="I607" t="s">
        <v>82</v>
      </c>
      <c r="J607" t="s">
        <v>40</v>
      </c>
      <c r="K607" s="37">
        <v>24</v>
      </c>
      <c r="L607" t="s">
        <v>52</v>
      </c>
      <c r="M607" s="21">
        <v>59700</v>
      </c>
      <c r="N607" s="21">
        <v>788040</v>
      </c>
      <c r="O607" s="21">
        <v>71640</v>
      </c>
      <c r="P607">
        <v>2</v>
      </c>
      <c r="Q607" t="s">
        <v>42</v>
      </c>
      <c r="R607" s="37">
        <v>10</v>
      </c>
      <c r="S607" s="37">
        <v>22</v>
      </c>
      <c r="T607" t="s">
        <v>105</v>
      </c>
      <c r="U607" t="s">
        <v>63</v>
      </c>
      <c r="V607" t="s">
        <v>45</v>
      </c>
    </row>
    <row r="608" spans="1:22" ht="15" customHeight="1" x14ac:dyDescent="0.3">
      <c r="A608" t="s">
        <v>1122</v>
      </c>
      <c r="B608" s="20">
        <v>45815</v>
      </c>
      <c r="C608" t="s">
        <v>1123</v>
      </c>
      <c r="D608" t="s">
        <v>35</v>
      </c>
      <c r="E608" s="37">
        <v>31</v>
      </c>
      <c r="F608" t="s">
        <v>36</v>
      </c>
      <c r="G608" t="s">
        <v>37</v>
      </c>
      <c r="H608" t="s">
        <v>118</v>
      </c>
      <c r="I608" t="s">
        <v>75</v>
      </c>
      <c r="J608" t="s">
        <v>119</v>
      </c>
      <c r="K608" s="37">
        <v>12</v>
      </c>
      <c r="L608" t="s">
        <v>120</v>
      </c>
      <c r="M608" s="21">
        <v>91300</v>
      </c>
      <c r="N608" s="21">
        <v>1161336</v>
      </c>
      <c r="O608" s="21">
        <v>65736</v>
      </c>
      <c r="P608">
        <v>5</v>
      </c>
      <c r="Q608" t="s">
        <v>42</v>
      </c>
      <c r="R608" s="37">
        <v>20</v>
      </c>
      <c r="S608" s="37">
        <v>1</v>
      </c>
      <c r="T608" t="s">
        <v>53</v>
      </c>
      <c r="U608" t="s">
        <v>44</v>
      </c>
      <c r="V608" t="s">
        <v>69</v>
      </c>
    </row>
    <row r="609" spans="1:22" ht="15" customHeight="1" x14ac:dyDescent="0.3">
      <c r="A609" t="s">
        <v>1124</v>
      </c>
      <c r="B609" s="20">
        <v>45778</v>
      </c>
      <c r="C609" t="s">
        <v>1125</v>
      </c>
      <c r="D609" t="s">
        <v>35</v>
      </c>
      <c r="E609" s="37">
        <v>40</v>
      </c>
      <c r="F609" t="s">
        <v>49</v>
      </c>
      <c r="G609" t="s">
        <v>50</v>
      </c>
      <c r="H609" t="s">
        <v>74</v>
      </c>
      <c r="I609" t="s">
        <v>75</v>
      </c>
      <c r="J609" t="s">
        <v>115</v>
      </c>
      <c r="K609" s="37">
        <v>13</v>
      </c>
      <c r="L609" t="s">
        <v>52</v>
      </c>
      <c r="M609" s="21">
        <v>87300</v>
      </c>
      <c r="N609" s="21">
        <v>1246644</v>
      </c>
      <c r="O609" s="21">
        <v>199044</v>
      </c>
      <c r="P609">
        <v>4</v>
      </c>
      <c r="Q609" t="s">
        <v>42</v>
      </c>
      <c r="R609" s="37">
        <v>19</v>
      </c>
      <c r="S609" s="37">
        <v>40</v>
      </c>
      <c r="T609" t="s">
        <v>62</v>
      </c>
      <c r="U609" t="s">
        <v>63</v>
      </c>
      <c r="V609" t="s">
        <v>69</v>
      </c>
    </row>
    <row r="610" spans="1:22" ht="15" customHeight="1" x14ac:dyDescent="0.3">
      <c r="A610" t="s">
        <v>1126</v>
      </c>
      <c r="B610" s="20">
        <v>45706</v>
      </c>
      <c r="C610" t="s">
        <v>1127</v>
      </c>
      <c r="D610" t="s">
        <v>48</v>
      </c>
      <c r="E610" s="37">
        <v>39</v>
      </c>
      <c r="F610" t="s">
        <v>108</v>
      </c>
      <c r="G610" t="s">
        <v>109</v>
      </c>
      <c r="H610" t="s">
        <v>118</v>
      </c>
      <c r="I610" t="s">
        <v>39</v>
      </c>
      <c r="J610" t="s">
        <v>119</v>
      </c>
      <c r="K610" s="37">
        <v>9</v>
      </c>
      <c r="L610" t="s">
        <v>52</v>
      </c>
      <c r="M610" s="21">
        <v>33800</v>
      </c>
      <c r="N610" s="21">
        <v>442104</v>
      </c>
      <c r="O610" s="21">
        <v>36504</v>
      </c>
      <c r="P610">
        <v>3</v>
      </c>
      <c r="Q610" t="s">
        <v>126</v>
      </c>
      <c r="R610" s="37">
        <v>6</v>
      </c>
      <c r="S610" s="37">
        <v>16</v>
      </c>
      <c r="T610" t="s">
        <v>43</v>
      </c>
      <c r="U610" t="s">
        <v>63</v>
      </c>
      <c r="V610" t="s">
        <v>69</v>
      </c>
    </row>
    <row r="611" spans="1:22" ht="15" customHeight="1" x14ac:dyDescent="0.3">
      <c r="A611" t="s">
        <v>1128</v>
      </c>
      <c r="B611" s="20">
        <v>45913</v>
      </c>
      <c r="C611" t="s">
        <v>1129</v>
      </c>
      <c r="D611" t="s">
        <v>35</v>
      </c>
      <c r="E611" s="37">
        <v>48</v>
      </c>
      <c r="F611" t="s">
        <v>108</v>
      </c>
      <c r="G611" t="s">
        <v>109</v>
      </c>
      <c r="H611" t="s">
        <v>38</v>
      </c>
      <c r="I611" t="s">
        <v>60</v>
      </c>
      <c r="J611" t="s">
        <v>40</v>
      </c>
      <c r="K611" s="37">
        <v>1</v>
      </c>
      <c r="L611" t="s">
        <v>52</v>
      </c>
      <c r="M611" s="21">
        <v>126100</v>
      </c>
      <c r="N611" s="21">
        <v>1709915</v>
      </c>
      <c r="O611" s="21">
        <v>196716</v>
      </c>
      <c r="P611">
        <v>3</v>
      </c>
      <c r="Q611" t="s">
        <v>42</v>
      </c>
      <c r="R611" s="37">
        <v>12</v>
      </c>
      <c r="S611" s="37">
        <v>26</v>
      </c>
      <c r="T611" t="s">
        <v>105</v>
      </c>
      <c r="U611" t="s">
        <v>44</v>
      </c>
      <c r="V611" t="s">
        <v>69</v>
      </c>
    </row>
    <row r="612" spans="1:22" ht="15" customHeight="1" x14ac:dyDescent="0.3">
      <c r="A612" t="s">
        <v>1130</v>
      </c>
      <c r="B612" s="20">
        <v>45771</v>
      </c>
      <c r="C612" t="s">
        <v>169</v>
      </c>
      <c r="D612" t="s">
        <v>48</v>
      </c>
      <c r="E612" s="37">
        <v>24</v>
      </c>
      <c r="F612" t="s">
        <v>86</v>
      </c>
      <c r="G612" t="s">
        <v>87</v>
      </c>
      <c r="H612" t="s">
        <v>38</v>
      </c>
      <c r="I612" t="s">
        <v>75</v>
      </c>
      <c r="J612" t="s">
        <v>99</v>
      </c>
      <c r="K612" s="37">
        <v>12</v>
      </c>
      <c r="L612" t="s">
        <v>52</v>
      </c>
      <c r="M612" s="21">
        <v>97200</v>
      </c>
      <c r="N612" s="21">
        <v>1306368</v>
      </c>
      <c r="O612" s="21">
        <v>139968</v>
      </c>
      <c r="P612">
        <v>3</v>
      </c>
      <c r="Q612" t="s">
        <v>42</v>
      </c>
      <c r="R612" s="37">
        <v>19</v>
      </c>
      <c r="S612" s="37">
        <v>7</v>
      </c>
      <c r="T612" t="s">
        <v>146</v>
      </c>
      <c r="U612" t="s">
        <v>63</v>
      </c>
      <c r="V612" t="s">
        <v>45</v>
      </c>
    </row>
    <row r="613" spans="1:22" ht="15" customHeight="1" x14ac:dyDescent="0.3">
      <c r="A613" t="s">
        <v>1131</v>
      </c>
      <c r="B613" s="20">
        <v>45801</v>
      </c>
      <c r="C613" t="s">
        <v>467</v>
      </c>
      <c r="D613" t="s">
        <v>48</v>
      </c>
      <c r="E613" s="37">
        <v>36</v>
      </c>
      <c r="F613" t="s">
        <v>80</v>
      </c>
      <c r="G613" t="s">
        <v>81</v>
      </c>
      <c r="H613" t="s">
        <v>59</v>
      </c>
      <c r="I613" t="s">
        <v>39</v>
      </c>
      <c r="J613" t="s">
        <v>141</v>
      </c>
      <c r="K613" s="37">
        <v>0</v>
      </c>
      <c r="L613" t="s">
        <v>52</v>
      </c>
      <c r="M613" s="21">
        <v>33300</v>
      </c>
      <c r="N613" s="21">
        <v>471528</v>
      </c>
      <c r="O613" s="21">
        <v>71928</v>
      </c>
      <c r="P613">
        <v>5</v>
      </c>
      <c r="Q613" t="s">
        <v>42</v>
      </c>
      <c r="R613" s="37">
        <v>11</v>
      </c>
      <c r="S613" s="37">
        <v>12</v>
      </c>
      <c r="T613" t="s">
        <v>77</v>
      </c>
      <c r="U613" t="s">
        <v>54</v>
      </c>
      <c r="V613" t="s">
        <v>45</v>
      </c>
    </row>
    <row r="614" spans="1:22" ht="15" customHeight="1" x14ac:dyDescent="0.3">
      <c r="A614" t="s">
        <v>1132</v>
      </c>
      <c r="B614" s="20">
        <v>45956</v>
      </c>
      <c r="C614" t="s">
        <v>653</v>
      </c>
      <c r="D614" t="s">
        <v>48</v>
      </c>
      <c r="E614" s="37">
        <v>42</v>
      </c>
      <c r="F614" t="s">
        <v>80</v>
      </c>
      <c r="G614" t="s">
        <v>81</v>
      </c>
      <c r="H614" t="s">
        <v>38</v>
      </c>
      <c r="I614" t="s">
        <v>75</v>
      </c>
      <c r="J614" t="s">
        <v>99</v>
      </c>
      <c r="K614" s="37">
        <v>0</v>
      </c>
      <c r="L614" t="s">
        <v>41</v>
      </c>
      <c r="M614" s="21">
        <v>89500</v>
      </c>
      <c r="N614" s="21">
        <v>1192140</v>
      </c>
      <c r="O614" s="21">
        <v>118140</v>
      </c>
      <c r="P614">
        <v>5</v>
      </c>
      <c r="Q614" t="s">
        <v>42</v>
      </c>
      <c r="R614" s="37">
        <v>9</v>
      </c>
      <c r="S614" s="37">
        <v>5</v>
      </c>
      <c r="T614" t="s">
        <v>43</v>
      </c>
      <c r="U614" t="s">
        <v>44</v>
      </c>
      <c r="V614" t="s">
        <v>69</v>
      </c>
    </row>
    <row r="615" spans="1:22" ht="15" customHeight="1" x14ac:dyDescent="0.3">
      <c r="A615" t="s">
        <v>1133</v>
      </c>
      <c r="B615" s="20">
        <v>45764</v>
      </c>
      <c r="C615" t="s">
        <v>1134</v>
      </c>
      <c r="D615" t="s">
        <v>48</v>
      </c>
      <c r="E615" s="37">
        <v>44</v>
      </c>
      <c r="F615" t="s">
        <v>108</v>
      </c>
      <c r="G615" t="s">
        <v>109</v>
      </c>
      <c r="H615" t="s">
        <v>38</v>
      </c>
      <c r="I615" t="s">
        <v>39</v>
      </c>
      <c r="J615" t="s">
        <v>99</v>
      </c>
      <c r="K615" s="37">
        <v>1</v>
      </c>
      <c r="L615" t="s">
        <v>52</v>
      </c>
      <c r="M615" s="21">
        <v>29900</v>
      </c>
      <c r="N615" s="21">
        <v>419796</v>
      </c>
      <c r="O615" s="21">
        <v>60996</v>
      </c>
      <c r="P615">
        <v>4</v>
      </c>
      <c r="Q615" t="s">
        <v>42</v>
      </c>
      <c r="R615" s="37">
        <v>10</v>
      </c>
      <c r="S615" s="37">
        <v>18</v>
      </c>
      <c r="T615" t="s">
        <v>146</v>
      </c>
      <c r="U615" t="s">
        <v>54</v>
      </c>
      <c r="V615" t="s">
        <v>69</v>
      </c>
    </row>
    <row r="616" spans="1:22" ht="15" customHeight="1" x14ac:dyDescent="0.3">
      <c r="A616" t="s">
        <v>1135</v>
      </c>
      <c r="B616" s="20">
        <v>45983</v>
      </c>
      <c r="C616" t="s">
        <v>1136</v>
      </c>
      <c r="D616" t="s">
        <v>35</v>
      </c>
      <c r="E616" s="37">
        <v>24</v>
      </c>
      <c r="F616" t="s">
        <v>49</v>
      </c>
      <c r="G616" t="s">
        <v>50</v>
      </c>
      <c r="H616" t="s">
        <v>66</v>
      </c>
      <c r="I616" t="s">
        <v>82</v>
      </c>
      <c r="J616" t="s">
        <v>161</v>
      </c>
      <c r="K616" s="37">
        <v>20</v>
      </c>
      <c r="L616" t="s">
        <v>52</v>
      </c>
      <c r="M616" s="21">
        <v>69500</v>
      </c>
      <c r="N616" s="21">
        <v>925740</v>
      </c>
      <c r="O616" s="21">
        <v>91740</v>
      </c>
      <c r="P616">
        <v>4</v>
      </c>
      <c r="Q616" t="s">
        <v>42</v>
      </c>
      <c r="R616" s="37">
        <v>11</v>
      </c>
      <c r="S616" s="37">
        <v>9</v>
      </c>
      <c r="T616" t="s">
        <v>129</v>
      </c>
      <c r="U616" t="s">
        <v>63</v>
      </c>
      <c r="V616" t="s">
        <v>69</v>
      </c>
    </row>
    <row r="617" spans="1:22" ht="15" customHeight="1" x14ac:dyDescent="0.3">
      <c r="A617" t="s">
        <v>1137</v>
      </c>
      <c r="B617" s="20">
        <v>45768</v>
      </c>
      <c r="C617" t="s">
        <v>327</v>
      </c>
      <c r="D617" t="s">
        <v>35</v>
      </c>
      <c r="E617" s="37">
        <v>35</v>
      </c>
      <c r="F617" t="s">
        <v>80</v>
      </c>
      <c r="G617" t="s">
        <v>81</v>
      </c>
      <c r="H617" t="s">
        <v>38</v>
      </c>
      <c r="I617" t="s">
        <v>75</v>
      </c>
      <c r="J617" t="s">
        <v>134</v>
      </c>
      <c r="K617" s="37">
        <v>7</v>
      </c>
      <c r="L617" t="s">
        <v>52</v>
      </c>
      <c r="M617" s="21">
        <v>80300</v>
      </c>
      <c r="N617" s="21">
        <v>1088868</v>
      </c>
      <c r="O617" s="21">
        <v>125268</v>
      </c>
      <c r="P617">
        <v>5</v>
      </c>
      <c r="Q617" t="s">
        <v>42</v>
      </c>
      <c r="R617" s="37">
        <v>11</v>
      </c>
      <c r="S617" s="37">
        <v>3</v>
      </c>
      <c r="T617" t="s">
        <v>146</v>
      </c>
      <c r="U617" t="s">
        <v>63</v>
      </c>
      <c r="V617" t="s">
        <v>69</v>
      </c>
    </row>
    <row r="618" spans="1:22" ht="15" customHeight="1" x14ac:dyDescent="0.3">
      <c r="A618" t="s">
        <v>1138</v>
      </c>
      <c r="B618" s="20">
        <v>45851</v>
      </c>
      <c r="C618" t="s">
        <v>1123</v>
      </c>
      <c r="D618" t="s">
        <v>35</v>
      </c>
      <c r="E618" s="37">
        <v>39</v>
      </c>
      <c r="F618" t="s">
        <v>123</v>
      </c>
      <c r="G618" t="s">
        <v>124</v>
      </c>
      <c r="H618" t="s">
        <v>59</v>
      </c>
      <c r="I618" t="s">
        <v>75</v>
      </c>
      <c r="J618" t="s">
        <v>104</v>
      </c>
      <c r="K618" s="37">
        <v>21</v>
      </c>
      <c r="L618" t="s">
        <v>120</v>
      </c>
      <c r="M618" s="21">
        <v>66700</v>
      </c>
      <c r="N618" s="21">
        <v>896448</v>
      </c>
      <c r="O618" s="21">
        <v>96048</v>
      </c>
      <c r="P618">
        <v>3</v>
      </c>
      <c r="Q618" t="s">
        <v>126</v>
      </c>
      <c r="R618" s="37">
        <v>15</v>
      </c>
      <c r="S618" s="37">
        <v>11</v>
      </c>
      <c r="T618" t="s">
        <v>53</v>
      </c>
      <c r="U618" t="s">
        <v>44</v>
      </c>
      <c r="V618" t="s">
        <v>69</v>
      </c>
    </row>
    <row r="619" spans="1:22" ht="15" customHeight="1" x14ac:dyDescent="0.3">
      <c r="A619" t="s">
        <v>1139</v>
      </c>
      <c r="B619" s="20">
        <v>45957</v>
      </c>
      <c r="C619" t="s">
        <v>981</v>
      </c>
      <c r="D619" t="s">
        <v>35</v>
      </c>
      <c r="E619" s="37">
        <v>42</v>
      </c>
      <c r="F619" t="s">
        <v>86</v>
      </c>
      <c r="G619" t="s">
        <v>87</v>
      </c>
      <c r="H619" t="s">
        <v>66</v>
      </c>
      <c r="I619" t="s">
        <v>82</v>
      </c>
      <c r="J619" t="s">
        <v>161</v>
      </c>
      <c r="K619" s="37">
        <v>28</v>
      </c>
      <c r="L619" t="s">
        <v>52</v>
      </c>
      <c r="M619" s="21">
        <v>73100</v>
      </c>
      <c r="N619" s="21">
        <v>1043868</v>
      </c>
      <c r="O619" s="21">
        <v>166668</v>
      </c>
      <c r="P619">
        <v>3</v>
      </c>
      <c r="Q619" t="s">
        <v>42</v>
      </c>
      <c r="R619" s="37">
        <v>12</v>
      </c>
      <c r="S619" s="37">
        <v>7</v>
      </c>
      <c r="T619" t="s">
        <v>105</v>
      </c>
      <c r="U619" t="s">
        <v>44</v>
      </c>
      <c r="V619" t="s">
        <v>45</v>
      </c>
    </row>
    <row r="620" spans="1:22" ht="15" customHeight="1" x14ac:dyDescent="0.3">
      <c r="A620" t="s">
        <v>1140</v>
      </c>
      <c r="B620" s="20">
        <v>45814</v>
      </c>
      <c r="C620" t="s">
        <v>1141</v>
      </c>
      <c r="D620" t="s">
        <v>48</v>
      </c>
      <c r="E620" s="37">
        <v>24</v>
      </c>
      <c r="F620" t="s">
        <v>80</v>
      </c>
      <c r="G620" t="s">
        <v>81</v>
      </c>
      <c r="H620" t="s">
        <v>66</v>
      </c>
      <c r="I620" t="s">
        <v>82</v>
      </c>
      <c r="J620" t="s">
        <v>170</v>
      </c>
      <c r="K620" s="37">
        <v>21</v>
      </c>
      <c r="L620" t="s">
        <v>52</v>
      </c>
      <c r="M620" s="21">
        <v>60800</v>
      </c>
      <c r="N620" s="21">
        <v>787968</v>
      </c>
      <c r="O620" s="21">
        <v>58368</v>
      </c>
      <c r="P620">
        <v>5</v>
      </c>
      <c r="Q620" t="s">
        <v>42</v>
      </c>
      <c r="R620" s="37">
        <v>18</v>
      </c>
      <c r="S620" s="37">
        <v>27</v>
      </c>
      <c r="T620" t="s">
        <v>43</v>
      </c>
      <c r="U620" t="s">
        <v>63</v>
      </c>
      <c r="V620" t="s">
        <v>69</v>
      </c>
    </row>
    <row r="621" spans="1:22" ht="15" customHeight="1" x14ac:dyDescent="0.3">
      <c r="A621" t="s">
        <v>1142</v>
      </c>
      <c r="B621" s="20">
        <v>45799</v>
      </c>
      <c r="C621" t="s">
        <v>229</v>
      </c>
      <c r="D621" t="s">
        <v>35</v>
      </c>
      <c r="E621" s="37">
        <v>38</v>
      </c>
      <c r="F621" t="s">
        <v>72</v>
      </c>
      <c r="G621" t="s">
        <v>73</v>
      </c>
      <c r="H621" t="s">
        <v>38</v>
      </c>
      <c r="I621" t="s">
        <v>60</v>
      </c>
      <c r="J621" t="s">
        <v>190</v>
      </c>
      <c r="K621" s="37">
        <v>0</v>
      </c>
      <c r="L621" t="s">
        <v>52</v>
      </c>
      <c r="M621" s="21">
        <v>153600</v>
      </c>
      <c r="N621" s="21">
        <v>2045952</v>
      </c>
      <c r="O621" s="21">
        <v>202752</v>
      </c>
      <c r="P621">
        <v>2</v>
      </c>
      <c r="Q621" t="s">
        <v>42</v>
      </c>
      <c r="R621" s="37">
        <v>18</v>
      </c>
      <c r="S621" s="37">
        <v>29</v>
      </c>
      <c r="T621" t="s">
        <v>53</v>
      </c>
      <c r="U621" t="s">
        <v>54</v>
      </c>
      <c r="V621" t="s">
        <v>45</v>
      </c>
    </row>
    <row r="622" spans="1:22" ht="15" customHeight="1" x14ac:dyDescent="0.3">
      <c r="A622" t="s">
        <v>1143</v>
      </c>
      <c r="B622" s="20">
        <v>45937</v>
      </c>
      <c r="C622" t="s">
        <v>897</v>
      </c>
      <c r="D622" t="s">
        <v>48</v>
      </c>
      <c r="E622" s="37">
        <v>34</v>
      </c>
      <c r="F622" t="s">
        <v>49</v>
      </c>
      <c r="G622" t="s">
        <v>50</v>
      </c>
      <c r="H622" t="s">
        <v>74</v>
      </c>
      <c r="I622" t="s">
        <v>75</v>
      </c>
      <c r="J622" t="s">
        <v>83</v>
      </c>
      <c r="K622" s="37">
        <v>12</v>
      </c>
      <c r="L622" t="s">
        <v>52</v>
      </c>
      <c r="M622" s="21">
        <v>79600</v>
      </c>
      <c r="N622" s="21">
        <v>1041168</v>
      </c>
      <c r="O622" s="21">
        <v>85968</v>
      </c>
      <c r="P622">
        <v>4</v>
      </c>
      <c r="Q622" t="s">
        <v>126</v>
      </c>
      <c r="R622" s="37">
        <v>17</v>
      </c>
      <c r="S622" s="37">
        <v>19</v>
      </c>
      <c r="T622" t="s">
        <v>43</v>
      </c>
      <c r="U622" t="s">
        <v>63</v>
      </c>
      <c r="V622" t="s">
        <v>69</v>
      </c>
    </row>
    <row r="623" spans="1:22" ht="15" customHeight="1" x14ac:dyDescent="0.3">
      <c r="A623" t="s">
        <v>1144</v>
      </c>
      <c r="B623" s="20">
        <v>45887</v>
      </c>
      <c r="C623" t="s">
        <v>156</v>
      </c>
      <c r="D623" t="s">
        <v>48</v>
      </c>
      <c r="E623" s="37">
        <v>43</v>
      </c>
      <c r="F623" t="s">
        <v>80</v>
      </c>
      <c r="G623" t="s">
        <v>81</v>
      </c>
      <c r="H623" t="s">
        <v>59</v>
      </c>
      <c r="I623" t="s">
        <v>39</v>
      </c>
      <c r="J623" t="s">
        <v>88</v>
      </c>
      <c r="K623" s="37">
        <v>10</v>
      </c>
      <c r="L623" t="s">
        <v>41</v>
      </c>
      <c r="M623" s="21">
        <v>30600</v>
      </c>
      <c r="N623" s="21">
        <v>403920</v>
      </c>
      <c r="O623" s="21">
        <v>36720</v>
      </c>
      <c r="P623">
        <v>5</v>
      </c>
      <c r="Q623" t="s">
        <v>42</v>
      </c>
      <c r="R623" s="37">
        <v>0</v>
      </c>
      <c r="S623" s="37">
        <v>1</v>
      </c>
      <c r="T623" t="s">
        <v>53</v>
      </c>
      <c r="U623" t="s">
        <v>44</v>
      </c>
      <c r="V623" t="s">
        <v>69</v>
      </c>
    </row>
    <row r="624" spans="1:22" ht="15" customHeight="1" x14ac:dyDescent="0.3">
      <c r="A624" t="s">
        <v>1145</v>
      </c>
      <c r="B624" s="20">
        <v>45978</v>
      </c>
      <c r="C624" t="s">
        <v>1146</v>
      </c>
      <c r="D624" t="s">
        <v>48</v>
      </c>
      <c r="E624" s="37">
        <v>46</v>
      </c>
      <c r="F624" t="s">
        <v>49</v>
      </c>
      <c r="G624" t="s">
        <v>50</v>
      </c>
      <c r="H624" t="s">
        <v>118</v>
      </c>
      <c r="I624" t="s">
        <v>51</v>
      </c>
      <c r="J624" t="s">
        <v>219</v>
      </c>
      <c r="K624" s="37">
        <v>22</v>
      </c>
      <c r="L624" t="s">
        <v>52</v>
      </c>
      <c r="M624" s="21">
        <v>210100</v>
      </c>
      <c r="N624" s="21">
        <v>2823744</v>
      </c>
      <c r="O624" s="21">
        <v>302544</v>
      </c>
      <c r="P624">
        <v>5</v>
      </c>
      <c r="Q624" t="s">
        <v>42</v>
      </c>
      <c r="R624" s="37">
        <v>17</v>
      </c>
      <c r="S624" s="37">
        <v>34</v>
      </c>
      <c r="T624" t="s">
        <v>68</v>
      </c>
      <c r="U624" t="s">
        <v>63</v>
      </c>
      <c r="V624" t="s">
        <v>69</v>
      </c>
    </row>
    <row r="625" spans="1:22" ht="15" customHeight="1" x14ac:dyDescent="0.3">
      <c r="A625" t="s">
        <v>1147</v>
      </c>
      <c r="B625" s="20">
        <v>45714</v>
      </c>
      <c r="C625" t="s">
        <v>649</v>
      </c>
      <c r="D625" t="s">
        <v>48</v>
      </c>
      <c r="E625" s="37">
        <v>52</v>
      </c>
      <c r="F625" t="s">
        <v>36</v>
      </c>
      <c r="G625" t="s">
        <v>37</v>
      </c>
      <c r="H625" t="s">
        <v>38</v>
      </c>
      <c r="I625" t="s">
        <v>75</v>
      </c>
      <c r="J625" t="s">
        <v>40</v>
      </c>
      <c r="K625" s="37">
        <v>22</v>
      </c>
      <c r="L625" t="s">
        <v>52</v>
      </c>
      <c r="M625" s="21">
        <v>98200</v>
      </c>
      <c r="N625" s="21">
        <v>1249104</v>
      </c>
      <c r="O625" s="21">
        <v>70704</v>
      </c>
      <c r="P625">
        <v>4</v>
      </c>
      <c r="Q625" t="s">
        <v>42</v>
      </c>
      <c r="R625" s="37">
        <v>15</v>
      </c>
      <c r="S625" s="37">
        <v>28</v>
      </c>
      <c r="T625" t="s">
        <v>53</v>
      </c>
      <c r="U625" t="s">
        <v>63</v>
      </c>
      <c r="V625" t="s">
        <v>69</v>
      </c>
    </row>
    <row r="626" spans="1:22" ht="15" customHeight="1" x14ac:dyDescent="0.3">
      <c r="A626" t="s">
        <v>1148</v>
      </c>
      <c r="B626" s="20">
        <v>45743</v>
      </c>
      <c r="C626" t="s">
        <v>1149</v>
      </c>
      <c r="D626" t="s">
        <v>35</v>
      </c>
      <c r="E626" s="37">
        <v>31</v>
      </c>
      <c r="F626" t="s">
        <v>72</v>
      </c>
      <c r="G626" t="s">
        <v>73</v>
      </c>
      <c r="H626" t="s">
        <v>66</v>
      </c>
      <c r="I626" t="s">
        <v>75</v>
      </c>
      <c r="J626" t="s">
        <v>170</v>
      </c>
      <c r="K626" s="37">
        <v>19</v>
      </c>
      <c r="L626" t="s">
        <v>52</v>
      </c>
      <c r="M626" s="21">
        <v>87600</v>
      </c>
      <c r="N626" s="21">
        <v>1177344</v>
      </c>
      <c r="O626" s="21">
        <v>126144</v>
      </c>
      <c r="P626">
        <v>5</v>
      </c>
      <c r="Q626" t="s">
        <v>42</v>
      </c>
      <c r="R626" s="37">
        <v>4</v>
      </c>
      <c r="S626" s="37">
        <v>0</v>
      </c>
      <c r="T626" t="s">
        <v>129</v>
      </c>
      <c r="U626" t="s">
        <v>44</v>
      </c>
      <c r="V626" t="s">
        <v>69</v>
      </c>
    </row>
    <row r="627" spans="1:22" ht="15" customHeight="1" x14ac:dyDescent="0.3">
      <c r="A627" t="s">
        <v>1150</v>
      </c>
      <c r="B627" s="20">
        <v>45935</v>
      </c>
      <c r="C627" t="s">
        <v>1151</v>
      </c>
      <c r="D627" t="s">
        <v>48</v>
      </c>
      <c r="E627" s="37">
        <v>29</v>
      </c>
      <c r="F627" t="s">
        <v>49</v>
      </c>
      <c r="G627" t="s">
        <v>50</v>
      </c>
      <c r="H627" t="s">
        <v>74</v>
      </c>
      <c r="I627" t="s">
        <v>82</v>
      </c>
      <c r="J627" t="s">
        <v>83</v>
      </c>
      <c r="K627" s="37">
        <v>21</v>
      </c>
      <c r="L627" t="s">
        <v>52</v>
      </c>
      <c r="M627" s="21">
        <v>72700</v>
      </c>
      <c r="N627" s="21">
        <v>924744</v>
      </c>
      <c r="O627" s="21">
        <v>52344</v>
      </c>
      <c r="P627">
        <v>4</v>
      </c>
      <c r="Q627" t="s">
        <v>42</v>
      </c>
      <c r="R627" s="37">
        <v>16</v>
      </c>
      <c r="S627" s="37">
        <v>25</v>
      </c>
      <c r="T627" t="s">
        <v>77</v>
      </c>
      <c r="U627" t="s">
        <v>54</v>
      </c>
      <c r="V627" t="s">
        <v>69</v>
      </c>
    </row>
    <row r="628" spans="1:22" ht="15" customHeight="1" x14ac:dyDescent="0.3">
      <c r="A628" t="s">
        <v>1152</v>
      </c>
      <c r="B628" s="20">
        <v>45707</v>
      </c>
      <c r="C628" t="s">
        <v>768</v>
      </c>
      <c r="D628" t="s">
        <v>35</v>
      </c>
      <c r="E628" s="37">
        <v>35</v>
      </c>
      <c r="F628" t="s">
        <v>80</v>
      </c>
      <c r="G628" t="s">
        <v>81</v>
      </c>
      <c r="H628" t="s">
        <v>66</v>
      </c>
      <c r="I628" t="s">
        <v>39</v>
      </c>
      <c r="J628" t="s">
        <v>149</v>
      </c>
      <c r="K628" s="37">
        <v>1</v>
      </c>
      <c r="L628" t="s">
        <v>52</v>
      </c>
      <c r="M628" s="21">
        <v>46300</v>
      </c>
      <c r="N628" s="21">
        <v>633384</v>
      </c>
      <c r="O628" s="21">
        <v>77784</v>
      </c>
      <c r="P628">
        <v>4</v>
      </c>
      <c r="Q628" t="s">
        <v>42</v>
      </c>
      <c r="R628" s="37">
        <v>3</v>
      </c>
      <c r="S628" s="37">
        <v>24</v>
      </c>
      <c r="T628" t="s">
        <v>53</v>
      </c>
      <c r="U628" t="s">
        <v>44</v>
      </c>
      <c r="V628" t="s">
        <v>45</v>
      </c>
    </row>
    <row r="629" spans="1:22" ht="15" customHeight="1" x14ac:dyDescent="0.3">
      <c r="A629" t="s">
        <v>1153</v>
      </c>
      <c r="B629" s="20">
        <v>45847</v>
      </c>
      <c r="C629" t="s">
        <v>1154</v>
      </c>
      <c r="D629" t="s">
        <v>48</v>
      </c>
      <c r="E629" s="37">
        <v>43</v>
      </c>
      <c r="F629" t="s">
        <v>57</v>
      </c>
      <c r="G629" t="s">
        <v>58</v>
      </c>
      <c r="H629" t="s">
        <v>38</v>
      </c>
      <c r="I629" t="s">
        <v>75</v>
      </c>
      <c r="J629" t="s">
        <v>40</v>
      </c>
      <c r="K629" s="37">
        <v>22</v>
      </c>
      <c r="L629" t="s">
        <v>52</v>
      </c>
      <c r="M629" s="21">
        <v>90700</v>
      </c>
      <c r="N629" s="21">
        <v>1164588</v>
      </c>
      <c r="O629" s="21">
        <v>76188</v>
      </c>
      <c r="P629">
        <v>4</v>
      </c>
      <c r="Q629" t="s">
        <v>42</v>
      </c>
      <c r="R629" s="37">
        <v>5</v>
      </c>
      <c r="S629" s="37">
        <v>26</v>
      </c>
      <c r="T629" t="s">
        <v>53</v>
      </c>
      <c r="U629" t="s">
        <v>138</v>
      </c>
      <c r="V629" t="s">
        <v>45</v>
      </c>
    </row>
    <row r="630" spans="1:22" ht="15" customHeight="1" x14ac:dyDescent="0.3">
      <c r="A630" t="s">
        <v>1155</v>
      </c>
      <c r="B630" s="20">
        <v>45753</v>
      </c>
      <c r="C630" t="s">
        <v>1156</v>
      </c>
      <c r="D630" t="s">
        <v>35</v>
      </c>
      <c r="E630" s="37">
        <v>47</v>
      </c>
      <c r="F630" t="s">
        <v>123</v>
      </c>
      <c r="G630" t="s">
        <v>124</v>
      </c>
      <c r="H630" t="s">
        <v>38</v>
      </c>
      <c r="I630" t="s">
        <v>60</v>
      </c>
      <c r="J630" t="s">
        <v>99</v>
      </c>
      <c r="K630" s="37">
        <v>16</v>
      </c>
      <c r="L630" t="s">
        <v>52</v>
      </c>
      <c r="M630" s="21">
        <v>146000</v>
      </c>
      <c r="N630" s="21">
        <v>1997280</v>
      </c>
      <c r="O630" s="21">
        <v>245280</v>
      </c>
      <c r="P630">
        <v>4</v>
      </c>
      <c r="Q630" t="s">
        <v>42</v>
      </c>
      <c r="R630" s="37">
        <v>2</v>
      </c>
      <c r="S630" s="37">
        <v>14</v>
      </c>
      <c r="T630" t="s">
        <v>146</v>
      </c>
      <c r="U630" t="s">
        <v>44</v>
      </c>
      <c r="V630" t="s">
        <v>45</v>
      </c>
    </row>
    <row r="631" spans="1:22" ht="15" customHeight="1" x14ac:dyDescent="0.3">
      <c r="A631" t="s">
        <v>1157</v>
      </c>
      <c r="B631" s="20">
        <v>45721</v>
      </c>
      <c r="C631" t="s">
        <v>1127</v>
      </c>
      <c r="D631" t="s">
        <v>48</v>
      </c>
      <c r="E631" s="37">
        <v>25</v>
      </c>
      <c r="F631" t="s">
        <v>123</v>
      </c>
      <c r="G631" t="s">
        <v>124</v>
      </c>
      <c r="H631" t="s">
        <v>66</v>
      </c>
      <c r="I631" t="s">
        <v>82</v>
      </c>
      <c r="J631" t="s">
        <v>149</v>
      </c>
      <c r="K631" s="37">
        <v>19</v>
      </c>
      <c r="L631" t="s">
        <v>52</v>
      </c>
      <c r="M631" s="21">
        <v>57000</v>
      </c>
      <c r="N631" s="21">
        <v>813960</v>
      </c>
      <c r="O631" s="21">
        <v>129960</v>
      </c>
      <c r="P631">
        <v>4</v>
      </c>
      <c r="Q631" t="s">
        <v>42</v>
      </c>
      <c r="R631" s="37">
        <v>1</v>
      </c>
      <c r="S631" s="37">
        <v>19</v>
      </c>
      <c r="T631" t="s">
        <v>43</v>
      </c>
      <c r="U631" t="s">
        <v>63</v>
      </c>
      <c r="V631" t="s">
        <v>69</v>
      </c>
    </row>
    <row r="632" spans="1:22" ht="15" customHeight="1" x14ac:dyDescent="0.3">
      <c r="A632" t="s">
        <v>1158</v>
      </c>
      <c r="B632" s="20">
        <v>45993</v>
      </c>
      <c r="C632" t="s">
        <v>988</v>
      </c>
      <c r="D632" t="s">
        <v>35</v>
      </c>
      <c r="E632" s="37">
        <v>45</v>
      </c>
      <c r="F632" t="s">
        <v>72</v>
      </c>
      <c r="G632" t="s">
        <v>73</v>
      </c>
      <c r="H632" t="s">
        <v>74</v>
      </c>
      <c r="I632" t="s">
        <v>82</v>
      </c>
      <c r="J632" t="s">
        <v>83</v>
      </c>
      <c r="K632" s="37">
        <v>14</v>
      </c>
      <c r="L632" t="s">
        <v>41</v>
      </c>
      <c r="M632" s="21">
        <v>54600</v>
      </c>
      <c r="N632" s="21">
        <v>746928</v>
      </c>
      <c r="O632" s="21">
        <v>91728</v>
      </c>
      <c r="P632">
        <v>1</v>
      </c>
      <c r="Q632" t="s">
        <v>42</v>
      </c>
      <c r="R632" s="37">
        <v>7</v>
      </c>
      <c r="S632" s="37">
        <v>13</v>
      </c>
      <c r="T632" t="s">
        <v>53</v>
      </c>
      <c r="U632" t="s">
        <v>44</v>
      </c>
      <c r="V632" t="s">
        <v>69</v>
      </c>
    </row>
    <row r="633" spans="1:22" ht="15" customHeight="1" x14ac:dyDescent="0.3">
      <c r="A633" t="s">
        <v>1159</v>
      </c>
      <c r="B633" s="20">
        <v>45771</v>
      </c>
      <c r="C633" t="s">
        <v>1041</v>
      </c>
      <c r="D633" t="s">
        <v>48</v>
      </c>
      <c r="E633" s="37">
        <v>49</v>
      </c>
      <c r="F633" t="s">
        <v>91</v>
      </c>
      <c r="G633" t="s">
        <v>92</v>
      </c>
      <c r="H633" t="s">
        <v>66</v>
      </c>
      <c r="I633" t="s">
        <v>39</v>
      </c>
      <c r="J633" t="s">
        <v>161</v>
      </c>
      <c r="K633" s="37">
        <v>20</v>
      </c>
      <c r="L633" t="s">
        <v>52</v>
      </c>
      <c r="M633" s="21">
        <v>45200</v>
      </c>
      <c r="N633" s="21">
        <v>585792</v>
      </c>
      <c r="O633" s="21">
        <v>43392</v>
      </c>
      <c r="P633">
        <v>5</v>
      </c>
      <c r="Q633" t="s">
        <v>126</v>
      </c>
      <c r="R633" s="37">
        <v>2</v>
      </c>
      <c r="S633" s="37">
        <v>27</v>
      </c>
      <c r="T633" t="s">
        <v>175</v>
      </c>
      <c r="U633" t="s">
        <v>44</v>
      </c>
      <c r="V633" t="s">
        <v>45</v>
      </c>
    </row>
    <row r="634" spans="1:22" ht="15" customHeight="1" x14ac:dyDescent="0.3">
      <c r="A634" t="s">
        <v>1160</v>
      </c>
      <c r="B634" s="20">
        <v>45709</v>
      </c>
      <c r="C634" t="s">
        <v>90</v>
      </c>
      <c r="D634" t="s">
        <v>48</v>
      </c>
      <c r="E634" s="37">
        <v>34</v>
      </c>
      <c r="F634" t="s">
        <v>108</v>
      </c>
      <c r="G634" t="s">
        <v>109</v>
      </c>
      <c r="H634" t="s">
        <v>59</v>
      </c>
      <c r="I634" t="s">
        <v>82</v>
      </c>
      <c r="J634" t="s">
        <v>88</v>
      </c>
      <c r="K634" s="37">
        <v>10</v>
      </c>
      <c r="L634" t="s">
        <v>52</v>
      </c>
      <c r="M634" s="21">
        <v>61000</v>
      </c>
      <c r="N634" s="21">
        <v>841799</v>
      </c>
      <c r="O634" s="21">
        <v>109800</v>
      </c>
      <c r="P634">
        <v>3</v>
      </c>
      <c r="Q634" t="s">
        <v>42</v>
      </c>
      <c r="R634" s="37">
        <v>19</v>
      </c>
      <c r="S634" s="37">
        <v>28</v>
      </c>
      <c r="T634" t="s">
        <v>129</v>
      </c>
      <c r="U634" t="s">
        <v>54</v>
      </c>
      <c r="V634" t="s">
        <v>69</v>
      </c>
    </row>
    <row r="635" spans="1:22" ht="15" customHeight="1" x14ac:dyDescent="0.3">
      <c r="A635" t="s">
        <v>1161</v>
      </c>
      <c r="B635" s="20">
        <v>45984</v>
      </c>
      <c r="C635" t="s">
        <v>1162</v>
      </c>
      <c r="D635" t="s">
        <v>48</v>
      </c>
      <c r="E635" s="37">
        <v>33</v>
      </c>
      <c r="F635" t="s">
        <v>80</v>
      </c>
      <c r="G635" t="s">
        <v>81</v>
      </c>
      <c r="H635" t="s">
        <v>66</v>
      </c>
      <c r="I635" t="s">
        <v>39</v>
      </c>
      <c r="J635" t="s">
        <v>67</v>
      </c>
      <c r="K635" s="37">
        <v>0</v>
      </c>
      <c r="L635" t="s">
        <v>120</v>
      </c>
      <c r="M635" s="21">
        <v>39400</v>
      </c>
      <c r="N635" s="21">
        <v>534264</v>
      </c>
      <c r="O635" s="21">
        <v>61464</v>
      </c>
      <c r="P635">
        <v>5</v>
      </c>
      <c r="Q635" t="s">
        <v>42</v>
      </c>
      <c r="R635" s="37">
        <v>13</v>
      </c>
      <c r="S635" s="37">
        <v>32</v>
      </c>
      <c r="T635" t="s">
        <v>129</v>
      </c>
      <c r="U635" t="s">
        <v>44</v>
      </c>
      <c r="V635" t="s">
        <v>69</v>
      </c>
    </row>
    <row r="636" spans="1:22" ht="15" customHeight="1" x14ac:dyDescent="0.3">
      <c r="A636" t="s">
        <v>1163</v>
      </c>
      <c r="B636" s="20">
        <v>45893</v>
      </c>
      <c r="C636" t="s">
        <v>1164</v>
      </c>
      <c r="D636" t="s">
        <v>48</v>
      </c>
      <c r="E636" s="37">
        <v>50</v>
      </c>
      <c r="F636" t="s">
        <v>123</v>
      </c>
      <c r="G636" t="s">
        <v>124</v>
      </c>
      <c r="H636" t="s">
        <v>38</v>
      </c>
      <c r="I636" t="s">
        <v>82</v>
      </c>
      <c r="J636" t="s">
        <v>110</v>
      </c>
      <c r="K636" s="37">
        <v>28</v>
      </c>
      <c r="L636" t="s">
        <v>52</v>
      </c>
      <c r="M636" s="21">
        <v>65500</v>
      </c>
      <c r="N636" s="21">
        <v>903899</v>
      </c>
      <c r="O636" s="21">
        <v>117900</v>
      </c>
      <c r="P636">
        <v>1</v>
      </c>
      <c r="Q636" t="s">
        <v>42</v>
      </c>
      <c r="R636" s="37">
        <v>1</v>
      </c>
      <c r="S636" s="37">
        <v>0</v>
      </c>
      <c r="T636" t="s">
        <v>62</v>
      </c>
      <c r="U636" t="s">
        <v>63</v>
      </c>
      <c r="V636" t="s">
        <v>69</v>
      </c>
    </row>
    <row r="637" spans="1:22" ht="15" customHeight="1" x14ac:dyDescent="0.3">
      <c r="A637" t="s">
        <v>1165</v>
      </c>
      <c r="B637" s="20">
        <v>45765</v>
      </c>
      <c r="C637" t="s">
        <v>1097</v>
      </c>
      <c r="D637" t="s">
        <v>35</v>
      </c>
      <c r="E637" s="37">
        <v>31</v>
      </c>
      <c r="F637" t="s">
        <v>123</v>
      </c>
      <c r="G637" t="s">
        <v>124</v>
      </c>
      <c r="H637" t="s">
        <v>38</v>
      </c>
      <c r="I637" t="s">
        <v>75</v>
      </c>
      <c r="J637" t="s">
        <v>190</v>
      </c>
      <c r="K637" s="37">
        <v>18</v>
      </c>
      <c r="L637" t="s">
        <v>41</v>
      </c>
      <c r="M637" s="21">
        <v>103000</v>
      </c>
      <c r="N637" s="21">
        <v>1396679</v>
      </c>
      <c r="O637" s="21">
        <v>160680</v>
      </c>
      <c r="P637">
        <v>4</v>
      </c>
      <c r="Q637" t="s">
        <v>42</v>
      </c>
      <c r="R637" s="37">
        <v>3</v>
      </c>
      <c r="S637" s="37">
        <v>6</v>
      </c>
      <c r="T637" t="s">
        <v>129</v>
      </c>
      <c r="U637" t="s">
        <v>44</v>
      </c>
      <c r="V637" t="s">
        <v>69</v>
      </c>
    </row>
    <row r="638" spans="1:22" ht="15" customHeight="1" x14ac:dyDescent="0.3">
      <c r="A638" t="s">
        <v>1166</v>
      </c>
      <c r="B638" s="20">
        <v>45952</v>
      </c>
      <c r="C638" t="s">
        <v>463</v>
      </c>
      <c r="D638" t="s">
        <v>48</v>
      </c>
      <c r="E638" s="37">
        <v>25</v>
      </c>
      <c r="F638" t="s">
        <v>97</v>
      </c>
      <c r="G638" t="s">
        <v>98</v>
      </c>
      <c r="H638" t="s">
        <v>118</v>
      </c>
      <c r="I638" t="s">
        <v>82</v>
      </c>
      <c r="J638" t="s">
        <v>250</v>
      </c>
      <c r="K638" s="37">
        <v>12</v>
      </c>
      <c r="L638" t="s">
        <v>52</v>
      </c>
      <c r="M638" s="21">
        <v>60300</v>
      </c>
      <c r="N638" s="21">
        <v>817667</v>
      </c>
      <c r="O638" s="21">
        <v>94068</v>
      </c>
      <c r="P638">
        <v>3</v>
      </c>
      <c r="Q638" t="s">
        <v>42</v>
      </c>
      <c r="R638" s="37">
        <v>19</v>
      </c>
      <c r="S638" s="37">
        <v>7</v>
      </c>
      <c r="T638" t="s">
        <v>146</v>
      </c>
      <c r="U638" t="s">
        <v>44</v>
      </c>
      <c r="V638" t="s">
        <v>69</v>
      </c>
    </row>
    <row r="639" spans="1:22" ht="15" customHeight="1" x14ac:dyDescent="0.3">
      <c r="A639" t="s">
        <v>1167</v>
      </c>
      <c r="B639" s="20">
        <v>45742</v>
      </c>
      <c r="C639" t="s">
        <v>362</v>
      </c>
      <c r="D639" t="s">
        <v>35</v>
      </c>
      <c r="E639" s="37">
        <v>24</v>
      </c>
      <c r="F639" t="s">
        <v>108</v>
      </c>
      <c r="G639" t="s">
        <v>109</v>
      </c>
      <c r="H639" t="s">
        <v>66</v>
      </c>
      <c r="I639" t="s">
        <v>39</v>
      </c>
      <c r="J639" t="s">
        <v>67</v>
      </c>
      <c r="K639" s="37">
        <v>13</v>
      </c>
      <c r="L639" t="s">
        <v>52</v>
      </c>
      <c r="M639" s="21">
        <v>41300</v>
      </c>
      <c r="N639" s="21">
        <v>525336</v>
      </c>
      <c r="O639" s="21">
        <v>29736</v>
      </c>
      <c r="P639">
        <v>3</v>
      </c>
      <c r="Q639" t="s">
        <v>42</v>
      </c>
      <c r="R639" s="37">
        <v>2</v>
      </c>
      <c r="S639" s="37">
        <v>28</v>
      </c>
      <c r="T639" t="s">
        <v>62</v>
      </c>
      <c r="U639" t="s">
        <v>63</v>
      </c>
      <c r="V639" t="s">
        <v>69</v>
      </c>
    </row>
    <row r="640" spans="1:22" ht="15" customHeight="1" x14ac:dyDescent="0.3">
      <c r="A640" t="s">
        <v>1168</v>
      </c>
      <c r="B640" s="20">
        <v>45979</v>
      </c>
      <c r="C640" t="s">
        <v>1169</v>
      </c>
      <c r="D640" t="s">
        <v>35</v>
      </c>
      <c r="E640" s="37">
        <v>52</v>
      </c>
      <c r="F640" t="s">
        <v>36</v>
      </c>
      <c r="G640" t="s">
        <v>37</v>
      </c>
      <c r="H640" t="s">
        <v>59</v>
      </c>
      <c r="I640" t="s">
        <v>75</v>
      </c>
      <c r="J640" t="s">
        <v>125</v>
      </c>
      <c r="K640" s="37">
        <v>13</v>
      </c>
      <c r="L640" t="s">
        <v>52</v>
      </c>
      <c r="M640" s="21">
        <v>91000</v>
      </c>
      <c r="N640" s="21">
        <v>1255800</v>
      </c>
      <c r="O640" s="21">
        <v>163800</v>
      </c>
      <c r="P640">
        <v>4</v>
      </c>
      <c r="Q640" t="s">
        <v>42</v>
      </c>
      <c r="R640" s="37">
        <v>7</v>
      </c>
      <c r="S640" s="37">
        <v>14</v>
      </c>
      <c r="T640" t="s">
        <v>68</v>
      </c>
      <c r="U640" t="s">
        <v>138</v>
      </c>
      <c r="V640" t="s">
        <v>45</v>
      </c>
    </row>
    <row r="641" spans="1:22" ht="15" customHeight="1" x14ac:dyDescent="0.3">
      <c r="A641" t="s">
        <v>1170</v>
      </c>
      <c r="B641" s="20">
        <v>45738</v>
      </c>
      <c r="C641" t="s">
        <v>1171</v>
      </c>
      <c r="D641" t="s">
        <v>35</v>
      </c>
      <c r="E641" s="37">
        <v>37</v>
      </c>
      <c r="F641" t="s">
        <v>72</v>
      </c>
      <c r="G641" t="s">
        <v>73</v>
      </c>
      <c r="H641" t="s">
        <v>66</v>
      </c>
      <c r="I641" t="s">
        <v>39</v>
      </c>
      <c r="J641" t="s">
        <v>170</v>
      </c>
      <c r="K641" s="37">
        <v>12</v>
      </c>
      <c r="L641" t="s">
        <v>41</v>
      </c>
      <c r="M641" s="21">
        <v>44400</v>
      </c>
      <c r="N641" s="21">
        <v>634032</v>
      </c>
      <c r="O641" s="21">
        <v>101232</v>
      </c>
      <c r="P641">
        <v>2</v>
      </c>
      <c r="Q641" t="s">
        <v>126</v>
      </c>
      <c r="R641" s="37">
        <v>2</v>
      </c>
      <c r="S641" s="37">
        <v>5</v>
      </c>
      <c r="T641" t="s">
        <v>129</v>
      </c>
      <c r="U641" t="s">
        <v>44</v>
      </c>
      <c r="V641" t="s">
        <v>45</v>
      </c>
    </row>
    <row r="642" spans="1:22" ht="15" customHeight="1" x14ac:dyDescent="0.3">
      <c r="A642" t="s">
        <v>1172</v>
      </c>
      <c r="B642" s="20">
        <v>46016</v>
      </c>
      <c r="C642" t="s">
        <v>374</v>
      </c>
      <c r="D642" t="s">
        <v>48</v>
      </c>
      <c r="E642" s="37">
        <v>54</v>
      </c>
      <c r="F642" t="s">
        <v>91</v>
      </c>
      <c r="G642" t="s">
        <v>92</v>
      </c>
      <c r="H642" t="s">
        <v>38</v>
      </c>
      <c r="I642" t="s">
        <v>39</v>
      </c>
      <c r="J642" t="s">
        <v>190</v>
      </c>
      <c r="K642" s="37">
        <v>9</v>
      </c>
      <c r="L642" t="s">
        <v>52</v>
      </c>
      <c r="M642" s="21">
        <v>36500</v>
      </c>
      <c r="N642" s="21">
        <v>481800</v>
      </c>
      <c r="O642" s="21">
        <v>43800</v>
      </c>
      <c r="P642">
        <v>3</v>
      </c>
      <c r="Q642" t="s">
        <v>42</v>
      </c>
      <c r="R642" s="37">
        <v>9</v>
      </c>
      <c r="S642" s="37">
        <v>15</v>
      </c>
      <c r="T642" t="s">
        <v>94</v>
      </c>
      <c r="U642" t="s">
        <v>44</v>
      </c>
      <c r="V642" t="s">
        <v>45</v>
      </c>
    </row>
    <row r="643" spans="1:22" ht="15" customHeight="1" x14ac:dyDescent="0.3">
      <c r="A643" t="s">
        <v>1173</v>
      </c>
      <c r="B643" s="20">
        <v>45667</v>
      </c>
      <c r="C643" t="s">
        <v>1174</v>
      </c>
      <c r="D643" t="s">
        <v>48</v>
      </c>
      <c r="E643" s="37">
        <v>22</v>
      </c>
      <c r="F643" t="s">
        <v>72</v>
      </c>
      <c r="G643" t="s">
        <v>73</v>
      </c>
      <c r="H643" t="s">
        <v>74</v>
      </c>
      <c r="I643" t="s">
        <v>82</v>
      </c>
      <c r="J643" t="s">
        <v>83</v>
      </c>
      <c r="K643" s="37">
        <v>13</v>
      </c>
      <c r="L643" t="s">
        <v>52</v>
      </c>
      <c r="M643" s="21">
        <v>52800</v>
      </c>
      <c r="N643" s="21">
        <v>696960</v>
      </c>
      <c r="O643" s="21">
        <v>63360</v>
      </c>
      <c r="P643">
        <v>3</v>
      </c>
      <c r="Q643" t="s">
        <v>126</v>
      </c>
      <c r="R643" s="37">
        <v>9</v>
      </c>
      <c r="S643" s="37">
        <v>18</v>
      </c>
      <c r="T643" t="s">
        <v>62</v>
      </c>
      <c r="U643" t="s">
        <v>63</v>
      </c>
      <c r="V643" t="s">
        <v>69</v>
      </c>
    </row>
    <row r="644" spans="1:22" ht="15" customHeight="1" x14ac:dyDescent="0.3">
      <c r="A644" t="s">
        <v>1175</v>
      </c>
      <c r="B644" s="20">
        <v>45690</v>
      </c>
      <c r="C644" t="s">
        <v>327</v>
      </c>
      <c r="D644" t="s">
        <v>35</v>
      </c>
      <c r="E644" s="37">
        <v>52</v>
      </c>
      <c r="F644" t="s">
        <v>36</v>
      </c>
      <c r="G644" t="s">
        <v>37</v>
      </c>
      <c r="H644" t="s">
        <v>118</v>
      </c>
      <c r="I644" t="s">
        <v>60</v>
      </c>
      <c r="J644" t="s">
        <v>219</v>
      </c>
      <c r="K644" s="37">
        <v>27</v>
      </c>
      <c r="L644" t="s">
        <v>52</v>
      </c>
      <c r="M644" s="21">
        <v>133300</v>
      </c>
      <c r="N644" s="21">
        <v>1871532</v>
      </c>
      <c r="O644" s="21">
        <v>271932</v>
      </c>
      <c r="P644">
        <v>4</v>
      </c>
      <c r="Q644" t="s">
        <v>126</v>
      </c>
      <c r="R644" s="37">
        <v>16</v>
      </c>
      <c r="S644" s="37">
        <v>12</v>
      </c>
      <c r="T644" t="s">
        <v>175</v>
      </c>
      <c r="U644" t="s">
        <v>63</v>
      </c>
      <c r="V644" t="s">
        <v>45</v>
      </c>
    </row>
    <row r="645" spans="1:22" ht="15" customHeight="1" x14ac:dyDescent="0.3">
      <c r="A645" t="s">
        <v>1176</v>
      </c>
      <c r="B645" s="20">
        <v>46015</v>
      </c>
      <c r="C645" t="s">
        <v>761</v>
      </c>
      <c r="D645" t="s">
        <v>35</v>
      </c>
      <c r="E645" s="37">
        <v>55</v>
      </c>
      <c r="F645" t="s">
        <v>72</v>
      </c>
      <c r="G645" t="s">
        <v>73</v>
      </c>
      <c r="H645" t="s">
        <v>38</v>
      </c>
      <c r="I645" t="s">
        <v>39</v>
      </c>
      <c r="J645" t="s">
        <v>134</v>
      </c>
      <c r="K645" s="37">
        <v>30</v>
      </c>
      <c r="L645" t="s">
        <v>52</v>
      </c>
      <c r="M645" s="21">
        <v>33500</v>
      </c>
      <c r="N645" s="21">
        <v>478380</v>
      </c>
      <c r="O645" s="21">
        <v>76380</v>
      </c>
      <c r="P645">
        <v>4</v>
      </c>
      <c r="Q645" t="s">
        <v>126</v>
      </c>
      <c r="R645" s="37">
        <v>8</v>
      </c>
      <c r="S645" s="37">
        <v>38</v>
      </c>
      <c r="T645" t="s">
        <v>129</v>
      </c>
      <c r="U645" t="s">
        <v>44</v>
      </c>
      <c r="V645" t="s">
        <v>45</v>
      </c>
    </row>
    <row r="646" spans="1:22" ht="15" customHeight="1" x14ac:dyDescent="0.3">
      <c r="A646" t="s">
        <v>1177</v>
      </c>
      <c r="B646" s="20">
        <v>45692</v>
      </c>
      <c r="C646" t="s">
        <v>1095</v>
      </c>
      <c r="D646" t="s">
        <v>48</v>
      </c>
      <c r="E646" s="37">
        <v>50</v>
      </c>
      <c r="F646" t="s">
        <v>80</v>
      </c>
      <c r="G646" t="s">
        <v>81</v>
      </c>
      <c r="H646" t="s">
        <v>118</v>
      </c>
      <c r="I646" t="s">
        <v>60</v>
      </c>
      <c r="J646" t="s">
        <v>219</v>
      </c>
      <c r="K646" s="37">
        <v>11</v>
      </c>
      <c r="L646" t="s">
        <v>52</v>
      </c>
      <c r="M646" s="21">
        <v>153600</v>
      </c>
      <c r="N646" s="21">
        <v>2082815</v>
      </c>
      <c r="O646" s="21">
        <v>239616</v>
      </c>
      <c r="P646">
        <v>4</v>
      </c>
      <c r="Q646" t="s">
        <v>42</v>
      </c>
      <c r="R646" s="37">
        <v>12</v>
      </c>
      <c r="S646" s="37">
        <v>3</v>
      </c>
      <c r="T646" t="s">
        <v>62</v>
      </c>
      <c r="U646" t="s">
        <v>44</v>
      </c>
      <c r="V646" t="s">
        <v>69</v>
      </c>
    </row>
    <row r="647" spans="1:22" ht="15" customHeight="1" x14ac:dyDescent="0.3">
      <c r="A647" t="s">
        <v>1178</v>
      </c>
      <c r="B647" s="20">
        <v>45804</v>
      </c>
      <c r="C647" t="s">
        <v>257</v>
      </c>
      <c r="D647" t="s">
        <v>35</v>
      </c>
      <c r="E647" s="37">
        <v>32</v>
      </c>
      <c r="F647" t="s">
        <v>91</v>
      </c>
      <c r="G647" t="s">
        <v>92</v>
      </c>
      <c r="H647" t="s">
        <v>38</v>
      </c>
      <c r="I647" t="s">
        <v>75</v>
      </c>
      <c r="J647" t="s">
        <v>134</v>
      </c>
      <c r="K647" s="37">
        <v>1</v>
      </c>
      <c r="L647" t="s">
        <v>52</v>
      </c>
      <c r="M647" s="21">
        <v>98300</v>
      </c>
      <c r="N647" s="21">
        <v>1262172</v>
      </c>
      <c r="O647" s="21">
        <v>82572</v>
      </c>
      <c r="P647">
        <v>4</v>
      </c>
      <c r="Q647" t="s">
        <v>42</v>
      </c>
      <c r="R647" s="37">
        <v>19</v>
      </c>
      <c r="S647" s="37">
        <v>9</v>
      </c>
      <c r="T647" t="s">
        <v>53</v>
      </c>
      <c r="U647" t="s">
        <v>63</v>
      </c>
      <c r="V647" t="s">
        <v>69</v>
      </c>
    </row>
    <row r="648" spans="1:22" ht="15" customHeight="1" x14ac:dyDescent="0.3">
      <c r="A648" t="s">
        <v>1179</v>
      </c>
      <c r="B648" s="20">
        <v>45748</v>
      </c>
      <c r="C648" t="s">
        <v>1180</v>
      </c>
      <c r="D648" t="s">
        <v>48</v>
      </c>
      <c r="E648" s="37">
        <v>27</v>
      </c>
      <c r="F648" t="s">
        <v>86</v>
      </c>
      <c r="G648" t="s">
        <v>87</v>
      </c>
      <c r="H648" t="s">
        <v>66</v>
      </c>
      <c r="I648" t="s">
        <v>82</v>
      </c>
      <c r="J648" t="s">
        <v>67</v>
      </c>
      <c r="K648" s="37">
        <v>20</v>
      </c>
      <c r="L648" t="s">
        <v>41</v>
      </c>
      <c r="M648" s="21">
        <v>74100</v>
      </c>
      <c r="N648" s="21">
        <v>969228</v>
      </c>
      <c r="O648" s="21">
        <v>80028</v>
      </c>
      <c r="P648">
        <v>5</v>
      </c>
      <c r="Q648" t="s">
        <v>42</v>
      </c>
      <c r="R648" s="37">
        <v>12</v>
      </c>
      <c r="S648" s="37">
        <v>26</v>
      </c>
      <c r="T648" t="s">
        <v>105</v>
      </c>
      <c r="U648" t="s">
        <v>63</v>
      </c>
      <c r="V648" t="s">
        <v>69</v>
      </c>
    </row>
    <row r="649" spans="1:22" ht="15" customHeight="1" x14ac:dyDescent="0.3">
      <c r="A649" t="s">
        <v>1181</v>
      </c>
      <c r="B649" s="20">
        <v>45974</v>
      </c>
      <c r="C649" t="s">
        <v>766</v>
      </c>
      <c r="D649" t="s">
        <v>35</v>
      </c>
      <c r="E649" s="37">
        <v>53</v>
      </c>
      <c r="F649" t="s">
        <v>108</v>
      </c>
      <c r="G649" t="s">
        <v>109</v>
      </c>
      <c r="H649" t="s">
        <v>66</v>
      </c>
      <c r="I649" t="s">
        <v>60</v>
      </c>
      <c r="J649" t="s">
        <v>149</v>
      </c>
      <c r="K649" s="37">
        <v>20</v>
      </c>
      <c r="L649" t="s">
        <v>52</v>
      </c>
      <c r="M649" s="21">
        <v>150900</v>
      </c>
      <c r="N649" s="21">
        <v>2046203</v>
      </c>
      <c r="O649" s="21">
        <v>235404</v>
      </c>
      <c r="P649">
        <v>4</v>
      </c>
      <c r="Q649" t="s">
        <v>42</v>
      </c>
      <c r="R649" s="37">
        <v>5</v>
      </c>
      <c r="S649" s="37">
        <v>1</v>
      </c>
      <c r="T649" t="s">
        <v>175</v>
      </c>
      <c r="U649" t="s">
        <v>63</v>
      </c>
      <c r="V649" t="s">
        <v>69</v>
      </c>
    </row>
    <row r="650" spans="1:22" ht="15" customHeight="1" x14ac:dyDescent="0.3">
      <c r="A650" t="s">
        <v>1182</v>
      </c>
      <c r="B650" s="20">
        <v>45820</v>
      </c>
      <c r="C650" t="s">
        <v>516</v>
      </c>
      <c r="D650" t="s">
        <v>48</v>
      </c>
      <c r="E650" s="37">
        <v>46</v>
      </c>
      <c r="F650" t="s">
        <v>80</v>
      </c>
      <c r="G650" t="s">
        <v>81</v>
      </c>
      <c r="H650" t="s">
        <v>38</v>
      </c>
      <c r="I650" t="s">
        <v>39</v>
      </c>
      <c r="J650" t="s">
        <v>110</v>
      </c>
      <c r="K650" s="37">
        <v>16</v>
      </c>
      <c r="L650" t="s">
        <v>52</v>
      </c>
      <c r="M650" s="21">
        <v>40900</v>
      </c>
      <c r="N650" s="21">
        <v>584052</v>
      </c>
      <c r="O650" s="21">
        <v>93252</v>
      </c>
      <c r="P650">
        <v>3</v>
      </c>
      <c r="Q650" t="s">
        <v>126</v>
      </c>
      <c r="R650" s="37">
        <v>14</v>
      </c>
      <c r="S650" s="37">
        <v>9</v>
      </c>
      <c r="T650" t="s">
        <v>146</v>
      </c>
      <c r="U650" t="s">
        <v>44</v>
      </c>
      <c r="V650" t="s">
        <v>69</v>
      </c>
    </row>
    <row r="651" spans="1:22" ht="15" customHeight="1" x14ac:dyDescent="0.3">
      <c r="A651" t="s">
        <v>1183</v>
      </c>
      <c r="B651" s="20">
        <v>45971</v>
      </c>
      <c r="C651" t="s">
        <v>1184</v>
      </c>
      <c r="D651" t="s">
        <v>35</v>
      </c>
      <c r="E651" s="37">
        <v>41</v>
      </c>
      <c r="F651" t="s">
        <v>91</v>
      </c>
      <c r="G651" t="s">
        <v>92</v>
      </c>
      <c r="H651" t="s">
        <v>38</v>
      </c>
      <c r="I651" t="s">
        <v>75</v>
      </c>
      <c r="J651" t="s">
        <v>110</v>
      </c>
      <c r="K651" s="37">
        <v>27</v>
      </c>
      <c r="L651" t="s">
        <v>52</v>
      </c>
      <c r="M651" s="21">
        <v>80000</v>
      </c>
      <c r="N651" s="21">
        <v>1065600</v>
      </c>
      <c r="O651" s="21">
        <v>105600</v>
      </c>
      <c r="P651">
        <v>5</v>
      </c>
      <c r="Q651" t="s">
        <v>42</v>
      </c>
      <c r="R651" s="37">
        <v>18</v>
      </c>
      <c r="S651" s="37">
        <v>6</v>
      </c>
      <c r="T651" t="s">
        <v>105</v>
      </c>
      <c r="U651" t="s">
        <v>44</v>
      </c>
      <c r="V651" t="s">
        <v>45</v>
      </c>
    </row>
    <row r="652" spans="1:22" ht="15" customHeight="1" x14ac:dyDescent="0.3">
      <c r="A652" t="s">
        <v>1185</v>
      </c>
      <c r="B652" s="20">
        <v>45797</v>
      </c>
      <c r="C652" t="s">
        <v>1186</v>
      </c>
      <c r="D652" t="s">
        <v>48</v>
      </c>
      <c r="E652" s="37">
        <v>38</v>
      </c>
      <c r="F652" t="s">
        <v>72</v>
      </c>
      <c r="G652" t="s">
        <v>73</v>
      </c>
      <c r="H652" t="s">
        <v>66</v>
      </c>
      <c r="I652" t="s">
        <v>51</v>
      </c>
      <c r="J652" t="s">
        <v>149</v>
      </c>
      <c r="K652" s="37">
        <v>5</v>
      </c>
      <c r="L652" t="s">
        <v>52</v>
      </c>
      <c r="M652" s="21">
        <v>275400</v>
      </c>
      <c r="N652" s="21">
        <v>3503088</v>
      </c>
      <c r="O652" s="21">
        <v>198288</v>
      </c>
      <c r="P652">
        <v>2</v>
      </c>
      <c r="Q652" t="s">
        <v>126</v>
      </c>
      <c r="R652" s="37">
        <v>6</v>
      </c>
      <c r="S652" s="37">
        <v>7</v>
      </c>
      <c r="T652" t="s">
        <v>94</v>
      </c>
      <c r="U652" t="s">
        <v>63</v>
      </c>
      <c r="V652" t="s">
        <v>45</v>
      </c>
    </row>
    <row r="653" spans="1:22" ht="15" customHeight="1" x14ac:dyDescent="0.3">
      <c r="A653" t="s">
        <v>1187</v>
      </c>
      <c r="B653" s="20">
        <v>45843</v>
      </c>
      <c r="C653" t="s">
        <v>759</v>
      </c>
      <c r="D653" t="s">
        <v>48</v>
      </c>
      <c r="E653" s="37">
        <v>48</v>
      </c>
      <c r="F653" t="s">
        <v>123</v>
      </c>
      <c r="G653" t="s">
        <v>124</v>
      </c>
      <c r="H653" t="s">
        <v>118</v>
      </c>
      <c r="I653" t="s">
        <v>39</v>
      </c>
      <c r="J653" t="s">
        <v>219</v>
      </c>
      <c r="K653" s="37">
        <v>4</v>
      </c>
      <c r="L653" t="s">
        <v>52</v>
      </c>
      <c r="M653" s="21">
        <v>31400</v>
      </c>
      <c r="N653" s="21">
        <v>410712</v>
      </c>
      <c r="O653" s="21">
        <v>33912</v>
      </c>
      <c r="P653">
        <v>5</v>
      </c>
      <c r="Q653" t="s">
        <v>42</v>
      </c>
      <c r="R653" s="37">
        <v>17</v>
      </c>
      <c r="S653" s="37">
        <v>17</v>
      </c>
      <c r="T653" t="s">
        <v>129</v>
      </c>
      <c r="U653" t="s">
        <v>63</v>
      </c>
      <c r="V653" t="s">
        <v>69</v>
      </c>
    </row>
    <row r="654" spans="1:22" ht="15" customHeight="1" x14ac:dyDescent="0.3">
      <c r="A654" t="s">
        <v>1188</v>
      </c>
      <c r="B654" s="20">
        <v>45877</v>
      </c>
      <c r="C654" t="s">
        <v>895</v>
      </c>
      <c r="D654" t="s">
        <v>48</v>
      </c>
      <c r="E654" s="37">
        <v>46</v>
      </c>
      <c r="F654" t="s">
        <v>72</v>
      </c>
      <c r="G654" t="s">
        <v>73</v>
      </c>
      <c r="H654" t="s">
        <v>38</v>
      </c>
      <c r="I654" t="s">
        <v>82</v>
      </c>
      <c r="J654" t="s">
        <v>99</v>
      </c>
      <c r="K654" s="37">
        <v>15</v>
      </c>
      <c r="L654" t="s">
        <v>52</v>
      </c>
      <c r="M654" s="21">
        <v>60500</v>
      </c>
      <c r="N654" s="21">
        <v>762300</v>
      </c>
      <c r="O654" s="21">
        <v>36300</v>
      </c>
      <c r="P654">
        <v>5</v>
      </c>
      <c r="Q654" t="s">
        <v>42</v>
      </c>
      <c r="R654" s="37">
        <v>7</v>
      </c>
      <c r="S654" s="37">
        <v>30</v>
      </c>
      <c r="T654" t="s">
        <v>129</v>
      </c>
      <c r="U654" t="s">
        <v>54</v>
      </c>
      <c r="V654" t="s">
        <v>45</v>
      </c>
    </row>
    <row r="655" spans="1:22" ht="15" customHeight="1" x14ac:dyDescent="0.3">
      <c r="A655" t="s">
        <v>1189</v>
      </c>
      <c r="B655" s="20">
        <v>46016</v>
      </c>
      <c r="C655" t="s">
        <v>1190</v>
      </c>
      <c r="D655" t="s">
        <v>48</v>
      </c>
      <c r="E655" s="37">
        <v>46</v>
      </c>
      <c r="F655" t="s">
        <v>108</v>
      </c>
      <c r="G655" t="s">
        <v>109</v>
      </c>
      <c r="H655" t="s">
        <v>38</v>
      </c>
      <c r="I655" t="s">
        <v>75</v>
      </c>
      <c r="J655" t="s">
        <v>190</v>
      </c>
      <c r="K655" s="37">
        <v>0</v>
      </c>
      <c r="L655" t="s">
        <v>52</v>
      </c>
      <c r="M655" s="21">
        <v>76600</v>
      </c>
      <c r="N655" s="21">
        <v>974352</v>
      </c>
      <c r="O655" s="21">
        <v>55152</v>
      </c>
      <c r="P655">
        <v>1</v>
      </c>
      <c r="Q655" t="s">
        <v>42</v>
      </c>
      <c r="R655" s="37">
        <v>19</v>
      </c>
      <c r="S655" s="37">
        <v>15</v>
      </c>
      <c r="T655" t="s">
        <v>105</v>
      </c>
      <c r="U655" t="s">
        <v>63</v>
      </c>
      <c r="V655" t="s">
        <v>69</v>
      </c>
    </row>
    <row r="656" spans="1:22" ht="15" customHeight="1" x14ac:dyDescent="0.3">
      <c r="A656" t="s">
        <v>1191</v>
      </c>
      <c r="B656" s="20">
        <v>45801</v>
      </c>
      <c r="C656" t="s">
        <v>1192</v>
      </c>
      <c r="D656" t="s">
        <v>35</v>
      </c>
      <c r="E656" s="37">
        <v>36</v>
      </c>
      <c r="F656" t="s">
        <v>108</v>
      </c>
      <c r="G656" t="s">
        <v>109</v>
      </c>
      <c r="H656" t="s">
        <v>38</v>
      </c>
      <c r="I656" t="s">
        <v>39</v>
      </c>
      <c r="J656" t="s">
        <v>99</v>
      </c>
      <c r="K656" s="37">
        <v>11</v>
      </c>
      <c r="L656" t="s">
        <v>52</v>
      </c>
      <c r="M656" s="21">
        <v>36300</v>
      </c>
      <c r="N656" s="21">
        <v>466092</v>
      </c>
      <c r="O656" s="21">
        <v>30492</v>
      </c>
      <c r="P656">
        <v>5</v>
      </c>
      <c r="Q656" t="s">
        <v>42</v>
      </c>
      <c r="R656" s="37">
        <v>19</v>
      </c>
      <c r="S656" s="37">
        <v>3</v>
      </c>
      <c r="T656" t="s">
        <v>68</v>
      </c>
      <c r="U656" t="s">
        <v>63</v>
      </c>
      <c r="V656" t="s">
        <v>69</v>
      </c>
    </row>
    <row r="657" spans="1:22" ht="15" customHeight="1" x14ac:dyDescent="0.3">
      <c r="A657" t="s">
        <v>1193</v>
      </c>
      <c r="B657" s="20">
        <v>46012</v>
      </c>
      <c r="C657" t="s">
        <v>1194</v>
      </c>
      <c r="D657" t="s">
        <v>35</v>
      </c>
      <c r="E657" s="37">
        <v>42</v>
      </c>
      <c r="F657" t="s">
        <v>80</v>
      </c>
      <c r="G657" t="s">
        <v>81</v>
      </c>
      <c r="H657" t="s">
        <v>66</v>
      </c>
      <c r="I657" t="s">
        <v>82</v>
      </c>
      <c r="J657" t="s">
        <v>93</v>
      </c>
      <c r="K657" s="37">
        <v>10</v>
      </c>
      <c r="L657" t="s">
        <v>52</v>
      </c>
      <c r="M657" s="21">
        <v>78400</v>
      </c>
      <c r="N657" s="21">
        <v>1081920</v>
      </c>
      <c r="O657" s="21">
        <v>141120</v>
      </c>
      <c r="P657">
        <v>3</v>
      </c>
      <c r="Q657" t="s">
        <v>42</v>
      </c>
      <c r="R657" s="37">
        <v>18</v>
      </c>
      <c r="S657" s="37">
        <v>18</v>
      </c>
      <c r="T657" t="s">
        <v>53</v>
      </c>
      <c r="U657" t="s">
        <v>63</v>
      </c>
      <c r="V657" t="s">
        <v>69</v>
      </c>
    </row>
    <row r="658" spans="1:22" ht="15" customHeight="1" x14ac:dyDescent="0.3">
      <c r="A658" t="s">
        <v>1195</v>
      </c>
      <c r="B658" s="20">
        <v>45691</v>
      </c>
      <c r="C658" t="s">
        <v>342</v>
      </c>
      <c r="D658" t="s">
        <v>48</v>
      </c>
      <c r="E658" s="37">
        <v>39</v>
      </c>
      <c r="F658" t="s">
        <v>36</v>
      </c>
      <c r="G658" t="s">
        <v>37</v>
      </c>
      <c r="H658" t="s">
        <v>118</v>
      </c>
      <c r="I658" t="s">
        <v>39</v>
      </c>
      <c r="J658" t="s">
        <v>119</v>
      </c>
      <c r="K658" s="37">
        <v>29</v>
      </c>
      <c r="L658" t="s">
        <v>41</v>
      </c>
      <c r="M658" s="21">
        <v>31300</v>
      </c>
      <c r="N658" s="21">
        <v>398136</v>
      </c>
      <c r="O658" s="21">
        <v>22536</v>
      </c>
      <c r="P658">
        <v>5</v>
      </c>
      <c r="Q658" t="s">
        <v>42</v>
      </c>
      <c r="R658" s="37">
        <v>9</v>
      </c>
      <c r="S658" s="37">
        <v>13</v>
      </c>
      <c r="T658" t="s">
        <v>77</v>
      </c>
      <c r="U658" t="s">
        <v>54</v>
      </c>
      <c r="V658" t="s">
        <v>45</v>
      </c>
    </row>
    <row r="659" spans="1:22" ht="15" customHeight="1" x14ac:dyDescent="0.3">
      <c r="A659" t="s">
        <v>1196</v>
      </c>
      <c r="B659" s="20">
        <v>45999</v>
      </c>
      <c r="C659" t="s">
        <v>1141</v>
      </c>
      <c r="D659" t="s">
        <v>48</v>
      </c>
      <c r="E659" s="37">
        <v>48</v>
      </c>
      <c r="F659" t="s">
        <v>36</v>
      </c>
      <c r="G659" t="s">
        <v>37</v>
      </c>
      <c r="H659" t="s">
        <v>74</v>
      </c>
      <c r="I659" t="s">
        <v>82</v>
      </c>
      <c r="J659" t="s">
        <v>367</v>
      </c>
      <c r="K659" s="37">
        <v>13</v>
      </c>
      <c r="L659" t="s">
        <v>41</v>
      </c>
      <c r="M659" s="21">
        <v>57000</v>
      </c>
      <c r="N659" s="21">
        <v>738720</v>
      </c>
      <c r="O659" s="21">
        <v>54720</v>
      </c>
      <c r="P659">
        <v>3</v>
      </c>
      <c r="Q659" t="s">
        <v>42</v>
      </c>
      <c r="R659" s="37">
        <v>19</v>
      </c>
      <c r="S659" s="37">
        <v>38</v>
      </c>
      <c r="T659" t="s">
        <v>175</v>
      </c>
      <c r="U659" t="s">
        <v>44</v>
      </c>
      <c r="V659" t="s">
        <v>69</v>
      </c>
    </row>
    <row r="660" spans="1:22" ht="15" customHeight="1" x14ac:dyDescent="0.3">
      <c r="A660" t="s">
        <v>1197</v>
      </c>
      <c r="B660" s="20">
        <v>45886</v>
      </c>
      <c r="C660" t="s">
        <v>579</v>
      </c>
      <c r="D660" t="s">
        <v>48</v>
      </c>
      <c r="E660" s="37">
        <v>50</v>
      </c>
      <c r="F660" t="s">
        <v>80</v>
      </c>
      <c r="G660" t="s">
        <v>81</v>
      </c>
      <c r="H660" t="s">
        <v>74</v>
      </c>
      <c r="I660" t="s">
        <v>60</v>
      </c>
      <c r="J660" t="s">
        <v>76</v>
      </c>
      <c r="K660" s="37">
        <v>9</v>
      </c>
      <c r="L660" t="s">
        <v>120</v>
      </c>
      <c r="M660" s="21">
        <v>148000</v>
      </c>
      <c r="N660" s="21">
        <v>2113440</v>
      </c>
      <c r="O660" s="21">
        <v>337440</v>
      </c>
      <c r="P660">
        <v>5</v>
      </c>
      <c r="Q660" t="s">
        <v>42</v>
      </c>
      <c r="R660" s="37">
        <v>0</v>
      </c>
      <c r="S660" s="37">
        <v>3</v>
      </c>
      <c r="T660" t="s">
        <v>146</v>
      </c>
      <c r="U660" t="s">
        <v>63</v>
      </c>
      <c r="V660" t="s">
        <v>45</v>
      </c>
    </row>
    <row r="661" spans="1:22" ht="15" customHeight="1" x14ac:dyDescent="0.3">
      <c r="A661" t="s">
        <v>1198</v>
      </c>
      <c r="B661" s="20">
        <v>46014</v>
      </c>
      <c r="C661" t="s">
        <v>1097</v>
      </c>
      <c r="D661" t="s">
        <v>35</v>
      </c>
      <c r="E661" s="37">
        <v>23</v>
      </c>
      <c r="F661" t="s">
        <v>91</v>
      </c>
      <c r="G661" t="s">
        <v>92</v>
      </c>
      <c r="H661" t="s">
        <v>59</v>
      </c>
      <c r="I661" t="s">
        <v>39</v>
      </c>
      <c r="J661" t="s">
        <v>125</v>
      </c>
      <c r="K661" s="37">
        <v>1</v>
      </c>
      <c r="L661" t="s">
        <v>52</v>
      </c>
      <c r="M661" s="21">
        <v>39100</v>
      </c>
      <c r="N661" s="21">
        <v>525504</v>
      </c>
      <c r="O661" s="21">
        <v>56304</v>
      </c>
      <c r="P661">
        <v>3</v>
      </c>
      <c r="Q661" t="s">
        <v>126</v>
      </c>
      <c r="R661" s="37">
        <v>7</v>
      </c>
      <c r="S661" s="37">
        <v>30</v>
      </c>
      <c r="T661" t="s">
        <v>53</v>
      </c>
      <c r="U661" t="s">
        <v>63</v>
      </c>
      <c r="V661" t="s">
        <v>69</v>
      </c>
    </row>
    <row r="662" spans="1:22" ht="15" customHeight="1" x14ac:dyDescent="0.3">
      <c r="A662" t="s">
        <v>1199</v>
      </c>
      <c r="B662" s="20">
        <v>45724</v>
      </c>
      <c r="C662" t="s">
        <v>1200</v>
      </c>
      <c r="D662" t="s">
        <v>35</v>
      </c>
      <c r="E662" s="37">
        <v>28</v>
      </c>
      <c r="F662" t="s">
        <v>123</v>
      </c>
      <c r="G662" t="s">
        <v>124</v>
      </c>
      <c r="H662" t="s">
        <v>38</v>
      </c>
      <c r="I662" t="s">
        <v>75</v>
      </c>
      <c r="J662" t="s">
        <v>134</v>
      </c>
      <c r="K662" s="37">
        <v>12</v>
      </c>
      <c r="L662" t="s">
        <v>52</v>
      </c>
      <c r="M662" s="21">
        <v>73300</v>
      </c>
      <c r="N662" s="21">
        <v>1055520</v>
      </c>
      <c r="O662" s="21">
        <v>175920</v>
      </c>
      <c r="P662">
        <v>5</v>
      </c>
      <c r="Q662" t="s">
        <v>42</v>
      </c>
      <c r="R662" s="37">
        <v>19</v>
      </c>
      <c r="S662" s="37">
        <v>38</v>
      </c>
      <c r="T662" t="s">
        <v>105</v>
      </c>
      <c r="U662" t="s">
        <v>44</v>
      </c>
      <c r="V662" t="s">
        <v>45</v>
      </c>
    </row>
    <row r="663" spans="1:22" ht="15" customHeight="1" x14ac:dyDescent="0.3">
      <c r="A663" t="s">
        <v>1201</v>
      </c>
      <c r="B663" s="20">
        <v>45789</v>
      </c>
      <c r="C663" t="s">
        <v>274</v>
      </c>
      <c r="D663" t="s">
        <v>48</v>
      </c>
      <c r="E663" s="37">
        <v>55</v>
      </c>
      <c r="F663" t="s">
        <v>123</v>
      </c>
      <c r="G663" t="s">
        <v>124</v>
      </c>
      <c r="H663" t="s">
        <v>66</v>
      </c>
      <c r="I663" t="s">
        <v>51</v>
      </c>
      <c r="J663" t="s">
        <v>170</v>
      </c>
      <c r="K663" s="37">
        <v>0</v>
      </c>
      <c r="L663" t="s">
        <v>52</v>
      </c>
      <c r="M663" s="21">
        <v>290800</v>
      </c>
      <c r="N663" s="21">
        <v>4117728</v>
      </c>
      <c r="O663" s="21">
        <v>628128</v>
      </c>
      <c r="P663">
        <v>3</v>
      </c>
      <c r="Q663" t="s">
        <v>42</v>
      </c>
      <c r="R663" s="37">
        <v>10</v>
      </c>
      <c r="S663" s="37">
        <v>1</v>
      </c>
      <c r="T663" t="s">
        <v>43</v>
      </c>
      <c r="U663" t="s">
        <v>44</v>
      </c>
      <c r="V663" t="s">
        <v>45</v>
      </c>
    </row>
    <row r="664" spans="1:22" ht="15" customHeight="1" x14ac:dyDescent="0.3">
      <c r="A664" t="s">
        <v>1202</v>
      </c>
      <c r="B664" s="20">
        <v>45972</v>
      </c>
      <c r="C664" t="s">
        <v>690</v>
      </c>
      <c r="D664" t="s">
        <v>35</v>
      </c>
      <c r="E664" s="37">
        <v>23</v>
      </c>
      <c r="F664" t="s">
        <v>97</v>
      </c>
      <c r="G664" t="s">
        <v>98</v>
      </c>
      <c r="H664" t="s">
        <v>66</v>
      </c>
      <c r="I664" t="s">
        <v>82</v>
      </c>
      <c r="J664" t="s">
        <v>161</v>
      </c>
      <c r="K664" s="37">
        <v>11</v>
      </c>
      <c r="L664" t="s">
        <v>52</v>
      </c>
      <c r="M664" s="21">
        <v>75900</v>
      </c>
      <c r="N664" s="21">
        <v>1029203</v>
      </c>
      <c r="O664" s="21">
        <v>118404</v>
      </c>
      <c r="P664">
        <v>3</v>
      </c>
      <c r="Q664" t="s">
        <v>42</v>
      </c>
      <c r="R664" s="37">
        <v>1</v>
      </c>
      <c r="S664" s="37">
        <v>6</v>
      </c>
      <c r="T664" t="s">
        <v>62</v>
      </c>
      <c r="U664" t="s">
        <v>63</v>
      </c>
      <c r="V664" t="s">
        <v>69</v>
      </c>
    </row>
    <row r="665" spans="1:22" ht="15" customHeight="1" x14ac:dyDescent="0.3">
      <c r="A665" t="s">
        <v>1203</v>
      </c>
      <c r="B665" s="20">
        <v>45834</v>
      </c>
      <c r="C665" t="s">
        <v>340</v>
      </c>
      <c r="D665" t="s">
        <v>35</v>
      </c>
      <c r="E665" s="37">
        <v>57</v>
      </c>
      <c r="F665" t="s">
        <v>108</v>
      </c>
      <c r="G665" t="s">
        <v>109</v>
      </c>
      <c r="H665" t="s">
        <v>118</v>
      </c>
      <c r="I665" t="s">
        <v>75</v>
      </c>
      <c r="J665" t="s">
        <v>219</v>
      </c>
      <c r="K665" s="37">
        <v>30</v>
      </c>
      <c r="L665" t="s">
        <v>52</v>
      </c>
      <c r="M665" s="21">
        <v>79200</v>
      </c>
      <c r="N665" s="21">
        <v>1092960</v>
      </c>
      <c r="O665" s="21">
        <v>142560</v>
      </c>
      <c r="P665">
        <v>4</v>
      </c>
      <c r="Q665" t="s">
        <v>42</v>
      </c>
      <c r="R665" s="37">
        <v>13</v>
      </c>
      <c r="S665" s="37">
        <v>10</v>
      </c>
      <c r="T665" t="s">
        <v>68</v>
      </c>
      <c r="U665" t="s">
        <v>44</v>
      </c>
      <c r="V665" t="s">
        <v>69</v>
      </c>
    </row>
    <row r="666" spans="1:22" ht="15" customHeight="1" x14ac:dyDescent="0.3">
      <c r="A666" t="s">
        <v>1204</v>
      </c>
      <c r="B666" s="20">
        <v>45771</v>
      </c>
      <c r="C666" t="s">
        <v>1010</v>
      </c>
      <c r="D666" t="s">
        <v>35</v>
      </c>
      <c r="E666" s="37">
        <v>56</v>
      </c>
      <c r="F666" t="s">
        <v>91</v>
      </c>
      <c r="G666" t="s">
        <v>92</v>
      </c>
      <c r="H666" t="s">
        <v>38</v>
      </c>
      <c r="I666" t="s">
        <v>39</v>
      </c>
      <c r="J666" t="s">
        <v>40</v>
      </c>
      <c r="K666" s="37">
        <v>11</v>
      </c>
      <c r="L666" t="s">
        <v>52</v>
      </c>
      <c r="M666" s="21">
        <v>37600</v>
      </c>
      <c r="N666" s="21">
        <v>518879</v>
      </c>
      <c r="O666" s="21">
        <v>67680</v>
      </c>
      <c r="P666">
        <v>5</v>
      </c>
      <c r="Q666" t="s">
        <v>126</v>
      </c>
      <c r="R666" s="37">
        <v>18</v>
      </c>
      <c r="S666" s="37">
        <v>38</v>
      </c>
      <c r="T666" t="s">
        <v>105</v>
      </c>
      <c r="U666" t="s">
        <v>63</v>
      </c>
      <c r="V666" t="s">
        <v>45</v>
      </c>
    </row>
    <row r="667" spans="1:22" ht="15" customHeight="1" x14ac:dyDescent="0.3">
      <c r="A667" t="s">
        <v>1205</v>
      </c>
      <c r="B667" s="20">
        <v>45827</v>
      </c>
      <c r="C667" t="s">
        <v>154</v>
      </c>
      <c r="D667" t="s">
        <v>48</v>
      </c>
      <c r="E667" s="37">
        <v>34</v>
      </c>
      <c r="F667" t="s">
        <v>72</v>
      </c>
      <c r="G667" t="s">
        <v>73</v>
      </c>
      <c r="H667" t="s">
        <v>38</v>
      </c>
      <c r="I667" t="s">
        <v>82</v>
      </c>
      <c r="J667" t="s">
        <v>99</v>
      </c>
      <c r="K667" s="37">
        <v>22</v>
      </c>
      <c r="L667" t="s">
        <v>52</v>
      </c>
      <c r="M667" s="21">
        <v>51100</v>
      </c>
      <c r="N667" s="21">
        <v>717444</v>
      </c>
      <c r="O667" s="21">
        <v>104244</v>
      </c>
      <c r="P667">
        <v>2</v>
      </c>
      <c r="Q667" t="s">
        <v>126</v>
      </c>
      <c r="R667" s="37">
        <v>20</v>
      </c>
      <c r="S667" s="37">
        <v>9</v>
      </c>
      <c r="T667" t="s">
        <v>146</v>
      </c>
      <c r="U667" t="s">
        <v>63</v>
      </c>
      <c r="V667" t="s">
        <v>69</v>
      </c>
    </row>
    <row r="668" spans="1:22" ht="15" customHeight="1" x14ac:dyDescent="0.3">
      <c r="A668" t="s">
        <v>1206</v>
      </c>
      <c r="B668" s="20">
        <v>45787</v>
      </c>
      <c r="C668" t="s">
        <v>117</v>
      </c>
      <c r="D668" t="s">
        <v>35</v>
      </c>
      <c r="E668" s="37">
        <v>40</v>
      </c>
      <c r="F668" t="s">
        <v>36</v>
      </c>
      <c r="G668" t="s">
        <v>37</v>
      </c>
      <c r="H668" t="s">
        <v>38</v>
      </c>
      <c r="I668" t="s">
        <v>60</v>
      </c>
      <c r="J668" t="s">
        <v>110</v>
      </c>
      <c r="K668" s="37">
        <v>25</v>
      </c>
      <c r="L668" t="s">
        <v>52</v>
      </c>
      <c r="M668" s="21">
        <v>131600</v>
      </c>
      <c r="N668" s="21">
        <v>1721328</v>
      </c>
      <c r="O668" s="21">
        <v>142128</v>
      </c>
      <c r="P668">
        <v>5</v>
      </c>
      <c r="Q668" t="s">
        <v>42</v>
      </c>
      <c r="R668" s="37">
        <v>18</v>
      </c>
      <c r="S668" s="37">
        <v>14</v>
      </c>
      <c r="T668" t="s">
        <v>62</v>
      </c>
      <c r="U668" t="s">
        <v>63</v>
      </c>
      <c r="V668" t="s">
        <v>69</v>
      </c>
    </row>
    <row r="669" spans="1:22" ht="15" customHeight="1" x14ac:dyDescent="0.3">
      <c r="A669" t="s">
        <v>1207</v>
      </c>
      <c r="B669" s="20">
        <v>45887</v>
      </c>
      <c r="C669" t="s">
        <v>1208</v>
      </c>
      <c r="D669" t="s">
        <v>35</v>
      </c>
      <c r="E669" s="37">
        <v>57</v>
      </c>
      <c r="F669" t="s">
        <v>57</v>
      </c>
      <c r="G669" t="s">
        <v>58</v>
      </c>
      <c r="H669" t="s">
        <v>74</v>
      </c>
      <c r="I669" t="s">
        <v>60</v>
      </c>
      <c r="J669" t="s">
        <v>367</v>
      </c>
      <c r="K669" s="37">
        <v>12</v>
      </c>
      <c r="L669" t="s">
        <v>52</v>
      </c>
      <c r="M669" s="21">
        <v>161600</v>
      </c>
      <c r="N669" s="21">
        <v>2152512</v>
      </c>
      <c r="O669" s="21">
        <v>213312</v>
      </c>
      <c r="P669">
        <v>5</v>
      </c>
      <c r="Q669" t="s">
        <v>42</v>
      </c>
      <c r="R669" s="37">
        <v>10</v>
      </c>
      <c r="S669" s="37">
        <v>5</v>
      </c>
      <c r="T669" t="s">
        <v>146</v>
      </c>
      <c r="U669" t="s">
        <v>63</v>
      </c>
      <c r="V669" t="s">
        <v>45</v>
      </c>
    </row>
    <row r="670" spans="1:22" ht="15" customHeight="1" x14ac:dyDescent="0.3">
      <c r="A670" t="s">
        <v>1209</v>
      </c>
      <c r="B670" s="20">
        <v>45942</v>
      </c>
      <c r="C670" t="s">
        <v>1210</v>
      </c>
      <c r="D670" t="s">
        <v>48</v>
      </c>
      <c r="E670" s="37">
        <v>40</v>
      </c>
      <c r="F670" t="s">
        <v>36</v>
      </c>
      <c r="G670" t="s">
        <v>37</v>
      </c>
      <c r="H670" t="s">
        <v>38</v>
      </c>
      <c r="I670" t="s">
        <v>75</v>
      </c>
      <c r="J670" t="s">
        <v>110</v>
      </c>
      <c r="K670" s="37">
        <v>24</v>
      </c>
      <c r="L670" t="s">
        <v>52</v>
      </c>
      <c r="M670" s="21">
        <v>76100</v>
      </c>
      <c r="N670" s="21">
        <v>977124</v>
      </c>
      <c r="O670" s="21">
        <v>63924</v>
      </c>
      <c r="P670">
        <v>3</v>
      </c>
      <c r="Q670" t="s">
        <v>42</v>
      </c>
      <c r="R670" s="37">
        <v>9</v>
      </c>
      <c r="S670" s="37">
        <v>0</v>
      </c>
      <c r="T670" t="s">
        <v>62</v>
      </c>
      <c r="U670" t="s">
        <v>54</v>
      </c>
      <c r="V670" t="s">
        <v>45</v>
      </c>
    </row>
    <row r="671" spans="1:22" ht="15" customHeight="1" x14ac:dyDescent="0.3">
      <c r="A671" t="s">
        <v>1211</v>
      </c>
      <c r="B671" s="20">
        <v>45698</v>
      </c>
      <c r="C671" t="s">
        <v>203</v>
      </c>
      <c r="D671" t="s">
        <v>48</v>
      </c>
      <c r="E671" s="37">
        <v>26</v>
      </c>
      <c r="F671" t="s">
        <v>91</v>
      </c>
      <c r="G671" t="s">
        <v>92</v>
      </c>
      <c r="H671" t="s">
        <v>38</v>
      </c>
      <c r="I671" t="s">
        <v>39</v>
      </c>
      <c r="J671" t="s">
        <v>99</v>
      </c>
      <c r="K671" s="37">
        <v>8</v>
      </c>
      <c r="L671" t="s">
        <v>52</v>
      </c>
      <c r="M671" s="21">
        <v>35700</v>
      </c>
      <c r="N671" s="21">
        <v>479808</v>
      </c>
      <c r="O671" s="21">
        <v>51408</v>
      </c>
      <c r="P671">
        <v>3</v>
      </c>
      <c r="Q671" t="s">
        <v>42</v>
      </c>
      <c r="R671" s="37">
        <v>7</v>
      </c>
      <c r="S671" s="37">
        <v>8</v>
      </c>
      <c r="T671" t="s">
        <v>62</v>
      </c>
      <c r="U671" t="s">
        <v>44</v>
      </c>
      <c r="V671" t="s">
        <v>69</v>
      </c>
    </row>
    <row r="672" spans="1:22" ht="15" customHeight="1" x14ac:dyDescent="0.3">
      <c r="A672" t="s">
        <v>1212</v>
      </c>
      <c r="B672" s="20">
        <v>45953</v>
      </c>
      <c r="C672" t="s">
        <v>1125</v>
      </c>
      <c r="D672" t="s">
        <v>35</v>
      </c>
      <c r="E672" s="37">
        <v>24</v>
      </c>
      <c r="F672" t="s">
        <v>123</v>
      </c>
      <c r="G672" t="s">
        <v>124</v>
      </c>
      <c r="H672" t="s">
        <v>59</v>
      </c>
      <c r="I672" t="s">
        <v>60</v>
      </c>
      <c r="J672" t="s">
        <v>88</v>
      </c>
      <c r="K672" s="37">
        <v>19</v>
      </c>
      <c r="L672" t="s">
        <v>52</v>
      </c>
      <c r="M672" s="21">
        <v>118900</v>
      </c>
      <c r="N672" s="21">
        <v>1569480</v>
      </c>
      <c r="O672" s="21">
        <v>142680</v>
      </c>
      <c r="P672">
        <v>5</v>
      </c>
      <c r="Q672" t="s">
        <v>126</v>
      </c>
      <c r="R672" s="37">
        <v>15</v>
      </c>
      <c r="S672" s="37">
        <v>40</v>
      </c>
      <c r="T672" t="s">
        <v>129</v>
      </c>
      <c r="U672" t="s">
        <v>44</v>
      </c>
      <c r="V672" t="s">
        <v>69</v>
      </c>
    </row>
    <row r="673" spans="1:22" ht="15" customHeight="1" x14ac:dyDescent="0.3">
      <c r="A673" t="s">
        <v>1213</v>
      </c>
      <c r="B673" s="20">
        <v>45755</v>
      </c>
      <c r="C673" t="s">
        <v>1214</v>
      </c>
      <c r="D673" t="s">
        <v>35</v>
      </c>
      <c r="E673" s="37">
        <v>42</v>
      </c>
      <c r="F673" t="s">
        <v>97</v>
      </c>
      <c r="G673" t="s">
        <v>98</v>
      </c>
      <c r="H673" t="s">
        <v>66</v>
      </c>
      <c r="I673" t="s">
        <v>82</v>
      </c>
      <c r="J673" t="s">
        <v>161</v>
      </c>
      <c r="K673" s="37">
        <v>2</v>
      </c>
      <c r="L673" t="s">
        <v>52</v>
      </c>
      <c r="M673" s="21">
        <v>71500</v>
      </c>
      <c r="N673" s="21">
        <v>978120</v>
      </c>
      <c r="O673" s="21">
        <v>120120</v>
      </c>
      <c r="P673">
        <v>4</v>
      </c>
      <c r="Q673" t="s">
        <v>42</v>
      </c>
      <c r="R673" s="37">
        <v>6</v>
      </c>
      <c r="S673" s="37">
        <v>5</v>
      </c>
      <c r="T673" t="s">
        <v>68</v>
      </c>
      <c r="U673" t="s">
        <v>44</v>
      </c>
      <c r="V673" t="s">
        <v>45</v>
      </c>
    </row>
    <row r="674" spans="1:22" ht="15" customHeight="1" x14ac:dyDescent="0.3">
      <c r="A674" t="s">
        <v>1215</v>
      </c>
      <c r="B674" s="20">
        <v>45740</v>
      </c>
      <c r="C674" t="s">
        <v>1216</v>
      </c>
      <c r="D674" t="s">
        <v>48</v>
      </c>
      <c r="E674" s="37">
        <v>47</v>
      </c>
      <c r="F674" t="s">
        <v>72</v>
      </c>
      <c r="G674" t="s">
        <v>73</v>
      </c>
      <c r="H674" t="s">
        <v>66</v>
      </c>
      <c r="I674" t="s">
        <v>39</v>
      </c>
      <c r="J674" t="s">
        <v>67</v>
      </c>
      <c r="K674" s="37">
        <v>27</v>
      </c>
      <c r="L674" t="s">
        <v>120</v>
      </c>
      <c r="M674" s="21">
        <v>48200</v>
      </c>
      <c r="N674" s="21">
        <v>682512</v>
      </c>
      <c r="O674" s="21">
        <v>104112</v>
      </c>
      <c r="P674">
        <v>5</v>
      </c>
      <c r="Q674" t="s">
        <v>42</v>
      </c>
      <c r="R674" s="37">
        <v>18</v>
      </c>
      <c r="S674" s="37">
        <v>30</v>
      </c>
      <c r="T674" t="s">
        <v>94</v>
      </c>
      <c r="U674" t="s">
        <v>63</v>
      </c>
      <c r="V674" t="s">
        <v>45</v>
      </c>
    </row>
    <row r="675" spans="1:22" ht="15" customHeight="1" x14ac:dyDescent="0.3">
      <c r="A675" t="s">
        <v>1217</v>
      </c>
      <c r="B675" s="20">
        <v>45919</v>
      </c>
      <c r="C675" t="s">
        <v>458</v>
      </c>
      <c r="D675" t="s">
        <v>48</v>
      </c>
      <c r="E675" s="37">
        <v>47</v>
      </c>
      <c r="F675" t="s">
        <v>108</v>
      </c>
      <c r="G675" t="s">
        <v>109</v>
      </c>
      <c r="H675" t="s">
        <v>66</v>
      </c>
      <c r="I675" t="s">
        <v>82</v>
      </c>
      <c r="J675" t="s">
        <v>161</v>
      </c>
      <c r="K675" s="37">
        <v>5</v>
      </c>
      <c r="L675" t="s">
        <v>52</v>
      </c>
      <c r="M675" s="21">
        <v>66000</v>
      </c>
      <c r="N675" s="21">
        <v>926640</v>
      </c>
      <c r="O675" s="21">
        <v>134640</v>
      </c>
      <c r="P675">
        <v>4</v>
      </c>
      <c r="Q675" t="s">
        <v>42</v>
      </c>
      <c r="R675" s="37">
        <v>16</v>
      </c>
      <c r="S675" s="37">
        <v>39</v>
      </c>
      <c r="T675" t="s">
        <v>68</v>
      </c>
      <c r="U675" t="s">
        <v>54</v>
      </c>
      <c r="V675" t="s">
        <v>69</v>
      </c>
    </row>
    <row r="676" spans="1:22" ht="15" customHeight="1" x14ac:dyDescent="0.3">
      <c r="A676" t="s">
        <v>1218</v>
      </c>
      <c r="B676" s="20">
        <v>45903</v>
      </c>
      <c r="C676" t="s">
        <v>1219</v>
      </c>
      <c r="D676" t="s">
        <v>35</v>
      </c>
      <c r="E676" s="37">
        <v>35</v>
      </c>
      <c r="F676" t="s">
        <v>97</v>
      </c>
      <c r="G676" t="s">
        <v>98</v>
      </c>
      <c r="H676" t="s">
        <v>66</v>
      </c>
      <c r="I676" t="s">
        <v>75</v>
      </c>
      <c r="J676" t="s">
        <v>149</v>
      </c>
      <c r="K676" s="37">
        <v>9</v>
      </c>
      <c r="L676" t="s">
        <v>120</v>
      </c>
      <c r="M676" s="21">
        <v>86800</v>
      </c>
      <c r="N676" s="21">
        <v>1197840</v>
      </c>
      <c r="O676" s="21">
        <v>156240</v>
      </c>
      <c r="P676">
        <v>3</v>
      </c>
      <c r="Q676" t="s">
        <v>42</v>
      </c>
      <c r="R676" s="37">
        <v>5</v>
      </c>
      <c r="S676" s="37">
        <v>0</v>
      </c>
      <c r="T676" t="s">
        <v>94</v>
      </c>
      <c r="U676" t="s">
        <v>44</v>
      </c>
      <c r="V676" t="s">
        <v>45</v>
      </c>
    </row>
    <row r="677" spans="1:22" ht="15" customHeight="1" x14ac:dyDescent="0.3">
      <c r="A677" t="s">
        <v>1220</v>
      </c>
      <c r="B677" s="20">
        <v>45705</v>
      </c>
      <c r="C677" t="s">
        <v>1141</v>
      </c>
      <c r="D677" t="s">
        <v>48</v>
      </c>
      <c r="E677" s="37">
        <v>51</v>
      </c>
      <c r="F677" t="s">
        <v>108</v>
      </c>
      <c r="G677" t="s">
        <v>109</v>
      </c>
      <c r="H677" t="s">
        <v>59</v>
      </c>
      <c r="I677" t="s">
        <v>39</v>
      </c>
      <c r="J677" t="s">
        <v>125</v>
      </c>
      <c r="K677" s="37">
        <v>22</v>
      </c>
      <c r="L677" t="s">
        <v>52</v>
      </c>
      <c r="M677" s="21">
        <v>40100</v>
      </c>
      <c r="N677" s="21">
        <v>548568</v>
      </c>
      <c r="O677" s="21">
        <v>67368</v>
      </c>
      <c r="P677">
        <v>3</v>
      </c>
      <c r="Q677" t="s">
        <v>42</v>
      </c>
      <c r="R677" s="37">
        <v>19</v>
      </c>
      <c r="S677" s="37">
        <v>28</v>
      </c>
      <c r="T677" t="s">
        <v>68</v>
      </c>
      <c r="U677" t="s">
        <v>44</v>
      </c>
      <c r="V677" t="s">
        <v>69</v>
      </c>
    </row>
    <row r="678" spans="1:22" ht="15" customHeight="1" x14ac:dyDescent="0.3">
      <c r="A678" t="s">
        <v>1221</v>
      </c>
      <c r="B678" s="20">
        <v>45733</v>
      </c>
      <c r="C678" t="s">
        <v>1222</v>
      </c>
      <c r="D678" t="s">
        <v>35</v>
      </c>
      <c r="E678" s="37">
        <v>27</v>
      </c>
      <c r="F678" t="s">
        <v>72</v>
      </c>
      <c r="G678" t="s">
        <v>73</v>
      </c>
      <c r="H678" t="s">
        <v>118</v>
      </c>
      <c r="I678" t="s">
        <v>75</v>
      </c>
      <c r="J678" t="s">
        <v>250</v>
      </c>
      <c r="K678" s="37">
        <v>10</v>
      </c>
      <c r="L678" t="s">
        <v>120</v>
      </c>
      <c r="M678" s="21">
        <v>89500</v>
      </c>
      <c r="N678" s="21">
        <v>1159920</v>
      </c>
      <c r="O678" s="21">
        <v>85920</v>
      </c>
      <c r="P678">
        <v>4</v>
      </c>
      <c r="Q678" t="s">
        <v>42</v>
      </c>
      <c r="R678" s="37">
        <v>6</v>
      </c>
      <c r="S678" s="37">
        <v>3</v>
      </c>
      <c r="T678" t="s">
        <v>129</v>
      </c>
      <c r="U678" t="s">
        <v>63</v>
      </c>
      <c r="V678" t="s">
        <v>69</v>
      </c>
    </row>
    <row r="679" spans="1:22" ht="15" customHeight="1" x14ac:dyDescent="0.3">
      <c r="A679" t="s">
        <v>1223</v>
      </c>
      <c r="B679" s="20">
        <v>45798</v>
      </c>
      <c r="C679" t="s">
        <v>380</v>
      </c>
      <c r="D679" t="s">
        <v>35</v>
      </c>
      <c r="E679" s="37">
        <v>24</v>
      </c>
      <c r="F679" t="s">
        <v>72</v>
      </c>
      <c r="G679" t="s">
        <v>73</v>
      </c>
      <c r="H679" t="s">
        <v>118</v>
      </c>
      <c r="I679" t="s">
        <v>82</v>
      </c>
      <c r="J679" t="s">
        <v>119</v>
      </c>
      <c r="K679" s="37">
        <v>18</v>
      </c>
      <c r="L679" t="s">
        <v>52</v>
      </c>
      <c r="M679" s="21">
        <v>52400</v>
      </c>
      <c r="N679" s="21">
        <v>748272</v>
      </c>
      <c r="O679" s="21">
        <v>119472</v>
      </c>
      <c r="P679">
        <v>4</v>
      </c>
      <c r="Q679" t="s">
        <v>42</v>
      </c>
      <c r="R679" s="37">
        <v>5</v>
      </c>
      <c r="S679" s="37">
        <v>33</v>
      </c>
      <c r="T679" t="s">
        <v>53</v>
      </c>
      <c r="U679" t="s">
        <v>44</v>
      </c>
      <c r="V679" t="s">
        <v>69</v>
      </c>
    </row>
    <row r="680" spans="1:22" ht="15" customHeight="1" x14ac:dyDescent="0.3">
      <c r="A680" t="s">
        <v>1224</v>
      </c>
      <c r="B680" s="20">
        <v>45856</v>
      </c>
      <c r="C680" t="s">
        <v>1225</v>
      </c>
      <c r="D680" t="s">
        <v>35</v>
      </c>
      <c r="E680" s="37">
        <v>43</v>
      </c>
      <c r="F680" t="s">
        <v>36</v>
      </c>
      <c r="G680" t="s">
        <v>37</v>
      </c>
      <c r="H680" t="s">
        <v>66</v>
      </c>
      <c r="I680" t="s">
        <v>39</v>
      </c>
      <c r="J680" t="s">
        <v>67</v>
      </c>
      <c r="K680" s="37">
        <v>9</v>
      </c>
      <c r="L680" t="s">
        <v>52</v>
      </c>
      <c r="M680" s="21">
        <v>49800</v>
      </c>
      <c r="N680" s="21">
        <v>663336</v>
      </c>
      <c r="O680" s="21">
        <v>65736</v>
      </c>
      <c r="P680">
        <v>5</v>
      </c>
      <c r="Q680" t="s">
        <v>126</v>
      </c>
      <c r="R680" s="37">
        <v>7</v>
      </c>
      <c r="S680" s="37">
        <v>22</v>
      </c>
      <c r="T680" t="s">
        <v>77</v>
      </c>
      <c r="U680" t="s">
        <v>63</v>
      </c>
      <c r="V680" t="s">
        <v>45</v>
      </c>
    </row>
    <row r="681" spans="1:22" ht="15" customHeight="1" x14ac:dyDescent="0.3">
      <c r="A681" t="s">
        <v>1226</v>
      </c>
      <c r="B681" s="20">
        <v>45712</v>
      </c>
      <c r="C681" t="s">
        <v>1041</v>
      </c>
      <c r="D681" t="s">
        <v>48</v>
      </c>
      <c r="E681" s="37">
        <v>39</v>
      </c>
      <c r="F681" t="s">
        <v>97</v>
      </c>
      <c r="G681" t="s">
        <v>98</v>
      </c>
      <c r="H681" t="s">
        <v>118</v>
      </c>
      <c r="I681" t="s">
        <v>82</v>
      </c>
      <c r="J681" t="s">
        <v>137</v>
      </c>
      <c r="K681" s="37">
        <v>0</v>
      </c>
      <c r="L681" t="s">
        <v>52</v>
      </c>
      <c r="M681" s="21">
        <v>54800</v>
      </c>
      <c r="N681" s="21">
        <v>769392</v>
      </c>
      <c r="O681" s="21">
        <v>111792</v>
      </c>
      <c r="P681">
        <v>3</v>
      </c>
      <c r="Q681" t="s">
        <v>42</v>
      </c>
      <c r="R681" s="37">
        <v>4</v>
      </c>
      <c r="S681" s="37">
        <v>22</v>
      </c>
      <c r="T681" t="s">
        <v>105</v>
      </c>
      <c r="U681" t="s">
        <v>54</v>
      </c>
      <c r="V681" t="s">
        <v>45</v>
      </c>
    </row>
    <row r="682" spans="1:22" ht="15" customHeight="1" x14ac:dyDescent="0.3">
      <c r="A682" t="s">
        <v>1227</v>
      </c>
      <c r="B682" s="20">
        <v>45767</v>
      </c>
      <c r="C682" t="s">
        <v>1228</v>
      </c>
      <c r="D682" t="s">
        <v>48</v>
      </c>
      <c r="E682" s="37">
        <v>33</v>
      </c>
      <c r="F682" t="s">
        <v>91</v>
      </c>
      <c r="G682" t="s">
        <v>92</v>
      </c>
      <c r="H682" t="s">
        <v>118</v>
      </c>
      <c r="I682" t="s">
        <v>60</v>
      </c>
      <c r="J682" t="s">
        <v>182</v>
      </c>
      <c r="K682" s="37">
        <v>21</v>
      </c>
      <c r="L682" t="s">
        <v>52</v>
      </c>
      <c r="M682" s="21">
        <v>152100</v>
      </c>
      <c r="N682" s="21">
        <v>2044224</v>
      </c>
      <c r="O682" s="21">
        <v>219024</v>
      </c>
      <c r="P682">
        <v>3</v>
      </c>
      <c r="Q682" t="s">
        <v>42</v>
      </c>
      <c r="R682" s="37">
        <v>9</v>
      </c>
      <c r="S682" s="37">
        <v>40</v>
      </c>
      <c r="T682" t="s">
        <v>77</v>
      </c>
      <c r="U682" t="s">
        <v>63</v>
      </c>
      <c r="V682" t="s">
        <v>69</v>
      </c>
    </row>
    <row r="683" spans="1:22" ht="15" customHeight="1" x14ac:dyDescent="0.3">
      <c r="A683" t="s">
        <v>1229</v>
      </c>
      <c r="B683" s="20">
        <v>45840</v>
      </c>
      <c r="C683" t="s">
        <v>1230</v>
      </c>
      <c r="D683" t="s">
        <v>35</v>
      </c>
      <c r="E683" s="37">
        <v>55</v>
      </c>
      <c r="F683" t="s">
        <v>72</v>
      </c>
      <c r="G683" t="s">
        <v>73</v>
      </c>
      <c r="H683" t="s">
        <v>74</v>
      </c>
      <c r="I683" t="s">
        <v>82</v>
      </c>
      <c r="J683" t="s">
        <v>83</v>
      </c>
      <c r="K683" s="37">
        <v>20</v>
      </c>
      <c r="L683" t="s">
        <v>41</v>
      </c>
      <c r="M683" s="21">
        <v>73000</v>
      </c>
      <c r="N683" s="21">
        <v>998640</v>
      </c>
      <c r="O683" s="21">
        <v>122640</v>
      </c>
      <c r="P683">
        <v>3</v>
      </c>
      <c r="Q683" t="s">
        <v>42</v>
      </c>
      <c r="R683" s="37">
        <v>19</v>
      </c>
      <c r="S683" s="37">
        <v>34</v>
      </c>
      <c r="T683" t="s">
        <v>43</v>
      </c>
      <c r="U683" t="s">
        <v>63</v>
      </c>
      <c r="V683" t="s">
        <v>45</v>
      </c>
    </row>
    <row r="684" spans="1:22" ht="15" customHeight="1" x14ac:dyDescent="0.3">
      <c r="A684" t="s">
        <v>1231</v>
      </c>
      <c r="B684" s="20">
        <v>45886</v>
      </c>
      <c r="C684" t="s">
        <v>1028</v>
      </c>
      <c r="D684" t="s">
        <v>48</v>
      </c>
      <c r="E684" s="37">
        <v>23</v>
      </c>
      <c r="F684" t="s">
        <v>72</v>
      </c>
      <c r="G684" t="s">
        <v>73</v>
      </c>
      <c r="H684" t="s">
        <v>66</v>
      </c>
      <c r="I684" t="s">
        <v>39</v>
      </c>
      <c r="J684" t="s">
        <v>161</v>
      </c>
      <c r="K684" s="37">
        <v>27</v>
      </c>
      <c r="L684" t="s">
        <v>41</v>
      </c>
      <c r="M684" s="21">
        <v>45100</v>
      </c>
      <c r="N684" s="21">
        <v>611556</v>
      </c>
      <c r="O684" s="21">
        <v>70356</v>
      </c>
      <c r="P684">
        <v>5</v>
      </c>
      <c r="Q684" t="s">
        <v>126</v>
      </c>
      <c r="R684" s="37">
        <v>9</v>
      </c>
      <c r="S684" s="37">
        <v>11</v>
      </c>
      <c r="T684" t="s">
        <v>175</v>
      </c>
      <c r="U684" t="s">
        <v>138</v>
      </c>
      <c r="V684" t="s">
        <v>69</v>
      </c>
    </row>
    <row r="685" spans="1:22" ht="15" customHeight="1" x14ac:dyDescent="0.3">
      <c r="A685" t="s">
        <v>1232</v>
      </c>
      <c r="B685" s="20">
        <v>46009</v>
      </c>
      <c r="C685" t="s">
        <v>257</v>
      </c>
      <c r="D685" t="s">
        <v>35</v>
      </c>
      <c r="E685" s="37">
        <v>38</v>
      </c>
      <c r="F685" t="s">
        <v>80</v>
      </c>
      <c r="G685" t="s">
        <v>81</v>
      </c>
      <c r="H685" t="s">
        <v>59</v>
      </c>
      <c r="I685" t="s">
        <v>39</v>
      </c>
      <c r="J685" t="s">
        <v>141</v>
      </c>
      <c r="K685" s="37">
        <v>3</v>
      </c>
      <c r="L685" t="s">
        <v>52</v>
      </c>
      <c r="M685" s="21">
        <v>29700</v>
      </c>
      <c r="N685" s="21">
        <v>406296</v>
      </c>
      <c r="O685" s="21">
        <v>49896</v>
      </c>
      <c r="P685">
        <v>4</v>
      </c>
      <c r="Q685" t="s">
        <v>126</v>
      </c>
      <c r="R685" s="37">
        <v>19</v>
      </c>
      <c r="S685" s="37">
        <v>11</v>
      </c>
      <c r="T685" t="s">
        <v>105</v>
      </c>
      <c r="U685" t="s">
        <v>54</v>
      </c>
      <c r="V685" t="s">
        <v>69</v>
      </c>
    </row>
    <row r="686" spans="1:22" ht="15" customHeight="1" x14ac:dyDescent="0.3">
      <c r="A686" t="s">
        <v>1233</v>
      </c>
      <c r="B686" s="20">
        <v>45876</v>
      </c>
      <c r="C686" t="s">
        <v>1234</v>
      </c>
      <c r="D686" t="s">
        <v>35</v>
      </c>
      <c r="E686" s="37">
        <v>55</v>
      </c>
      <c r="F686" t="s">
        <v>108</v>
      </c>
      <c r="G686" t="s">
        <v>109</v>
      </c>
      <c r="H686" t="s">
        <v>74</v>
      </c>
      <c r="I686" t="s">
        <v>82</v>
      </c>
      <c r="J686" t="s">
        <v>152</v>
      </c>
      <c r="K686" s="37">
        <v>28</v>
      </c>
      <c r="L686" t="s">
        <v>52</v>
      </c>
      <c r="M686" s="21">
        <v>54000</v>
      </c>
      <c r="N686" s="21">
        <v>725760</v>
      </c>
      <c r="O686" s="21">
        <v>77760</v>
      </c>
      <c r="P686">
        <v>4</v>
      </c>
      <c r="Q686" t="s">
        <v>42</v>
      </c>
      <c r="R686" s="37">
        <v>4</v>
      </c>
      <c r="S686" s="37">
        <v>32</v>
      </c>
      <c r="T686" t="s">
        <v>94</v>
      </c>
      <c r="U686" t="s">
        <v>44</v>
      </c>
      <c r="V686" t="s">
        <v>45</v>
      </c>
    </row>
    <row r="687" spans="1:22" ht="15" customHeight="1" x14ac:dyDescent="0.3">
      <c r="A687" t="s">
        <v>1235</v>
      </c>
      <c r="B687" s="20">
        <v>45800</v>
      </c>
      <c r="C687" t="s">
        <v>1156</v>
      </c>
      <c r="D687" t="s">
        <v>35</v>
      </c>
      <c r="E687" s="37">
        <v>46</v>
      </c>
      <c r="F687" t="s">
        <v>123</v>
      </c>
      <c r="G687" t="s">
        <v>124</v>
      </c>
      <c r="H687" t="s">
        <v>118</v>
      </c>
      <c r="I687" t="s">
        <v>82</v>
      </c>
      <c r="J687" t="s">
        <v>119</v>
      </c>
      <c r="K687" s="37">
        <v>29</v>
      </c>
      <c r="L687" t="s">
        <v>52</v>
      </c>
      <c r="M687" s="21">
        <v>61800</v>
      </c>
      <c r="N687" s="21">
        <v>845424</v>
      </c>
      <c r="O687" s="21">
        <v>103824</v>
      </c>
      <c r="P687">
        <v>5</v>
      </c>
      <c r="Q687" t="s">
        <v>42</v>
      </c>
      <c r="R687" s="37">
        <v>15</v>
      </c>
      <c r="S687" s="37">
        <v>40</v>
      </c>
      <c r="T687" t="s">
        <v>129</v>
      </c>
      <c r="U687" t="s">
        <v>63</v>
      </c>
      <c r="V687" t="s">
        <v>45</v>
      </c>
    </row>
    <row r="688" spans="1:22" ht="15" customHeight="1" x14ac:dyDescent="0.3">
      <c r="A688" t="s">
        <v>1236</v>
      </c>
      <c r="B688" s="20">
        <v>45952</v>
      </c>
      <c r="C688" t="s">
        <v>1237</v>
      </c>
      <c r="D688" t="s">
        <v>35</v>
      </c>
      <c r="E688" s="37">
        <v>57</v>
      </c>
      <c r="F688" t="s">
        <v>97</v>
      </c>
      <c r="G688" t="s">
        <v>98</v>
      </c>
      <c r="H688" t="s">
        <v>38</v>
      </c>
      <c r="I688" t="s">
        <v>75</v>
      </c>
      <c r="J688" t="s">
        <v>40</v>
      </c>
      <c r="K688" s="37">
        <v>19</v>
      </c>
      <c r="L688" t="s">
        <v>52</v>
      </c>
      <c r="M688" s="21">
        <v>75100</v>
      </c>
      <c r="N688" s="21">
        <v>1045391</v>
      </c>
      <c r="O688" s="21">
        <v>144192</v>
      </c>
      <c r="P688">
        <v>5</v>
      </c>
      <c r="Q688" t="s">
        <v>42</v>
      </c>
      <c r="R688" s="37">
        <v>4</v>
      </c>
      <c r="S688" s="37">
        <v>30</v>
      </c>
      <c r="T688" t="s">
        <v>43</v>
      </c>
      <c r="U688" t="s">
        <v>63</v>
      </c>
      <c r="V688" t="s">
        <v>69</v>
      </c>
    </row>
    <row r="689" spans="1:22" ht="15" customHeight="1" x14ac:dyDescent="0.3">
      <c r="A689" t="s">
        <v>1238</v>
      </c>
      <c r="B689" s="20">
        <v>45692</v>
      </c>
      <c r="C689" t="s">
        <v>1239</v>
      </c>
      <c r="D689" t="s">
        <v>35</v>
      </c>
      <c r="E689" s="37">
        <v>33</v>
      </c>
      <c r="F689" t="s">
        <v>123</v>
      </c>
      <c r="G689" t="s">
        <v>124</v>
      </c>
      <c r="H689" t="s">
        <v>66</v>
      </c>
      <c r="I689" t="s">
        <v>39</v>
      </c>
      <c r="J689" t="s">
        <v>67</v>
      </c>
      <c r="K689" s="37">
        <v>28</v>
      </c>
      <c r="L689" t="s">
        <v>41</v>
      </c>
      <c r="M689" s="21">
        <v>45100</v>
      </c>
      <c r="N689" s="21">
        <v>611556</v>
      </c>
      <c r="O689" s="21">
        <v>70356</v>
      </c>
      <c r="P689">
        <v>3</v>
      </c>
      <c r="Q689" t="s">
        <v>42</v>
      </c>
      <c r="R689" s="37">
        <v>7</v>
      </c>
      <c r="S689" s="37">
        <v>14</v>
      </c>
      <c r="T689" t="s">
        <v>62</v>
      </c>
      <c r="U689" t="s">
        <v>44</v>
      </c>
      <c r="V689" t="s">
        <v>69</v>
      </c>
    </row>
    <row r="690" spans="1:22" ht="15" customHeight="1" x14ac:dyDescent="0.3">
      <c r="A690" t="s">
        <v>1240</v>
      </c>
      <c r="B690" s="20">
        <v>45972</v>
      </c>
      <c r="C690" t="s">
        <v>1010</v>
      </c>
      <c r="D690" t="s">
        <v>35</v>
      </c>
      <c r="E690" s="37">
        <v>56</v>
      </c>
      <c r="F690" t="s">
        <v>49</v>
      </c>
      <c r="G690" t="s">
        <v>50</v>
      </c>
      <c r="H690" t="s">
        <v>38</v>
      </c>
      <c r="I690" t="s">
        <v>75</v>
      </c>
      <c r="J690" t="s">
        <v>40</v>
      </c>
      <c r="K690" s="37">
        <v>23</v>
      </c>
      <c r="L690" t="s">
        <v>52</v>
      </c>
      <c r="M690" s="21">
        <v>83600</v>
      </c>
      <c r="N690" s="21">
        <v>1073424</v>
      </c>
      <c r="O690" s="21">
        <v>70224</v>
      </c>
      <c r="P690">
        <v>2</v>
      </c>
      <c r="Q690" t="s">
        <v>42</v>
      </c>
      <c r="R690" s="37">
        <v>19</v>
      </c>
      <c r="S690" s="37">
        <v>24</v>
      </c>
      <c r="T690" t="s">
        <v>146</v>
      </c>
      <c r="U690" t="s">
        <v>138</v>
      </c>
      <c r="V690" t="s">
        <v>45</v>
      </c>
    </row>
    <row r="691" spans="1:22" ht="15" customHeight="1" x14ac:dyDescent="0.3">
      <c r="A691" t="s">
        <v>1241</v>
      </c>
      <c r="B691" s="20">
        <v>45861</v>
      </c>
      <c r="C691" t="s">
        <v>1242</v>
      </c>
      <c r="D691" t="s">
        <v>35</v>
      </c>
      <c r="E691" s="37">
        <v>26</v>
      </c>
      <c r="F691" t="s">
        <v>86</v>
      </c>
      <c r="G691" t="s">
        <v>87</v>
      </c>
      <c r="H691" t="s">
        <v>66</v>
      </c>
      <c r="I691" t="s">
        <v>51</v>
      </c>
      <c r="J691" t="s">
        <v>170</v>
      </c>
      <c r="K691" s="37">
        <v>28</v>
      </c>
      <c r="L691" t="s">
        <v>52</v>
      </c>
      <c r="M691" s="21">
        <v>213000</v>
      </c>
      <c r="N691" s="21">
        <v>2837160</v>
      </c>
      <c r="O691" s="21">
        <v>281160</v>
      </c>
      <c r="P691">
        <v>3</v>
      </c>
      <c r="Q691" t="s">
        <v>42</v>
      </c>
      <c r="R691" s="37">
        <v>20</v>
      </c>
      <c r="S691" s="37">
        <v>38</v>
      </c>
      <c r="T691" t="s">
        <v>94</v>
      </c>
      <c r="U691" t="s">
        <v>63</v>
      </c>
      <c r="V691" t="s">
        <v>45</v>
      </c>
    </row>
    <row r="692" spans="1:22" ht="15" customHeight="1" x14ac:dyDescent="0.3">
      <c r="A692" t="s">
        <v>1243</v>
      </c>
      <c r="B692" s="20">
        <v>45767</v>
      </c>
      <c r="C692" t="s">
        <v>809</v>
      </c>
      <c r="D692" t="s">
        <v>48</v>
      </c>
      <c r="E692" s="37">
        <v>40</v>
      </c>
      <c r="F692" t="s">
        <v>36</v>
      </c>
      <c r="G692" t="s">
        <v>37</v>
      </c>
      <c r="H692" t="s">
        <v>38</v>
      </c>
      <c r="I692" t="s">
        <v>60</v>
      </c>
      <c r="J692" t="s">
        <v>110</v>
      </c>
      <c r="K692" s="37">
        <v>30</v>
      </c>
      <c r="L692" t="s">
        <v>120</v>
      </c>
      <c r="M692" s="21">
        <v>127300</v>
      </c>
      <c r="N692" s="21">
        <v>1665084</v>
      </c>
      <c r="O692" s="21">
        <v>137484</v>
      </c>
      <c r="P692">
        <v>3</v>
      </c>
      <c r="Q692" t="s">
        <v>42</v>
      </c>
      <c r="R692" s="37">
        <v>12</v>
      </c>
      <c r="S692" s="37">
        <v>9</v>
      </c>
      <c r="T692" t="s">
        <v>53</v>
      </c>
      <c r="U692" t="s">
        <v>63</v>
      </c>
      <c r="V692" t="s">
        <v>45</v>
      </c>
    </row>
    <row r="693" spans="1:22" ht="15" customHeight="1" x14ac:dyDescent="0.3">
      <c r="A693" t="s">
        <v>1244</v>
      </c>
      <c r="B693" s="20">
        <v>45911</v>
      </c>
      <c r="C693" t="s">
        <v>206</v>
      </c>
      <c r="D693" t="s">
        <v>48</v>
      </c>
      <c r="E693" s="37">
        <v>51</v>
      </c>
      <c r="F693" t="s">
        <v>49</v>
      </c>
      <c r="G693" t="s">
        <v>50</v>
      </c>
      <c r="H693" t="s">
        <v>38</v>
      </c>
      <c r="I693" t="s">
        <v>75</v>
      </c>
      <c r="J693" t="s">
        <v>99</v>
      </c>
      <c r="K693" s="37">
        <v>12</v>
      </c>
      <c r="L693" t="s">
        <v>52</v>
      </c>
      <c r="M693" s="21">
        <v>101500</v>
      </c>
      <c r="N693" s="21">
        <v>1364160</v>
      </c>
      <c r="O693" s="21">
        <v>146160</v>
      </c>
      <c r="P693">
        <v>3</v>
      </c>
      <c r="Q693" t="s">
        <v>42</v>
      </c>
      <c r="R693" s="37">
        <v>19</v>
      </c>
      <c r="S693" s="37">
        <v>14</v>
      </c>
      <c r="T693" t="s">
        <v>129</v>
      </c>
      <c r="U693" t="s">
        <v>63</v>
      </c>
      <c r="V693" t="s">
        <v>45</v>
      </c>
    </row>
    <row r="694" spans="1:22" ht="15" customHeight="1" x14ac:dyDescent="0.3">
      <c r="A694" t="s">
        <v>1245</v>
      </c>
      <c r="B694" s="20">
        <v>45911</v>
      </c>
      <c r="C694" t="s">
        <v>1246</v>
      </c>
      <c r="D694" t="s">
        <v>35</v>
      </c>
      <c r="E694" s="37">
        <v>44</v>
      </c>
      <c r="F694" t="s">
        <v>36</v>
      </c>
      <c r="G694" t="s">
        <v>37</v>
      </c>
      <c r="H694" t="s">
        <v>59</v>
      </c>
      <c r="I694" t="s">
        <v>75</v>
      </c>
      <c r="J694" t="s">
        <v>125</v>
      </c>
      <c r="K694" s="37">
        <v>29</v>
      </c>
      <c r="L694" t="s">
        <v>52</v>
      </c>
      <c r="M694" s="21">
        <v>68300</v>
      </c>
      <c r="N694" s="21">
        <v>934344</v>
      </c>
      <c r="O694" s="21">
        <v>114744</v>
      </c>
      <c r="P694">
        <v>3</v>
      </c>
      <c r="Q694" t="s">
        <v>42</v>
      </c>
      <c r="R694" s="37">
        <v>16</v>
      </c>
      <c r="S694" s="37">
        <v>7</v>
      </c>
      <c r="T694" t="s">
        <v>77</v>
      </c>
      <c r="U694" t="s">
        <v>44</v>
      </c>
      <c r="V694" t="s">
        <v>45</v>
      </c>
    </row>
    <row r="695" spans="1:22" ht="15" customHeight="1" x14ac:dyDescent="0.3">
      <c r="A695" t="s">
        <v>1247</v>
      </c>
      <c r="B695" s="20">
        <v>45854</v>
      </c>
      <c r="C695" t="s">
        <v>1248</v>
      </c>
      <c r="D695" t="s">
        <v>35</v>
      </c>
      <c r="E695" s="37">
        <v>58</v>
      </c>
      <c r="F695" t="s">
        <v>91</v>
      </c>
      <c r="G695" t="s">
        <v>92</v>
      </c>
      <c r="H695" t="s">
        <v>66</v>
      </c>
      <c r="I695" t="s">
        <v>60</v>
      </c>
      <c r="J695" t="s">
        <v>170</v>
      </c>
      <c r="K695" s="37">
        <v>18</v>
      </c>
      <c r="L695" t="s">
        <v>52</v>
      </c>
      <c r="M695" s="21">
        <v>139500</v>
      </c>
      <c r="N695" s="21">
        <v>1941839</v>
      </c>
      <c r="O695" s="21">
        <v>267840</v>
      </c>
      <c r="P695">
        <v>5</v>
      </c>
      <c r="Q695" t="s">
        <v>42</v>
      </c>
      <c r="R695" s="37">
        <v>7</v>
      </c>
      <c r="S695" s="37">
        <v>30</v>
      </c>
      <c r="T695" t="s">
        <v>129</v>
      </c>
      <c r="U695" t="s">
        <v>63</v>
      </c>
      <c r="V695" t="s">
        <v>45</v>
      </c>
    </row>
    <row r="696" spans="1:22" ht="15" customHeight="1" x14ac:dyDescent="0.3">
      <c r="A696" t="s">
        <v>1249</v>
      </c>
      <c r="B696" s="20">
        <v>45665</v>
      </c>
      <c r="C696" t="s">
        <v>1250</v>
      </c>
      <c r="D696" t="s">
        <v>35</v>
      </c>
      <c r="E696" s="37">
        <v>24</v>
      </c>
      <c r="F696" t="s">
        <v>97</v>
      </c>
      <c r="G696" t="s">
        <v>98</v>
      </c>
      <c r="H696" t="s">
        <v>66</v>
      </c>
      <c r="I696" t="s">
        <v>39</v>
      </c>
      <c r="J696" t="s">
        <v>161</v>
      </c>
      <c r="K696" s="37">
        <v>7</v>
      </c>
      <c r="L696" t="s">
        <v>52</v>
      </c>
      <c r="M696" s="21">
        <v>43800</v>
      </c>
      <c r="N696" s="21">
        <v>625464</v>
      </c>
      <c r="O696" s="21">
        <v>99864</v>
      </c>
      <c r="P696">
        <v>4</v>
      </c>
      <c r="Q696" t="s">
        <v>126</v>
      </c>
      <c r="R696" s="37">
        <v>2</v>
      </c>
      <c r="S696" s="37">
        <v>23</v>
      </c>
      <c r="T696" t="s">
        <v>77</v>
      </c>
      <c r="U696" t="s">
        <v>63</v>
      </c>
      <c r="V696" t="s">
        <v>45</v>
      </c>
    </row>
    <row r="697" spans="1:22" ht="15" customHeight="1" x14ac:dyDescent="0.3">
      <c r="A697" t="s">
        <v>1251</v>
      </c>
      <c r="B697" s="20">
        <v>45974</v>
      </c>
      <c r="C697" t="s">
        <v>870</v>
      </c>
      <c r="D697" t="s">
        <v>35</v>
      </c>
      <c r="E697" s="37">
        <v>45</v>
      </c>
      <c r="F697" t="s">
        <v>91</v>
      </c>
      <c r="G697" t="s">
        <v>92</v>
      </c>
      <c r="H697" t="s">
        <v>74</v>
      </c>
      <c r="I697" t="s">
        <v>75</v>
      </c>
      <c r="J697" t="s">
        <v>152</v>
      </c>
      <c r="K697" s="37">
        <v>19</v>
      </c>
      <c r="L697" t="s">
        <v>52</v>
      </c>
      <c r="M697" s="21">
        <v>93400</v>
      </c>
      <c r="N697" s="21">
        <v>1188048</v>
      </c>
      <c r="O697" s="21">
        <v>67248</v>
      </c>
      <c r="P697">
        <v>2</v>
      </c>
      <c r="Q697" t="s">
        <v>42</v>
      </c>
      <c r="R697" s="37">
        <v>4</v>
      </c>
      <c r="S697" s="37">
        <v>8</v>
      </c>
      <c r="T697" t="s">
        <v>146</v>
      </c>
      <c r="U697" t="s">
        <v>63</v>
      </c>
      <c r="V697" t="s">
        <v>45</v>
      </c>
    </row>
    <row r="698" spans="1:22" ht="15" customHeight="1" x14ac:dyDescent="0.3">
      <c r="A698" t="s">
        <v>1252</v>
      </c>
      <c r="B698" s="20">
        <v>45895</v>
      </c>
      <c r="C698" t="s">
        <v>1253</v>
      </c>
      <c r="D698" t="s">
        <v>35</v>
      </c>
      <c r="E698" s="37">
        <v>58</v>
      </c>
      <c r="F698" t="s">
        <v>49</v>
      </c>
      <c r="G698" t="s">
        <v>50</v>
      </c>
      <c r="H698" t="s">
        <v>74</v>
      </c>
      <c r="I698" t="s">
        <v>75</v>
      </c>
      <c r="J698" t="s">
        <v>76</v>
      </c>
      <c r="K698" s="37">
        <v>8</v>
      </c>
      <c r="L698" t="s">
        <v>52</v>
      </c>
      <c r="M698" s="21">
        <v>113900</v>
      </c>
      <c r="N698" s="21">
        <v>1489812</v>
      </c>
      <c r="O698" s="21">
        <v>123012</v>
      </c>
      <c r="P698">
        <v>3</v>
      </c>
      <c r="Q698" t="s">
        <v>126</v>
      </c>
      <c r="R698" s="37">
        <v>12</v>
      </c>
      <c r="S698" s="37">
        <v>20</v>
      </c>
      <c r="T698" t="s">
        <v>77</v>
      </c>
      <c r="U698" t="s">
        <v>44</v>
      </c>
      <c r="V698" t="s">
        <v>69</v>
      </c>
    </row>
    <row r="699" spans="1:22" ht="15" customHeight="1" x14ac:dyDescent="0.3">
      <c r="A699" t="s">
        <v>1254</v>
      </c>
      <c r="B699" s="20">
        <v>45667</v>
      </c>
      <c r="C699" t="s">
        <v>107</v>
      </c>
      <c r="D699" t="s">
        <v>35</v>
      </c>
      <c r="E699" s="37">
        <v>52</v>
      </c>
      <c r="F699" t="s">
        <v>86</v>
      </c>
      <c r="G699" t="s">
        <v>87</v>
      </c>
      <c r="H699" t="s">
        <v>38</v>
      </c>
      <c r="I699" t="s">
        <v>75</v>
      </c>
      <c r="J699" t="s">
        <v>190</v>
      </c>
      <c r="K699" s="37">
        <v>30</v>
      </c>
      <c r="L699" t="s">
        <v>52</v>
      </c>
      <c r="M699" s="21">
        <v>99200</v>
      </c>
      <c r="N699" s="21">
        <v>1297536</v>
      </c>
      <c r="O699" s="21">
        <v>107136</v>
      </c>
      <c r="P699">
        <v>4</v>
      </c>
      <c r="Q699" t="s">
        <v>42</v>
      </c>
      <c r="R699" s="37">
        <v>10</v>
      </c>
      <c r="S699" s="37">
        <v>28</v>
      </c>
      <c r="T699" t="s">
        <v>43</v>
      </c>
      <c r="U699" t="s">
        <v>44</v>
      </c>
      <c r="V699" t="s">
        <v>45</v>
      </c>
    </row>
    <row r="700" spans="1:22" ht="15" customHeight="1" x14ac:dyDescent="0.3">
      <c r="A700" t="s">
        <v>1255</v>
      </c>
      <c r="B700" s="20">
        <v>45975</v>
      </c>
      <c r="C700" t="s">
        <v>589</v>
      </c>
      <c r="D700" t="s">
        <v>35</v>
      </c>
      <c r="E700" s="37">
        <v>58</v>
      </c>
      <c r="F700" t="s">
        <v>123</v>
      </c>
      <c r="G700" t="s">
        <v>124</v>
      </c>
      <c r="H700" t="s">
        <v>66</v>
      </c>
      <c r="I700" t="s">
        <v>75</v>
      </c>
      <c r="J700" t="s">
        <v>67</v>
      </c>
      <c r="K700" s="37">
        <v>20</v>
      </c>
      <c r="L700" t="s">
        <v>52</v>
      </c>
      <c r="M700" s="21">
        <v>111500</v>
      </c>
      <c r="N700" s="21">
        <v>1552080</v>
      </c>
      <c r="O700" s="21">
        <v>214080</v>
      </c>
      <c r="P700">
        <v>3</v>
      </c>
      <c r="Q700" t="s">
        <v>42</v>
      </c>
      <c r="R700" s="37">
        <v>14</v>
      </c>
      <c r="S700" s="37">
        <v>16</v>
      </c>
      <c r="T700" t="s">
        <v>53</v>
      </c>
      <c r="U700" t="s">
        <v>138</v>
      </c>
      <c r="V700" t="s">
        <v>45</v>
      </c>
    </row>
    <row r="701" spans="1:22" ht="15" customHeight="1" x14ac:dyDescent="0.3">
      <c r="A701" t="s">
        <v>1256</v>
      </c>
      <c r="B701" s="20">
        <v>45691</v>
      </c>
      <c r="C701" t="s">
        <v>1257</v>
      </c>
      <c r="D701" t="s">
        <v>35</v>
      </c>
      <c r="E701" s="37">
        <v>43</v>
      </c>
      <c r="F701" t="s">
        <v>49</v>
      </c>
      <c r="G701" t="s">
        <v>50</v>
      </c>
      <c r="H701" t="s">
        <v>66</v>
      </c>
      <c r="I701" t="s">
        <v>75</v>
      </c>
      <c r="J701" t="s">
        <v>93</v>
      </c>
      <c r="K701" s="37">
        <v>3</v>
      </c>
      <c r="L701" t="s">
        <v>52</v>
      </c>
      <c r="M701" s="21">
        <v>88900</v>
      </c>
      <c r="N701" s="21">
        <v>1258824</v>
      </c>
      <c r="O701" s="21">
        <v>192024</v>
      </c>
      <c r="P701">
        <v>5</v>
      </c>
      <c r="Q701" t="s">
        <v>126</v>
      </c>
      <c r="R701" s="37">
        <v>15</v>
      </c>
      <c r="S701" s="37">
        <v>10</v>
      </c>
      <c r="T701" t="s">
        <v>129</v>
      </c>
      <c r="U701" t="s">
        <v>63</v>
      </c>
      <c r="V701" t="s">
        <v>45</v>
      </c>
    </row>
    <row r="702" spans="1:22" ht="15" customHeight="1" x14ac:dyDescent="0.3">
      <c r="A702" t="s">
        <v>1258</v>
      </c>
      <c r="B702" s="20">
        <v>45925</v>
      </c>
      <c r="C702" t="s">
        <v>1259</v>
      </c>
      <c r="D702" t="s">
        <v>48</v>
      </c>
      <c r="E702" s="37">
        <v>48</v>
      </c>
      <c r="F702" t="s">
        <v>97</v>
      </c>
      <c r="G702" t="s">
        <v>98</v>
      </c>
      <c r="H702" t="s">
        <v>66</v>
      </c>
      <c r="I702" t="s">
        <v>75</v>
      </c>
      <c r="J702" t="s">
        <v>67</v>
      </c>
      <c r="K702" s="37">
        <v>9</v>
      </c>
      <c r="L702" t="s">
        <v>41</v>
      </c>
      <c r="M702" s="21">
        <v>113500</v>
      </c>
      <c r="N702" s="21">
        <v>1443720</v>
      </c>
      <c r="O702" s="21">
        <v>81720</v>
      </c>
      <c r="P702">
        <v>4</v>
      </c>
      <c r="Q702" t="s">
        <v>126</v>
      </c>
      <c r="R702" s="37">
        <v>11</v>
      </c>
      <c r="S702" s="37">
        <v>24</v>
      </c>
      <c r="T702" t="s">
        <v>175</v>
      </c>
      <c r="U702" t="s">
        <v>44</v>
      </c>
      <c r="V702" t="s">
        <v>69</v>
      </c>
    </row>
    <row r="703" spans="1:22" ht="15" customHeight="1" x14ac:dyDescent="0.3">
      <c r="A703" t="s">
        <v>1260</v>
      </c>
      <c r="B703" s="20">
        <v>45822</v>
      </c>
      <c r="C703" t="s">
        <v>117</v>
      </c>
      <c r="D703" t="s">
        <v>35</v>
      </c>
      <c r="E703" s="37">
        <v>38</v>
      </c>
      <c r="F703" t="s">
        <v>49</v>
      </c>
      <c r="G703" t="s">
        <v>50</v>
      </c>
      <c r="H703" t="s">
        <v>66</v>
      </c>
      <c r="I703" t="s">
        <v>39</v>
      </c>
      <c r="J703" t="s">
        <v>170</v>
      </c>
      <c r="K703" s="37">
        <v>22</v>
      </c>
      <c r="L703" t="s">
        <v>52</v>
      </c>
      <c r="M703" s="21">
        <v>36900</v>
      </c>
      <c r="N703" s="21">
        <v>482652</v>
      </c>
      <c r="O703" s="21">
        <v>39852</v>
      </c>
      <c r="P703">
        <v>4</v>
      </c>
      <c r="Q703" t="s">
        <v>42</v>
      </c>
      <c r="R703" s="37">
        <v>20</v>
      </c>
      <c r="S703" s="37">
        <v>34</v>
      </c>
      <c r="T703" t="s">
        <v>146</v>
      </c>
      <c r="U703" t="s">
        <v>63</v>
      </c>
      <c r="V703" t="s">
        <v>45</v>
      </c>
    </row>
    <row r="704" spans="1:22" ht="15" customHeight="1" x14ac:dyDescent="0.3">
      <c r="A704" t="s">
        <v>1261</v>
      </c>
      <c r="B704" s="20">
        <v>45871</v>
      </c>
      <c r="C704" t="s">
        <v>1097</v>
      </c>
      <c r="D704" t="s">
        <v>35</v>
      </c>
      <c r="E704" s="37">
        <v>51</v>
      </c>
      <c r="F704" t="s">
        <v>72</v>
      </c>
      <c r="G704" t="s">
        <v>73</v>
      </c>
      <c r="H704" t="s">
        <v>38</v>
      </c>
      <c r="I704" t="s">
        <v>82</v>
      </c>
      <c r="J704" t="s">
        <v>110</v>
      </c>
      <c r="K704" s="37">
        <v>0</v>
      </c>
      <c r="L704" t="s">
        <v>52</v>
      </c>
      <c r="M704" s="21">
        <v>64600</v>
      </c>
      <c r="N704" s="21">
        <v>906984</v>
      </c>
      <c r="O704" s="21">
        <v>131784</v>
      </c>
      <c r="P704">
        <v>4</v>
      </c>
      <c r="Q704" t="s">
        <v>42</v>
      </c>
      <c r="R704" s="37">
        <v>3</v>
      </c>
      <c r="S704" s="37">
        <v>16</v>
      </c>
      <c r="T704" t="s">
        <v>146</v>
      </c>
      <c r="U704" t="s">
        <v>44</v>
      </c>
      <c r="V704" t="s">
        <v>45</v>
      </c>
    </row>
    <row r="705" spans="1:22" ht="15" customHeight="1" x14ac:dyDescent="0.3">
      <c r="A705" t="s">
        <v>1262</v>
      </c>
      <c r="B705" s="20">
        <v>45706</v>
      </c>
      <c r="C705" t="s">
        <v>1263</v>
      </c>
      <c r="D705" t="s">
        <v>35</v>
      </c>
      <c r="E705" s="37">
        <v>58</v>
      </c>
      <c r="F705" t="s">
        <v>36</v>
      </c>
      <c r="G705" t="s">
        <v>37</v>
      </c>
      <c r="H705" t="s">
        <v>59</v>
      </c>
      <c r="I705" t="s">
        <v>75</v>
      </c>
      <c r="J705" t="s">
        <v>61</v>
      </c>
      <c r="K705" s="37">
        <v>11</v>
      </c>
      <c r="L705" t="s">
        <v>52</v>
      </c>
      <c r="M705" s="21">
        <v>76100</v>
      </c>
      <c r="N705" s="21">
        <v>977124</v>
      </c>
      <c r="O705" s="21">
        <v>63924</v>
      </c>
      <c r="P705">
        <v>4</v>
      </c>
      <c r="Q705" t="s">
        <v>42</v>
      </c>
      <c r="R705" s="37">
        <v>2</v>
      </c>
      <c r="S705" s="37">
        <v>28</v>
      </c>
      <c r="T705" t="s">
        <v>43</v>
      </c>
      <c r="U705" t="s">
        <v>44</v>
      </c>
      <c r="V705" t="s">
        <v>69</v>
      </c>
    </row>
    <row r="706" spans="1:22" ht="15" customHeight="1" x14ac:dyDescent="0.3">
      <c r="A706" t="s">
        <v>1264</v>
      </c>
      <c r="B706" s="20">
        <v>45738</v>
      </c>
      <c r="C706" t="s">
        <v>670</v>
      </c>
      <c r="D706" t="s">
        <v>35</v>
      </c>
      <c r="E706" s="37">
        <v>42</v>
      </c>
      <c r="F706" t="s">
        <v>123</v>
      </c>
      <c r="G706" t="s">
        <v>124</v>
      </c>
      <c r="H706" t="s">
        <v>38</v>
      </c>
      <c r="I706" t="s">
        <v>39</v>
      </c>
      <c r="J706" t="s">
        <v>99</v>
      </c>
      <c r="K706" s="37">
        <v>14</v>
      </c>
      <c r="L706" t="s">
        <v>52</v>
      </c>
      <c r="M706" s="21">
        <v>39400</v>
      </c>
      <c r="N706" s="21">
        <v>524808</v>
      </c>
      <c r="O706" s="21">
        <v>52008</v>
      </c>
      <c r="P706">
        <v>4</v>
      </c>
      <c r="Q706" t="s">
        <v>42</v>
      </c>
      <c r="R706" s="37">
        <v>12</v>
      </c>
      <c r="S706" s="37">
        <v>5</v>
      </c>
      <c r="T706" t="s">
        <v>146</v>
      </c>
      <c r="U706" t="s">
        <v>63</v>
      </c>
      <c r="V706" t="s">
        <v>45</v>
      </c>
    </row>
    <row r="707" spans="1:22" ht="15" customHeight="1" x14ac:dyDescent="0.3">
      <c r="A707" t="s">
        <v>1265</v>
      </c>
      <c r="B707" s="20">
        <v>45780</v>
      </c>
      <c r="C707" t="s">
        <v>278</v>
      </c>
      <c r="D707" t="s">
        <v>48</v>
      </c>
      <c r="E707" s="37">
        <v>24</v>
      </c>
      <c r="F707" t="s">
        <v>49</v>
      </c>
      <c r="G707" t="s">
        <v>50</v>
      </c>
      <c r="H707" t="s">
        <v>66</v>
      </c>
      <c r="I707" t="s">
        <v>39</v>
      </c>
      <c r="J707" t="s">
        <v>67</v>
      </c>
      <c r="K707" s="37">
        <v>13</v>
      </c>
      <c r="L707" t="s">
        <v>52</v>
      </c>
      <c r="M707" s="21">
        <v>47300</v>
      </c>
      <c r="N707" s="21">
        <v>664092</v>
      </c>
      <c r="O707" s="21">
        <v>96492</v>
      </c>
      <c r="P707">
        <v>3</v>
      </c>
      <c r="Q707" t="s">
        <v>42</v>
      </c>
      <c r="R707" s="37">
        <v>5</v>
      </c>
      <c r="S707" s="37">
        <v>39</v>
      </c>
      <c r="T707" t="s">
        <v>62</v>
      </c>
      <c r="U707" t="s">
        <v>44</v>
      </c>
      <c r="V707" t="s">
        <v>69</v>
      </c>
    </row>
    <row r="708" spans="1:22" ht="15" customHeight="1" x14ac:dyDescent="0.3">
      <c r="A708" t="s">
        <v>1266</v>
      </c>
      <c r="B708" s="20">
        <v>45821</v>
      </c>
      <c r="C708" t="s">
        <v>1267</v>
      </c>
      <c r="D708" t="s">
        <v>35</v>
      </c>
      <c r="E708" s="37">
        <v>36</v>
      </c>
      <c r="F708" t="s">
        <v>123</v>
      </c>
      <c r="G708" t="s">
        <v>124</v>
      </c>
      <c r="H708" t="s">
        <v>66</v>
      </c>
      <c r="I708" t="s">
        <v>82</v>
      </c>
      <c r="J708" t="s">
        <v>161</v>
      </c>
      <c r="K708" s="37">
        <v>13</v>
      </c>
      <c r="L708" t="s">
        <v>52</v>
      </c>
      <c r="M708" s="21">
        <v>77300</v>
      </c>
      <c r="N708" s="21">
        <v>1001808</v>
      </c>
      <c r="O708" s="21">
        <v>74208</v>
      </c>
      <c r="P708">
        <v>4</v>
      </c>
      <c r="Q708" t="s">
        <v>126</v>
      </c>
      <c r="R708" s="37">
        <v>5</v>
      </c>
      <c r="S708" s="37">
        <v>3</v>
      </c>
      <c r="T708" t="s">
        <v>129</v>
      </c>
      <c r="U708" t="s">
        <v>44</v>
      </c>
      <c r="V708" t="s">
        <v>69</v>
      </c>
    </row>
    <row r="709" spans="1:22" ht="15" customHeight="1" x14ac:dyDescent="0.3">
      <c r="A709" t="s">
        <v>1268</v>
      </c>
      <c r="B709" s="20">
        <v>45684</v>
      </c>
      <c r="C709" t="s">
        <v>768</v>
      </c>
      <c r="D709" t="s">
        <v>35</v>
      </c>
      <c r="E709" s="37">
        <v>24</v>
      </c>
      <c r="F709" t="s">
        <v>80</v>
      </c>
      <c r="G709" t="s">
        <v>81</v>
      </c>
      <c r="H709" t="s">
        <v>59</v>
      </c>
      <c r="I709" t="s">
        <v>51</v>
      </c>
      <c r="J709" t="s">
        <v>88</v>
      </c>
      <c r="K709" s="37">
        <v>27</v>
      </c>
      <c r="L709" t="s">
        <v>52</v>
      </c>
      <c r="M709" s="21">
        <v>182700</v>
      </c>
      <c r="N709" s="21">
        <v>2587032</v>
      </c>
      <c r="O709" s="21">
        <v>394632</v>
      </c>
      <c r="P709">
        <v>5</v>
      </c>
      <c r="Q709" t="s">
        <v>42</v>
      </c>
      <c r="R709" s="37">
        <v>7</v>
      </c>
      <c r="S709" s="37">
        <v>0</v>
      </c>
      <c r="T709" t="s">
        <v>94</v>
      </c>
      <c r="U709" t="s">
        <v>54</v>
      </c>
      <c r="V709" t="s">
        <v>69</v>
      </c>
    </row>
    <row r="710" spans="1:22" ht="15" customHeight="1" x14ac:dyDescent="0.3">
      <c r="A710" t="s">
        <v>1269</v>
      </c>
      <c r="B710" s="20">
        <v>45780</v>
      </c>
      <c r="C710" t="s">
        <v>761</v>
      </c>
      <c r="D710" t="s">
        <v>35</v>
      </c>
      <c r="E710" s="37">
        <v>27</v>
      </c>
      <c r="F710" t="s">
        <v>97</v>
      </c>
      <c r="G710" t="s">
        <v>98</v>
      </c>
      <c r="H710" t="s">
        <v>74</v>
      </c>
      <c r="I710" t="s">
        <v>75</v>
      </c>
      <c r="J710" t="s">
        <v>83</v>
      </c>
      <c r="K710" s="37">
        <v>16</v>
      </c>
      <c r="L710" t="s">
        <v>52</v>
      </c>
      <c r="M710" s="21">
        <v>90300</v>
      </c>
      <c r="N710" s="21">
        <v>1289484</v>
      </c>
      <c r="O710" s="21">
        <v>205884</v>
      </c>
      <c r="P710">
        <v>4</v>
      </c>
      <c r="Q710" t="s">
        <v>42</v>
      </c>
      <c r="R710" s="37">
        <v>7</v>
      </c>
      <c r="S710" s="37">
        <v>23</v>
      </c>
      <c r="T710" t="s">
        <v>53</v>
      </c>
      <c r="U710" t="s">
        <v>44</v>
      </c>
      <c r="V710" t="s">
        <v>45</v>
      </c>
    </row>
    <row r="711" spans="1:22" ht="15" customHeight="1" x14ac:dyDescent="0.3">
      <c r="A711" t="s">
        <v>1270</v>
      </c>
      <c r="B711" s="20">
        <v>45939</v>
      </c>
      <c r="C711" t="s">
        <v>1271</v>
      </c>
      <c r="D711" t="s">
        <v>48</v>
      </c>
      <c r="E711" s="37">
        <v>54</v>
      </c>
      <c r="F711" t="s">
        <v>108</v>
      </c>
      <c r="G711" t="s">
        <v>109</v>
      </c>
      <c r="H711" t="s">
        <v>38</v>
      </c>
      <c r="I711" t="s">
        <v>51</v>
      </c>
      <c r="J711" t="s">
        <v>190</v>
      </c>
      <c r="K711" s="37">
        <v>0</v>
      </c>
      <c r="L711" t="s">
        <v>41</v>
      </c>
      <c r="M711" s="21">
        <v>230900</v>
      </c>
      <c r="N711" s="21">
        <v>3047880</v>
      </c>
      <c r="O711" s="21">
        <v>277080</v>
      </c>
      <c r="P711">
        <v>3</v>
      </c>
      <c r="Q711" t="s">
        <v>42</v>
      </c>
      <c r="R711" s="37">
        <v>13</v>
      </c>
      <c r="S711" s="37">
        <v>24</v>
      </c>
      <c r="T711" t="s">
        <v>175</v>
      </c>
      <c r="U711" t="s">
        <v>44</v>
      </c>
      <c r="V711" t="s">
        <v>69</v>
      </c>
    </row>
    <row r="712" spans="1:22" ht="15" customHeight="1" x14ac:dyDescent="0.3">
      <c r="A712" t="s">
        <v>1272</v>
      </c>
      <c r="B712" s="20">
        <v>45912</v>
      </c>
      <c r="C712" t="s">
        <v>311</v>
      </c>
      <c r="D712" t="s">
        <v>35</v>
      </c>
      <c r="E712" s="37">
        <v>31</v>
      </c>
      <c r="F712" t="s">
        <v>86</v>
      </c>
      <c r="G712" t="s">
        <v>87</v>
      </c>
      <c r="H712" t="s">
        <v>38</v>
      </c>
      <c r="I712" t="s">
        <v>51</v>
      </c>
      <c r="J712" t="s">
        <v>110</v>
      </c>
      <c r="K712" s="37">
        <v>26</v>
      </c>
      <c r="L712" t="s">
        <v>52</v>
      </c>
      <c r="M712" s="21">
        <v>219900</v>
      </c>
      <c r="N712" s="21">
        <v>3113784</v>
      </c>
      <c r="O712" s="21">
        <v>474984</v>
      </c>
      <c r="P712">
        <v>5</v>
      </c>
      <c r="Q712" t="s">
        <v>126</v>
      </c>
      <c r="R712" s="37">
        <v>4</v>
      </c>
      <c r="S712" s="37">
        <v>14</v>
      </c>
      <c r="T712" t="s">
        <v>94</v>
      </c>
      <c r="U712" t="s">
        <v>54</v>
      </c>
      <c r="V712" t="s">
        <v>69</v>
      </c>
    </row>
    <row r="713" spans="1:22" ht="15" customHeight="1" x14ac:dyDescent="0.3">
      <c r="A713" t="s">
        <v>1273</v>
      </c>
      <c r="B713" s="20">
        <v>45850</v>
      </c>
      <c r="C713" t="s">
        <v>443</v>
      </c>
      <c r="D713" t="s">
        <v>35</v>
      </c>
      <c r="E713" s="37">
        <v>43</v>
      </c>
      <c r="F713" t="s">
        <v>123</v>
      </c>
      <c r="G713" t="s">
        <v>124</v>
      </c>
      <c r="H713" t="s">
        <v>66</v>
      </c>
      <c r="I713" t="s">
        <v>51</v>
      </c>
      <c r="J713" t="s">
        <v>93</v>
      </c>
      <c r="K713" s="37">
        <v>15</v>
      </c>
      <c r="L713" t="s">
        <v>52</v>
      </c>
      <c r="M713" s="21">
        <v>287300</v>
      </c>
      <c r="N713" s="21">
        <v>3861312</v>
      </c>
      <c r="O713" s="21">
        <v>413712</v>
      </c>
      <c r="P713">
        <v>3</v>
      </c>
      <c r="Q713" t="s">
        <v>42</v>
      </c>
      <c r="R713" s="37">
        <v>5</v>
      </c>
      <c r="S713" s="37">
        <v>5</v>
      </c>
      <c r="T713" t="s">
        <v>43</v>
      </c>
      <c r="U713" t="s">
        <v>63</v>
      </c>
      <c r="V713" t="s">
        <v>45</v>
      </c>
    </row>
    <row r="714" spans="1:22" ht="15" customHeight="1" x14ac:dyDescent="0.3">
      <c r="A714" t="s">
        <v>1274</v>
      </c>
      <c r="B714" s="20">
        <v>45820</v>
      </c>
      <c r="C714" t="s">
        <v>1275</v>
      </c>
      <c r="D714" t="s">
        <v>35</v>
      </c>
      <c r="E714" s="37">
        <v>48</v>
      </c>
      <c r="F714" t="s">
        <v>123</v>
      </c>
      <c r="G714" t="s">
        <v>124</v>
      </c>
      <c r="H714" t="s">
        <v>74</v>
      </c>
      <c r="I714" t="s">
        <v>82</v>
      </c>
      <c r="J714" t="s">
        <v>115</v>
      </c>
      <c r="K714" s="37">
        <v>17</v>
      </c>
      <c r="L714" t="s">
        <v>52</v>
      </c>
      <c r="M714" s="21">
        <v>57200</v>
      </c>
      <c r="N714" s="21">
        <v>761904</v>
      </c>
      <c r="O714" s="21">
        <v>75504</v>
      </c>
      <c r="P714">
        <v>4</v>
      </c>
      <c r="Q714" t="s">
        <v>126</v>
      </c>
      <c r="R714" s="37">
        <v>7</v>
      </c>
      <c r="S714" s="37">
        <v>37</v>
      </c>
      <c r="T714" t="s">
        <v>175</v>
      </c>
      <c r="U714" t="s">
        <v>63</v>
      </c>
      <c r="V714" t="s">
        <v>69</v>
      </c>
    </row>
    <row r="715" spans="1:22" ht="15" customHeight="1" x14ac:dyDescent="0.3">
      <c r="A715" t="s">
        <v>1276</v>
      </c>
      <c r="B715" s="20">
        <v>45795</v>
      </c>
      <c r="C715" t="s">
        <v>1277</v>
      </c>
      <c r="D715" t="s">
        <v>35</v>
      </c>
      <c r="E715" s="37">
        <v>55</v>
      </c>
      <c r="F715" t="s">
        <v>72</v>
      </c>
      <c r="G715" t="s">
        <v>73</v>
      </c>
      <c r="H715" t="s">
        <v>38</v>
      </c>
      <c r="I715" t="s">
        <v>82</v>
      </c>
      <c r="J715" t="s">
        <v>190</v>
      </c>
      <c r="K715" s="37">
        <v>11</v>
      </c>
      <c r="L715" t="s">
        <v>52</v>
      </c>
      <c r="M715" s="21">
        <v>56000</v>
      </c>
      <c r="N715" s="21">
        <v>779520</v>
      </c>
      <c r="O715" s="21">
        <v>107520</v>
      </c>
      <c r="P715">
        <v>5</v>
      </c>
      <c r="Q715" t="s">
        <v>42</v>
      </c>
      <c r="R715" s="37">
        <v>19</v>
      </c>
      <c r="S715" s="37">
        <v>37</v>
      </c>
      <c r="T715" t="s">
        <v>175</v>
      </c>
      <c r="U715" t="s">
        <v>63</v>
      </c>
      <c r="V715" t="s">
        <v>45</v>
      </c>
    </row>
    <row r="716" spans="1:22" ht="15" customHeight="1" x14ac:dyDescent="0.3">
      <c r="A716" t="s">
        <v>1278</v>
      </c>
      <c r="B716" s="20">
        <v>45915</v>
      </c>
      <c r="C716" t="s">
        <v>1279</v>
      </c>
      <c r="D716" t="s">
        <v>48</v>
      </c>
      <c r="E716" s="37">
        <v>22</v>
      </c>
      <c r="F716" t="s">
        <v>91</v>
      </c>
      <c r="G716" t="s">
        <v>92</v>
      </c>
      <c r="H716" t="s">
        <v>118</v>
      </c>
      <c r="I716" t="s">
        <v>75</v>
      </c>
      <c r="J716" t="s">
        <v>137</v>
      </c>
      <c r="K716" s="37">
        <v>20</v>
      </c>
      <c r="L716" t="s">
        <v>120</v>
      </c>
      <c r="M716" s="21">
        <v>91500</v>
      </c>
      <c r="N716" s="21">
        <v>1163880</v>
      </c>
      <c r="O716" s="21">
        <v>65880</v>
      </c>
      <c r="P716">
        <v>2</v>
      </c>
      <c r="Q716" t="s">
        <v>42</v>
      </c>
      <c r="R716" s="37">
        <v>1</v>
      </c>
      <c r="S716" s="37">
        <v>18</v>
      </c>
      <c r="T716" t="s">
        <v>53</v>
      </c>
      <c r="U716" t="s">
        <v>44</v>
      </c>
      <c r="V716" t="s">
        <v>69</v>
      </c>
    </row>
    <row r="717" spans="1:22" ht="15" customHeight="1" x14ac:dyDescent="0.3">
      <c r="A717" t="s">
        <v>1280</v>
      </c>
      <c r="B717" s="20">
        <v>45691</v>
      </c>
      <c r="C717" t="s">
        <v>1281</v>
      </c>
      <c r="D717" t="s">
        <v>48</v>
      </c>
      <c r="E717" s="37">
        <v>36</v>
      </c>
      <c r="F717" t="s">
        <v>123</v>
      </c>
      <c r="G717" t="s">
        <v>124</v>
      </c>
      <c r="H717" t="s">
        <v>38</v>
      </c>
      <c r="I717" t="s">
        <v>60</v>
      </c>
      <c r="J717" t="s">
        <v>40</v>
      </c>
      <c r="K717" s="37">
        <v>21</v>
      </c>
      <c r="L717" t="s">
        <v>52</v>
      </c>
      <c r="M717" s="21">
        <v>116200</v>
      </c>
      <c r="N717" s="21">
        <v>1547784</v>
      </c>
      <c r="O717" s="21">
        <v>153384</v>
      </c>
      <c r="P717">
        <v>5</v>
      </c>
      <c r="Q717" t="s">
        <v>42</v>
      </c>
      <c r="R717" s="37">
        <v>3</v>
      </c>
      <c r="S717" s="37">
        <v>35</v>
      </c>
      <c r="T717" t="s">
        <v>129</v>
      </c>
      <c r="U717" t="s">
        <v>44</v>
      </c>
      <c r="V717" t="s">
        <v>45</v>
      </c>
    </row>
    <row r="718" spans="1:22" ht="15" customHeight="1" x14ac:dyDescent="0.3">
      <c r="A718" t="s">
        <v>1282</v>
      </c>
      <c r="B718" s="20">
        <v>45948</v>
      </c>
      <c r="C718" t="s">
        <v>849</v>
      </c>
      <c r="D718" t="s">
        <v>48</v>
      </c>
      <c r="E718" s="37">
        <v>24</v>
      </c>
      <c r="F718" t="s">
        <v>91</v>
      </c>
      <c r="G718" t="s">
        <v>92</v>
      </c>
      <c r="H718" t="s">
        <v>38</v>
      </c>
      <c r="I718" t="s">
        <v>39</v>
      </c>
      <c r="J718" t="s">
        <v>190</v>
      </c>
      <c r="K718" s="37">
        <v>2</v>
      </c>
      <c r="L718" t="s">
        <v>52</v>
      </c>
      <c r="M718" s="21">
        <v>32200</v>
      </c>
      <c r="N718" s="21">
        <v>459816</v>
      </c>
      <c r="O718" s="21">
        <v>73416</v>
      </c>
      <c r="P718">
        <v>4</v>
      </c>
      <c r="Q718" t="s">
        <v>42</v>
      </c>
      <c r="R718" s="37">
        <v>15</v>
      </c>
      <c r="S718" s="37">
        <v>21</v>
      </c>
      <c r="T718" t="s">
        <v>53</v>
      </c>
      <c r="U718" t="s">
        <v>54</v>
      </c>
      <c r="V718" t="s">
        <v>45</v>
      </c>
    </row>
    <row r="719" spans="1:22" ht="15" customHeight="1" x14ac:dyDescent="0.3">
      <c r="A719" t="s">
        <v>1283</v>
      </c>
      <c r="B719" s="20">
        <v>45765</v>
      </c>
      <c r="C719" t="s">
        <v>1146</v>
      </c>
      <c r="D719" t="s">
        <v>48</v>
      </c>
      <c r="E719" s="37">
        <v>39</v>
      </c>
      <c r="F719" t="s">
        <v>97</v>
      </c>
      <c r="G719" t="s">
        <v>98</v>
      </c>
      <c r="H719" t="s">
        <v>66</v>
      </c>
      <c r="I719" t="s">
        <v>39</v>
      </c>
      <c r="J719" t="s">
        <v>93</v>
      </c>
      <c r="K719" s="37">
        <v>1</v>
      </c>
      <c r="L719" t="s">
        <v>52</v>
      </c>
      <c r="M719" s="21">
        <v>45100</v>
      </c>
      <c r="N719" s="21">
        <v>589908</v>
      </c>
      <c r="O719" s="21">
        <v>48708</v>
      </c>
      <c r="P719">
        <v>4</v>
      </c>
      <c r="Q719" t="s">
        <v>42</v>
      </c>
      <c r="R719" s="37">
        <v>8</v>
      </c>
      <c r="S719" s="37">
        <v>30</v>
      </c>
      <c r="T719" t="s">
        <v>94</v>
      </c>
      <c r="U719" t="s">
        <v>63</v>
      </c>
      <c r="V719" t="s">
        <v>45</v>
      </c>
    </row>
    <row r="720" spans="1:22" ht="15" customHeight="1" x14ac:dyDescent="0.3">
      <c r="A720" t="s">
        <v>1284</v>
      </c>
      <c r="B720" s="20">
        <v>46006</v>
      </c>
      <c r="C720" t="s">
        <v>1285</v>
      </c>
      <c r="D720" t="s">
        <v>48</v>
      </c>
      <c r="E720" s="37">
        <v>44</v>
      </c>
      <c r="F720" t="s">
        <v>123</v>
      </c>
      <c r="G720" t="s">
        <v>124</v>
      </c>
      <c r="H720" t="s">
        <v>118</v>
      </c>
      <c r="I720" t="s">
        <v>82</v>
      </c>
      <c r="J720" t="s">
        <v>219</v>
      </c>
      <c r="K720" s="37">
        <v>11</v>
      </c>
      <c r="L720" t="s">
        <v>52</v>
      </c>
      <c r="M720" s="21">
        <v>48100</v>
      </c>
      <c r="N720" s="21">
        <v>652235</v>
      </c>
      <c r="O720" s="21">
        <v>75036</v>
      </c>
      <c r="P720">
        <v>5</v>
      </c>
      <c r="Q720" t="s">
        <v>42</v>
      </c>
      <c r="R720" s="37">
        <v>7</v>
      </c>
      <c r="S720" s="37">
        <v>2</v>
      </c>
      <c r="T720" t="s">
        <v>43</v>
      </c>
      <c r="U720" t="s">
        <v>44</v>
      </c>
      <c r="V720" t="s">
        <v>69</v>
      </c>
    </row>
    <row r="721" spans="1:22" ht="15" customHeight="1" x14ac:dyDescent="0.3">
      <c r="A721" t="s">
        <v>1286</v>
      </c>
      <c r="B721" s="20">
        <v>45690</v>
      </c>
      <c r="C721" t="s">
        <v>1287</v>
      </c>
      <c r="D721" t="s">
        <v>35</v>
      </c>
      <c r="E721" s="37">
        <v>47</v>
      </c>
      <c r="F721" t="s">
        <v>123</v>
      </c>
      <c r="G721" t="s">
        <v>124</v>
      </c>
      <c r="H721" t="s">
        <v>74</v>
      </c>
      <c r="I721" t="s">
        <v>51</v>
      </c>
      <c r="J721" t="s">
        <v>76</v>
      </c>
      <c r="K721" s="37">
        <v>17</v>
      </c>
      <c r="L721" t="s">
        <v>52</v>
      </c>
      <c r="M721" s="21">
        <v>200700</v>
      </c>
      <c r="N721" s="21">
        <v>2673324</v>
      </c>
      <c r="O721" s="21">
        <v>264924</v>
      </c>
      <c r="P721">
        <v>4</v>
      </c>
      <c r="Q721" t="s">
        <v>42</v>
      </c>
      <c r="R721" s="37">
        <v>16</v>
      </c>
      <c r="S721" s="37">
        <v>23</v>
      </c>
      <c r="T721" t="s">
        <v>129</v>
      </c>
      <c r="U721" t="s">
        <v>63</v>
      </c>
      <c r="V721" t="s">
        <v>45</v>
      </c>
    </row>
    <row r="722" spans="1:22" ht="15" customHeight="1" x14ac:dyDescent="0.3">
      <c r="A722" t="s">
        <v>1288</v>
      </c>
      <c r="B722" s="20">
        <v>45871</v>
      </c>
      <c r="C722" t="s">
        <v>929</v>
      </c>
      <c r="D722" t="s">
        <v>48</v>
      </c>
      <c r="E722" s="37">
        <v>28</v>
      </c>
      <c r="F722" t="s">
        <v>49</v>
      </c>
      <c r="G722" t="s">
        <v>50</v>
      </c>
      <c r="H722" t="s">
        <v>38</v>
      </c>
      <c r="I722" t="s">
        <v>82</v>
      </c>
      <c r="J722" t="s">
        <v>190</v>
      </c>
      <c r="K722" s="37">
        <v>26</v>
      </c>
      <c r="L722" t="s">
        <v>52</v>
      </c>
      <c r="M722" s="21">
        <v>48900</v>
      </c>
      <c r="N722" s="21">
        <v>680688</v>
      </c>
      <c r="O722" s="21">
        <v>93888</v>
      </c>
      <c r="P722">
        <v>4</v>
      </c>
      <c r="Q722" t="s">
        <v>42</v>
      </c>
      <c r="R722" s="37">
        <v>13</v>
      </c>
      <c r="S722" s="37">
        <v>13</v>
      </c>
      <c r="T722" t="s">
        <v>53</v>
      </c>
      <c r="U722" t="s">
        <v>44</v>
      </c>
      <c r="V722" t="s">
        <v>69</v>
      </c>
    </row>
    <row r="723" spans="1:22" ht="15" customHeight="1" x14ac:dyDescent="0.3">
      <c r="A723" t="s">
        <v>1289</v>
      </c>
      <c r="B723" s="20">
        <v>45730</v>
      </c>
      <c r="C723" t="s">
        <v>751</v>
      </c>
      <c r="D723" t="s">
        <v>35</v>
      </c>
      <c r="E723" s="37">
        <v>45</v>
      </c>
      <c r="F723" t="s">
        <v>80</v>
      </c>
      <c r="G723" t="s">
        <v>81</v>
      </c>
      <c r="H723" t="s">
        <v>66</v>
      </c>
      <c r="I723" t="s">
        <v>82</v>
      </c>
      <c r="J723" t="s">
        <v>149</v>
      </c>
      <c r="K723" s="37">
        <v>21</v>
      </c>
      <c r="L723" t="s">
        <v>52</v>
      </c>
      <c r="M723" s="21">
        <v>63200</v>
      </c>
      <c r="N723" s="21">
        <v>856991</v>
      </c>
      <c r="O723" s="21">
        <v>98592</v>
      </c>
      <c r="P723">
        <v>5</v>
      </c>
      <c r="Q723" t="s">
        <v>126</v>
      </c>
      <c r="R723" s="37">
        <v>18</v>
      </c>
      <c r="S723" s="37">
        <v>6</v>
      </c>
      <c r="T723" t="s">
        <v>68</v>
      </c>
      <c r="U723" t="s">
        <v>44</v>
      </c>
      <c r="V723" t="s">
        <v>45</v>
      </c>
    </row>
    <row r="724" spans="1:22" ht="15" customHeight="1" x14ac:dyDescent="0.3">
      <c r="A724" t="s">
        <v>1290</v>
      </c>
      <c r="B724" s="20">
        <v>45803</v>
      </c>
      <c r="C724" t="s">
        <v>1291</v>
      </c>
      <c r="D724" t="s">
        <v>35</v>
      </c>
      <c r="E724" s="37">
        <v>34</v>
      </c>
      <c r="F724" t="s">
        <v>123</v>
      </c>
      <c r="G724" t="s">
        <v>124</v>
      </c>
      <c r="H724" t="s">
        <v>66</v>
      </c>
      <c r="I724" t="s">
        <v>82</v>
      </c>
      <c r="J724" t="s">
        <v>170</v>
      </c>
      <c r="K724" s="37">
        <v>22</v>
      </c>
      <c r="L724" t="s">
        <v>52</v>
      </c>
      <c r="M724" s="21">
        <v>54800</v>
      </c>
      <c r="N724" s="21">
        <v>697056</v>
      </c>
      <c r="O724" s="21">
        <v>39456</v>
      </c>
      <c r="P724">
        <v>4</v>
      </c>
      <c r="Q724" t="s">
        <v>126</v>
      </c>
      <c r="R724" s="37">
        <v>6</v>
      </c>
      <c r="S724" s="37">
        <v>17</v>
      </c>
      <c r="T724" t="s">
        <v>62</v>
      </c>
      <c r="U724" t="s">
        <v>44</v>
      </c>
      <c r="V724" t="s">
        <v>45</v>
      </c>
    </row>
    <row r="725" spans="1:22" ht="15" customHeight="1" x14ac:dyDescent="0.3">
      <c r="A725" t="s">
        <v>1292</v>
      </c>
      <c r="B725" s="20">
        <v>45681</v>
      </c>
      <c r="C725" t="s">
        <v>1293</v>
      </c>
      <c r="D725" t="s">
        <v>48</v>
      </c>
      <c r="E725" s="37">
        <v>26</v>
      </c>
      <c r="F725" t="s">
        <v>108</v>
      </c>
      <c r="G725" t="s">
        <v>109</v>
      </c>
      <c r="H725" t="s">
        <v>118</v>
      </c>
      <c r="I725" t="s">
        <v>60</v>
      </c>
      <c r="J725" t="s">
        <v>219</v>
      </c>
      <c r="K725" s="37">
        <v>18</v>
      </c>
      <c r="L725" t="s">
        <v>41</v>
      </c>
      <c r="M725" s="21">
        <v>108200</v>
      </c>
      <c r="N725" s="21">
        <v>1545096</v>
      </c>
      <c r="O725" s="21">
        <v>246696</v>
      </c>
      <c r="P725">
        <v>3</v>
      </c>
      <c r="Q725" t="s">
        <v>42</v>
      </c>
      <c r="R725" s="37">
        <v>14</v>
      </c>
      <c r="S725" s="37">
        <v>33</v>
      </c>
      <c r="T725" t="s">
        <v>129</v>
      </c>
      <c r="U725" t="s">
        <v>63</v>
      </c>
      <c r="V725" t="s">
        <v>45</v>
      </c>
    </row>
    <row r="726" spans="1:22" ht="15" customHeight="1" x14ac:dyDescent="0.3">
      <c r="A726" t="s">
        <v>1294</v>
      </c>
      <c r="B726" s="20">
        <v>45956</v>
      </c>
      <c r="C726" t="s">
        <v>737</v>
      </c>
      <c r="D726" t="s">
        <v>35</v>
      </c>
      <c r="E726" s="37">
        <v>58</v>
      </c>
      <c r="F726" t="s">
        <v>108</v>
      </c>
      <c r="G726" t="s">
        <v>109</v>
      </c>
      <c r="H726" t="s">
        <v>66</v>
      </c>
      <c r="I726" t="s">
        <v>39</v>
      </c>
      <c r="J726" t="s">
        <v>93</v>
      </c>
      <c r="K726" s="37">
        <v>26</v>
      </c>
      <c r="L726" t="s">
        <v>52</v>
      </c>
      <c r="M726" s="21">
        <v>36200</v>
      </c>
      <c r="N726" s="21">
        <v>516936</v>
      </c>
      <c r="O726" s="21">
        <v>82536</v>
      </c>
      <c r="P726">
        <v>3</v>
      </c>
      <c r="Q726" t="s">
        <v>42</v>
      </c>
      <c r="R726" s="37">
        <v>7</v>
      </c>
      <c r="S726" s="37">
        <v>6</v>
      </c>
      <c r="T726" t="s">
        <v>105</v>
      </c>
      <c r="U726" t="s">
        <v>44</v>
      </c>
      <c r="V726" t="s">
        <v>69</v>
      </c>
    </row>
    <row r="727" spans="1:22" ht="15" customHeight="1" x14ac:dyDescent="0.3">
      <c r="A727" t="s">
        <v>1295</v>
      </c>
      <c r="B727" s="20">
        <v>45799</v>
      </c>
      <c r="C727" t="s">
        <v>1296</v>
      </c>
      <c r="D727" t="s">
        <v>35</v>
      </c>
      <c r="E727" s="37">
        <v>39</v>
      </c>
      <c r="F727" t="s">
        <v>57</v>
      </c>
      <c r="G727" t="s">
        <v>58</v>
      </c>
      <c r="H727" t="s">
        <v>66</v>
      </c>
      <c r="I727" t="s">
        <v>82</v>
      </c>
      <c r="J727" t="s">
        <v>161</v>
      </c>
      <c r="K727" s="37">
        <v>29</v>
      </c>
      <c r="L727" t="s">
        <v>52</v>
      </c>
      <c r="M727" s="21">
        <v>63500</v>
      </c>
      <c r="N727" s="21">
        <v>868680</v>
      </c>
      <c r="O727" s="21">
        <v>106680</v>
      </c>
      <c r="P727">
        <v>4</v>
      </c>
      <c r="Q727" t="s">
        <v>42</v>
      </c>
      <c r="R727" s="37">
        <v>13</v>
      </c>
      <c r="S727" s="37">
        <v>37</v>
      </c>
      <c r="T727" t="s">
        <v>43</v>
      </c>
      <c r="U727" t="s">
        <v>63</v>
      </c>
      <c r="V727" t="s">
        <v>45</v>
      </c>
    </row>
    <row r="728" spans="1:22" ht="15" customHeight="1" x14ac:dyDescent="0.3">
      <c r="A728" t="s">
        <v>1297</v>
      </c>
      <c r="B728" s="20">
        <v>45736</v>
      </c>
      <c r="C728" t="s">
        <v>796</v>
      </c>
      <c r="D728" t="s">
        <v>35</v>
      </c>
      <c r="E728" s="37">
        <v>35</v>
      </c>
      <c r="F728" t="s">
        <v>91</v>
      </c>
      <c r="G728" t="s">
        <v>92</v>
      </c>
      <c r="H728" t="s">
        <v>66</v>
      </c>
      <c r="I728" t="s">
        <v>82</v>
      </c>
      <c r="J728" t="s">
        <v>67</v>
      </c>
      <c r="K728" s="37">
        <v>5</v>
      </c>
      <c r="L728" t="s">
        <v>52</v>
      </c>
      <c r="M728" s="21">
        <v>61700</v>
      </c>
      <c r="N728" s="21">
        <v>881076</v>
      </c>
      <c r="O728" s="21">
        <v>140676</v>
      </c>
      <c r="P728">
        <v>3</v>
      </c>
      <c r="Q728" t="s">
        <v>42</v>
      </c>
      <c r="R728" s="37">
        <v>16</v>
      </c>
      <c r="S728" s="37">
        <v>37</v>
      </c>
      <c r="T728" t="s">
        <v>68</v>
      </c>
      <c r="U728" t="s">
        <v>63</v>
      </c>
      <c r="V728" t="s">
        <v>69</v>
      </c>
    </row>
    <row r="729" spans="1:22" ht="15" customHeight="1" x14ac:dyDescent="0.3">
      <c r="A729" t="s">
        <v>1298</v>
      </c>
      <c r="B729" s="20">
        <v>45940</v>
      </c>
      <c r="C729" t="s">
        <v>208</v>
      </c>
      <c r="D729" t="s">
        <v>35</v>
      </c>
      <c r="E729" s="37">
        <v>34</v>
      </c>
      <c r="F729" t="s">
        <v>123</v>
      </c>
      <c r="G729" t="s">
        <v>124</v>
      </c>
      <c r="H729" t="s">
        <v>59</v>
      </c>
      <c r="I729" t="s">
        <v>39</v>
      </c>
      <c r="J729" t="s">
        <v>104</v>
      </c>
      <c r="K729" s="37">
        <v>15</v>
      </c>
      <c r="L729" t="s">
        <v>120</v>
      </c>
      <c r="M729" s="21">
        <v>27700</v>
      </c>
      <c r="N729" s="21">
        <v>372288</v>
      </c>
      <c r="O729" s="21">
        <v>39888</v>
      </c>
      <c r="P729">
        <v>3</v>
      </c>
      <c r="Q729" t="s">
        <v>42</v>
      </c>
      <c r="R729" s="37">
        <v>1</v>
      </c>
      <c r="S729" s="37">
        <v>14</v>
      </c>
      <c r="T729" t="s">
        <v>68</v>
      </c>
      <c r="U729" t="s">
        <v>63</v>
      </c>
      <c r="V729" t="s">
        <v>69</v>
      </c>
    </row>
    <row r="730" spans="1:22" ht="15" customHeight="1" x14ac:dyDescent="0.3">
      <c r="A730" t="s">
        <v>1299</v>
      </c>
      <c r="B730" s="20">
        <v>45700</v>
      </c>
      <c r="C730" t="s">
        <v>1300</v>
      </c>
      <c r="D730" t="s">
        <v>48</v>
      </c>
      <c r="E730" s="37">
        <v>54</v>
      </c>
      <c r="F730" t="s">
        <v>123</v>
      </c>
      <c r="G730" t="s">
        <v>124</v>
      </c>
      <c r="H730" t="s">
        <v>66</v>
      </c>
      <c r="I730" t="s">
        <v>39</v>
      </c>
      <c r="J730" t="s">
        <v>93</v>
      </c>
      <c r="K730" s="37">
        <v>22</v>
      </c>
      <c r="L730" t="s">
        <v>41</v>
      </c>
      <c r="M730" s="21">
        <v>43900</v>
      </c>
      <c r="N730" s="21">
        <v>563676</v>
      </c>
      <c r="O730" s="21">
        <v>36876</v>
      </c>
      <c r="P730">
        <v>4</v>
      </c>
      <c r="Q730" t="s">
        <v>42</v>
      </c>
      <c r="R730" s="37">
        <v>1</v>
      </c>
      <c r="S730" s="37">
        <v>39</v>
      </c>
      <c r="T730" t="s">
        <v>77</v>
      </c>
      <c r="U730" t="s">
        <v>44</v>
      </c>
      <c r="V730" t="s">
        <v>45</v>
      </c>
    </row>
    <row r="731" spans="1:22" ht="15" customHeight="1" x14ac:dyDescent="0.3">
      <c r="A731" t="s">
        <v>1301</v>
      </c>
      <c r="B731" s="20">
        <v>45844</v>
      </c>
      <c r="C731" t="s">
        <v>1300</v>
      </c>
      <c r="D731" t="s">
        <v>48</v>
      </c>
      <c r="E731" s="37">
        <v>38</v>
      </c>
      <c r="F731" t="s">
        <v>86</v>
      </c>
      <c r="G731" t="s">
        <v>87</v>
      </c>
      <c r="H731" t="s">
        <v>74</v>
      </c>
      <c r="I731" t="s">
        <v>75</v>
      </c>
      <c r="J731" t="s">
        <v>76</v>
      </c>
      <c r="K731" s="37">
        <v>15</v>
      </c>
      <c r="L731" t="s">
        <v>52</v>
      </c>
      <c r="M731" s="21">
        <v>88000</v>
      </c>
      <c r="N731" s="21">
        <v>1193280</v>
      </c>
      <c r="O731" s="21">
        <v>137280</v>
      </c>
      <c r="P731">
        <v>3</v>
      </c>
      <c r="Q731" t="s">
        <v>42</v>
      </c>
      <c r="R731" s="37">
        <v>10</v>
      </c>
      <c r="S731" s="37">
        <v>17</v>
      </c>
      <c r="T731" t="s">
        <v>43</v>
      </c>
      <c r="U731" t="s">
        <v>54</v>
      </c>
      <c r="V731" t="s">
        <v>45</v>
      </c>
    </row>
    <row r="732" spans="1:22" ht="15" customHeight="1" x14ac:dyDescent="0.3">
      <c r="A732" t="s">
        <v>1302</v>
      </c>
      <c r="B732" s="20">
        <v>45739</v>
      </c>
      <c r="C732" t="s">
        <v>425</v>
      </c>
      <c r="D732" t="s">
        <v>48</v>
      </c>
      <c r="E732" s="37">
        <v>29</v>
      </c>
      <c r="F732" t="s">
        <v>80</v>
      </c>
      <c r="G732" t="s">
        <v>81</v>
      </c>
      <c r="H732" t="s">
        <v>38</v>
      </c>
      <c r="I732" t="s">
        <v>39</v>
      </c>
      <c r="J732" t="s">
        <v>110</v>
      </c>
      <c r="K732" s="37">
        <v>30</v>
      </c>
      <c r="L732" t="s">
        <v>52</v>
      </c>
      <c r="M732" s="21">
        <v>39300</v>
      </c>
      <c r="N732" s="21">
        <v>509328</v>
      </c>
      <c r="O732" s="21">
        <v>37728</v>
      </c>
      <c r="P732">
        <v>4</v>
      </c>
      <c r="Q732" t="s">
        <v>42</v>
      </c>
      <c r="R732" s="37">
        <v>17</v>
      </c>
      <c r="S732" s="37">
        <v>23</v>
      </c>
      <c r="T732" t="s">
        <v>175</v>
      </c>
      <c r="U732" t="s">
        <v>44</v>
      </c>
      <c r="V732" t="s">
        <v>69</v>
      </c>
    </row>
    <row r="733" spans="1:22" ht="15" customHeight="1" x14ac:dyDescent="0.3">
      <c r="A733" t="s">
        <v>1303</v>
      </c>
      <c r="B733" s="20">
        <v>45739</v>
      </c>
      <c r="C733" t="s">
        <v>1304</v>
      </c>
      <c r="D733" t="s">
        <v>48</v>
      </c>
      <c r="E733" s="37">
        <v>34</v>
      </c>
      <c r="F733" t="s">
        <v>97</v>
      </c>
      <c r="G733" t="s">
        <v>98</v>
      </c>
      <c r="H733" t="s">
        <v>74</v>
      </c>
      <c r="I733" t="s">
        <v>39</v>
      </c>
      <c r="J733" t="s">
        <v>367</v>
      </c>
      <c r="K733" s="37">
        <v>19</v>
      </c>
      <c r="L733" t="s">
        <v>52</v>
      </c>
      <c r="M733" s="21">
        <v>40500</v>
      </c>
      <c r="N733" s="21">
        <v>578340</v>
      </c>
      <c r="O733" s="21">
        <v>92340</v>
      </c>
      <c r="P733">
        <v>5</v>
      </c>
      <c r="Q733" t="s">
        <v>42</v>
      </c>
      <c r="R733" s="37">
        <v>18</v>
      </c>
      <c r="S733" s="37">
        <v>0</v>
      </c>
      <c r="T733" t="s">
        <v>43</v>
      </c>
      <c r="U733" t="s">
        <v>44</v>
      </c>
      <c r="V733" t="s">
        <v>45</v>
      </c>
    </row>
    <row r="734" spans="1:22" ht="15" customHeight="1" x14ac:dyDescent="0.3">
      <c r="A734" t="s">
        <v>1305</v>
      </c>
      <c r="B734" s="20">
        <v>45954</v>
      </c>
      <c r="C734" t="s">
        <v>1306</v>
      </c>
      <c r="D734" t="s">
        <v>35</v>
      </c>
      <c r="E734" s="37">
        <v>37</v>
      </c>
      <c r="F734" t="s">
        <v>49</v>
      </c>
      <c r="G734" t="s">
        <v>50</v>
      </c>
      <c r="H734" t="s">
        <v>38</v>
      </c>
      <c r="I734" t="s">
        <v>82</v>
      </c>
      <c r="J734" t="s">
        <v>99</v>
      </c>
      <c r="K734" s="37">
        <v>28</v>
      </c>
      <c r="L734" t="s">
        <v>52</v>
      </c>
      <c r="M734" s="21">
        <v>52500</v>
      </c>
      <c r="N734" s="21">
        <v>730800</v>
      </c>
      <c r="O734" s="21">
        <v>100800</v>
      </c>
      <c r="P734">
        <v>3</v>
      </c>
      <c r="Q734" t="s">
        <v>42</v>
      </c>
      <c r="R734" s="37">
        <v>3</v>
      </c>
      <c r="S734" s="37">
        <v>20</v>
      </c>
      <c r="T734" t="s">
        <v>146</v>
      </c>
      <c r="U734" t="s">
        <v>44</v>
      </c>
      <c r="V734" t="s">
        <v>45</v>
      </c>
    </row>
    <row r="735" spans="1:22" ht="15" customHeight="1" x14ac:dyDescent="0.3">
      <c r="A735" t="s">
        <v>1307</v>
      </c>
      <c r="B735" s="20">
        <v>45879</v>
      </c>
      <c r="C735" t="s">
        <v>1308</v>
      </c>
      <c r="D735" t="s">
        <v>35</v>
      </c>
      <c r="E735" s="37">
        <v>39</v>
      </c>
      <c r="F735" t="s">
        <v>91</v>
      </c>
      <c r="G735" t="s">
        <v>92</v>
      </c>
      <c r="H735" t="s">
        <v>66</v>
      </c>
      <c r="I735" t="s">
        <v>75</v>
      </c>
      <c r="J735" t="s">
        <v>93</v>
      </c>
      <c r="K735" s="37">
        <v>28</v>
      </c>
      <c r="L735" t="s">
        <v>52</v>
      </c>
      <c r="M735" s="21">
        <v>95900</v>
      </c>
      <c r="N735" s="21">
        <v>1311912</v>
      </c>
      <c r="O735" s="21">
        <v>161112</v>
      </c>
      <c r="P735">
        <v>3</v>
      </c>
      <c r="Q735" t="s">
        <v>42</v>
      </c>
      <c r="R735" s="37">
        <v>7</v>
      </c>
      <c r="S735" s="37">
        <v>21</v>
      </c>
      <c r="T735" t="s">
        <v>77</v>
      </c>
      <c r="U735" t="s">
        <v>44</v>
      </c>
      <c r="V735" t="s">
        <v>69</v>
      </c>
    </row>
    <row r="736" spans="1:22" ht="15" customHeight="1" x14ac:dyDescent="0.3">
      <c r="A736" t="s">
        <v>1309</v>
      </c>
      <c r="B736" s="20">
        <v>45701</v>
      </c>
      <c r="C736" t="s">
        <v>924</v>
      </c>
      <c r="D736" t="s">
        <v>48</v>
      </c>
      <c r="E736" s="37">
        <v>50</v>
      </c>
      <c r="F736" t="s">
        <v>91</v>
      </c>
      <c r="G736" t="s">
        <v>92</v>
      </c>
      <c r="H736" t="s">
        <v>66</v>
      </c>
      <c r="I736" t="s">
        <v>82</v>
      </c>
      <c r="J736" t="s">
        <v>170</v>
      </c>
      <c r="K736" s="37">
        <v>8</v>
      </c>
      <c r="L736" t="s">
        <v>52</v>
      </c>
      <c r="M736" s="21">
        <v>61500</v>
      </c>
      <c r="N736" s="21">
        <v>848699</v>
      </c>
      <c r="O736" s="21">
        <v>110700</v>
      </c>
      <c r="P736">
        <v>4</v>
      </c>
      <c r="Q736" t="s">
        <v>42</v>
      </c>
      <c r="R736" s="37">
        <v>18</v>
      </c>
      <c r="S736" s="37">
        <v>33</v>
      </c>
      <c r="T736" t="s">
        <v>68</v>
      </c>
      <c r="U736" t="s">
        <v>44</v>
      </c>
      <c r="V736" t="s">
        <v>45</v>
      </c>
    </row>
    <row r="737" spans="1:22" ht="15" customHeight="1" x14ac:dyDescent="0.3">
      <c r="A737" t="s">
        <v>1310</v>
      </c>
      <c r="B737" s="20">
        <v>45885</v>
      </c>
      <c r="C737" t="s">
        <v>223</v>
      </c>
      <c r="D737" t="s">
        <v>48</v>
      </c>
      <c r="E737" s="37">
        <v>52</v>
      </c>
      <c r="F737" t="s">
        <v>91</v>
      </c>
      <c r="G737" t="s">
        <v>92</v>
      </c>
      <c r="H737" t="s">
        <v>59</v>
      </c>
      <c r="I737" t="s">
        <v>39</v>
      </c>
      <c r="J737" t="s">
        <v>141</v>
      </c>
      <c r="K737" s="37">
        <v>23</v>
      </c>
      <c r="L737" t="s">
        <v>52</v>
      </c>
      <c r="M737" s="21">
        <v>30300</v>
      </c>
      <c r="N737" s="21">
        <v>407232</v>
      </c>
      <c r="O737" s="21">
        <v>43632</v>
      </c>
      <c r="P737">
        <v>3</v>
      </c>
      <c r="Q737" t="s">
        <v>42</v>
      </c>
      <c r="R737" s="37">
        <v>19</v>
      </c>
      <c r="S737" s="37">
        <v>3</v>
      </c>
      <c r="T737" t="s">
        <v>77</v>
      </c>
      <c r="U737" t="s">
        <v>44</v>
      </c>
      <c r="V737" t="s">
        <v>45</v>
      </c>
    </row>
    <row r="738" spans="1:22" ht="15" customHeight="1" x14ac:dyDescent="0.3">
      <c r="A738" t="s">
        <v>1311</v>
      </c>
      <c r="B738" s="20">
        <v>45763</v>
      </c>
      <c r="C738" t="s">
        <v>235</v>
      </c>
      <c r="D738" t="s">
        <v>35</v>
      </c>
      <c r="E738" s="37">
        <v>39</v>
      </c>
      <c r="F738" t="s">
        <v>108</v>
      </c>
      <c r="G738" t="s">
        <v>109</v>
      </c>
      <c r="H738" t="s">
        <v>66</v>
      </c>
      <c r="I738" t="s">
        <v>82</v>
      </c>
      <c r="J738" t="s">
        <v>161</v>
      </c>
      <c r="K738" s="37">
        <v>22</v>
      </c>
      <c r="L738" t="s">
        <v>120</v>
      </c>
      <c r="M738" s="21">
        <v>69800</v>
      </c>
      <c r="N738" s="21">
        <v>971615</v>
      </c>
      <c r="O738" s="21">
        <v>134016</v>
      </c>
      <c r="P738">
        <v>2</v>
      </c>
      <c r="Q738" t="s">
        <v>42</v>
      </c>
      <c r="R738" s="37">
        <v>9</v>
      </c>
      <c r="S738" s="37">
        <v>9</v>
      </c>
      <c r="T738" t="s">
        <v>43</v>
      </c>
      <c r="U738" t="s">
        <v>63</v>
      </c>
      <c r="V738" t="s">
        <v>69</v>
      </c>
    </row>
    <row r="739" spans="1:22" ht="15" customHeight="1" x14ac:dyDescent="0.3">
      <c r="A739" t="s">
        <v>1312</v>
      </c>
      <c r="B739" s="20">
        <v>46016</v>
      </c>
      <c r="C739" t="s">
        <v>1293</v>
      </c>
      <c r="D739" t="s">
        <v>48</v>
      </c>
      <c r="E739" s="37">
        <v>52</v>
      </c>
      <c r="F739" t="s">
        <v>57</v>
      </c>
      <c r="G739" t="s">
        <v>58</v>
      </c>
      <c r="H739" t="s">
        <v>66</v>
      </c>
      <c r="I739" t="s">
        <v>82</v>
      </c>
      <c r="J739" t="s">
        <v>149</v>
      </c>
      <c r="K739" s="37">
        <v>12</v>
      </c>
      <c r="L739" t="s">
        <v>52</v>
      </c>
      <c r="M739" s="21">
        <v>67700</v>
      </c>
      <c r="N739" s="21">
        <v>950508</v>
      </c>
      <c r="O739" s="21">
        <v>138108</v>
      </c>
      <c r="P739">
        <v>3</v>
      </c>
      <c r="Q739" t="s">
        <v>42</v>
      </c>
      <c r="R739" s="37">
        <v>11</v>
      </c>
      <c r="S739" s="37">
        <v>14</v>
      </c>
      <c r="T739" t="s">
        <v>53</v>
      </c>
      <c r="U739" t="s">
        <v>63</v>
      </c>
      <c r="V739" t="s">
        <v>69</v>
      </c>
    </row>
    <row r="740" spans="1:22" ht="15" customHeight="1" x14ac:dyDescent="0.3">
      <c r="A740" t="s">
        <v>1313</v>
      </c>
      <c r="B740" s="20">
        <v>45979</v>
      </c>
      <c r="C740" t="s">
        <v>445</v>
      </c>
      <c r="D740" t="s">
        <v>48</v>
      </c>
      <c r="E740" s="37">
        <v>54</v>
      </c>
      <c r="F740" t="s">
        <v>36</v>
      </c>
      <c r="G740" t="s">
        <v>37</v>
      </c>
      <c r="H740" t="s">
        <v>59</v>
      </c>
      <c r="I740" t="s">
        <v>75</v>
      </c>
      <c r="J740" t="s">
        <v>104</v>
      </c>
      <c r="K740" s="37">
        <v>0</v>
      </c>
      <c r="L740" t="s">
        <v>52</v>
      </c>
      <c r="M740" s="21">
        <v>68700</v>
      </c>
      <c r="N740" s="21">
        <v>956303</v>
      </c>
      <c r="O740" s="21">
        <v>131904</v>
      </c>
      <c r="P740">
        <v>4</v>
      </c>
      <c r="Q740" t="s">
        <v>42</v>
      </c>
      <c r="R740" s="37">
        <v>8</v>
      </c>
      <c r="S740" s="37">
        <v>12</v>
      </c>
      <c r="T740" t="s">
        <v>146</v>
      </c>
      <c r="U740" t="s">
        <v>138</v>
      </c>
      <c r="V740" t="s">
        <v>45</v>
      </c>
    </row>
    <row r="741" spans="1:22" ht="15" customHeight="1" x14ac:dyDescent="0.3">
      <c r="A741" t="s">
        <v>1314</v>
      </c>
      <c r="B741" s="20">
        <v>45804</v>
      </c>
      <c r="C741" t="s">
        <v>1315</v>
      </c>
      <c r="D741" t="s">
        <v>48</v>
      </c>
      <c r="E741" s="37">
        <v>23</v>
      </c>
      <c r="F741" t="s">
        <v>49</v>
      </c>
      <c r="G741" t="s">
        <v>50</v>
      </c>
      <c r="H741" t="s">
        <v>38</v>
      </c>
      <c r="I741" t="s">
        <v>82</v>
      </c>
      <c r="J741" t="s">
        <v>99</v>
      </c>
      <c r="K741" s="37">
        <v>14</v>
      </c>
      <c r="L741" t="s">
        <v>52</v>
      </c>
      <c r="M741" s="21">
        <v>58200</v>
      </c>
      <c r="N741" s="21">
        <v>775224</v>
      </c>
      <c r="O741" s="21">
        <v>76824</v>
      </c>
      <c r="P741">
        <v>5</v>
      </c>
      <c r="Q741" t="s">
        <v>42</v>
      </c>
      <c r="R741" s="37">
        <v>17</v>
      </c>
      <c r="S741" s="37">
        <v>21</v>
      </c>
      <c r="T741" t="s">
        <v>175</v>
      </c>
      <c r="U741" t="s">
        <v>44</v>
      </c>
      <c r="V741" t="s">
        <v>45</v>
      </c>
    </row>
    <row r="742" spans="1:22" ht="15" customHeight="1" x14ac:dyDescent="0.3">
      <c r="A742" t="s">
        <v>1316</v>
      </c>
      <c r="B742" s="20">
        <v>45665</v>
      </c>
      <c r="C742" t="s">
        <v>309</v>
      </c>
      <c r="D742" t="s">
        <v>35</v>
      </c>
      <c r="E742" s="37">
        <v>42</v>
      </c>
      <c r="F742" t="s">
        <v>86</v>
      </c>
      <c r="G742" t="s">
        <v>87</v>
      </c>
      <c r="H742" t="s">
        <v>66</v>
      </c>
      <c r="I742" t="s">
        <v>60</v>
      </c>
      <c r="J742" t="s">
        <v>67</v>
      </c>
      <c r="K742" s="37">
        <v>11</v>
      </c>
      <c r="L742" t="s">
        <v>52</v>
      </c>
      <c r="M742" s="21">
        <v>162700</v>
      </c>
      <c r="N742" s="21">
        <v>2303832</v>
      </c>
      <c r="O742" s="21">
        <v>351432</v>
      </c>
      <c r="P742">
        <v>3</v>
      </c>
      <c r="Q742" t="s">
        <v>42</v>
      </c>
      <c r="R742" s="37">
        <v>6</v>
      </c>
      <c r="S742" s="37">
        <v>5</v>
      </c>
      <c r="T742" t="s">
        <v>94</v>
      </c>
      <c r="U742" t="s">
        <v>63</v>
      </c>
      <c r="V742" t="s">
        <v>45</v>
      </c>
    </row>
    <row r="743" spans="1:22" ht="15" customHeight="1" x14ac:dyDescent="0.3">
      <c r="A743" t="s">
        <v>1317</v>
      </c>
      <c r="B743" s="20">
        <v>45995</v>
      </c>
      <c r="C743" t="s">
        <v>79</v>
      </c>
      <c r="D743" t="s">
        <v>48</v>
      </c>
      <c r="E743" s="37">
        <v>56</v>
      </c>
      <c r="F743" t="s">
        <v>36</v>
      </c>
      <c r="G743" t="s">
        <v>37</v>
      </c>
      <c r="H743" t="s">
        <v>59</v>
      </c>
      <c r="I743" t="s">
        <v>82</v>
      </c>
      <c r="J743" t="s">
        <v>141</v>
      </c>
      <c r="K743" s="37">
        <v>11</v>
      </c>
      <c r="L743" t="s">
        <v>41</v>
      </c>
      <c r="M743" s="21">
        <v>47700</v>
      </c>
      <c r="N743" s="21">
        <v>641088</v>
      </c>
      <c r="O743" s="21">
        <v>68688</v>
      </c>
      <c r="P743">
        <v>3</v>
      </c>
      <c r="Q743" t="s">
        <v>42</v>
      </c>
      <c r="R743" s="37">
        <v>6</v>
      </c>
      <c r="S743" s="37">
        <v>9</v>
      </c>
      <c r="T743" t="s">
        <v>77</v>
      </c>
      <c r="U743" t="s">
        <v>63</v>
      </c>
      <c r="V743" t="s">
        <v>69</v>
      </c>
    </row>
    <row r="744" spans="1:22" ht="15" customHeight="1" x14ac:dyDescent="0.3">
      <c r="A744" t="s">
        <v>1318</v>
      </c>
      <c r="B744" s="20">
        <v>45904</v>
      </c>
      <c r="C744" t="s">
        <v>1279</v>
      </c>
      <c r="D744" t="s">
        <v>48</v>
      </c>
      <c r="E744" s="37">
        <v>29</v>
      </c>
      <c r="F744" t="s">
        <v>80</v>
      </c>
      <c r="G744" t="s">
        <v>81</v>
      </c>
      <c r="H744" t="s">
        <v>59</v>
      </c>
      <c r="I744" t="s">
        <v>39</v>
      </c>
      <c r="J744" t="s">
        <v>104</v>
      </c>
      <c r="K744" s="37">
        <v>11</v>
      </c>
      <c r="L744" t="s">
        <v>52</v>
      </c>
      <c r="M744" s="21">
        <v>30900</v>
      </c>
      <c r="N744" s="21">
        <v>404172</v>
      </c>
      <c r="O744" s="21">
        <v>33372</v>
      </c>
      <c r="P744">
        <v>4</v>
      </c>
      <c r="Q744" t="s">
        <v>42</v>
      </c>
      <c r="R744" s="37">
        <v>13</v>
      </c>
      <c r="S744" s="37">
        <v>36</v>
      </c>
      <c r="T744" t="s">
        <v>62</v>
      </c>
      <c r="U744" t="s">
        <v>44</v>
      </c>
      <c r="V744" t="s">
        <v>69</v>
      </c>
    </row>
    <row r="745" spans="1:22" ht="15" customHeight="1" x14ac:dyDescent="0.3">
      <c r="A745" t="s">
        <v>1319</v>
      </c>
      <c r="B745" s="20">
        <v>45766</v>
      </c>
      <c r="C745" t="s">
        <v>346</v>
      </c>
      <c r="D745" t="s">
        <v>35</v>
      </c>
      <c r="E745" s="37">
        <v>39</v>
      </c>
      <c r="F745" t="s">
        <v>72</v>
      </c>
      <c r="G745" t="s">
        <v>73</v>
      </c>
      <c r="H745" t="s">
        <v>66</v>
      </c>
      <c r="I745" t="s">
        <v>75</v>
      </c>
      <c r="J745" t="s">
        <v>93</v>
      </c>
      <c r="K745" s="37">
        <v>23</v>
      </c>
      <c r="L745" t="s">
        <v>52</v>
      </c>
      <c r="M745" s="21">
        <v>89500</v>
      </c>
      <c r="N745" s="21">
        <v>1138440</v>
      </c>
      <c r="O745" s="21">
        <v>64440</v>
      </c>
      <c r="P745">
        <v>2</v>
      </c>
      <c r="Q745" t="s">
        <v>42</v>
      </c>
      <c r="R745" s="37">
        <v>1</v>
      </c>
      <c r="S745" s="37">
        <v>26</v>
      </c>
      <c r="T745" t="s">
        <v>43</v>
      </c>
      <c r="U745" t="s">
        <v>44</v>
      </c>
      <c r="V745" t="s">
        <v>69</v>
      </c>
    </row>
    <row r="746" spans="1:22" ht="15" customHeight="1" x14ac:dyDescent="0.3">
      <c r="A746" t="s">
        <v>1320</v>
      </c>
      <c r="B746" s="20">
        <v>45904</v>
      </c>
      <c r="C746" t="s">
        <v>1237</v>
      </c>
      <c r="D746" t="s">
        <v>35</v>
      </c>
      <c r="E746" s="37">
        <v>29</v>
      </c>
      <c r="F746" t="s">
        <v>80</v>
      </c>
      <c r="G746" t="s">
        <v>81</v>
      </c>
      <c r="H746" t="s">
        <v>118</v>
      </c>
      <c r="I746" t="s">
        <v>51</v>
      </c>
      <c r="J746" t="s">
        <v>137</v>
      </c>
      <c r="K746" s="37">
        <v>30</v>
      </c>
      <c r="L746" t="s">
        <v>120</v>
      </c>
      <c r="M746" s="21">
        <v>249100</v>
      </c>
      <c r="N746" s="21">
        <v>3557148</v>
      </c>
      <c r="O746" s="21">
        <v>567948</v>
      </c>
      <c r="P746">
        <v>4</v>
      </c>
      <c r="Q746" t="s">
        <v>42</v>
      </c>
      <c r="R746" s="37">
        <v>18</v>
      </c>
      <c r="S746" s="37">
        <v>35</v>
      </c>
      <c r="T746" t="s">
        <v>105</v>
      </c>
      <c r="U746" t="s">
        <v>44</v>
      </c>
      <c r="V746" t="s">
        <v>69</v>
      </c>
    </row>
    <row r="747" spans="1:22" ht="15" customHeight="1" x14ac:dyDescent="0.3">
      <c r="A747" t="s">
        <v>1321</v>
      </c>
      <c r="B747" s="20">
        <v>45712</v>
      </c>
      <c r="C747" t="s">
        <v>1225</v>
      </c>
      <c r="D747" t="s">
        <v>35</v>
      </c>
      <c r="E747" s="37">
        <v>51</v>
      </c>
      <c r="F747" t="s">
        <v>36</v>
      </c>
      <c r="G747" t="s">
        <v>37</v>
      </c>
      <c r="H747" t="s">
        <v>118</v>
      </c>
      <c r="I747" t="s">
        <v>82</v>
      </c>
      <c r="J747" t="s">
        <v>219</v>
      </c>
      <c r="K747" s="37">
        <v>21</v>
      </c>
      <c r="L747" t="s">
        <v>52</v>
      </c>
      <c r="M747" s="21">
        <v>45300</v>
      </c>
      <c r="N747" s="21">
        <v>592524</v>
      </c>
      <c r="O747" s="21">
        <v>48924</v>
      </c>
      <c r="P747">
        <v>2</v>
      </c>
      <c r="Q747" t="s">
        <v>42</v>
      </c>
      <c r="R747" s="37">
        <v>10</v>
      </c>
      <c r="S747" s="37">
        <v>36</v>
      </c>
      <c r="T747" t="s">
        <v>94</v>
      </c>
      <c r="U747" t="s">
        <v>54</v>
      </c>
      <c r="V747" t="s">
        <v>45</v>
      </c>
    </row>
    <row r="748" spans="1:22" ht="15" customHeight="1" x14ac:dyDescent="0.3">
      <c r="A748" t="s">
        <v>1322</v>
      </c>
      <c r="B748" s="20">
        <v>45889</v>
      </c>
      <c r="C748" t="s">
        <v>812</v>
      </c>
      <c r="D748" t="s">
        <v>35</v>
      </c>
      <c r="E748" s="37">
        <v>36</v>
      </c>
      <c r="F748" t="s">
        <v>97</v>
      </c>
      <c r="G748" t="s">
        <v>98</v>
      </c>
      <c r="H748" t="s">
        <v>74</v>
      </c>
      <c r="I748" t="s">
        <v>82</v>
      </c>
      <c r="J748" t="s">
        <v>115</v>
      </c>
      <c r="K748" s="37">
        <v>12</v>
      </c>
      <c r="L748" t="s">
        <v>52</v>
      </c>
      <c r="M748" s="21">
        <v>51200</v>
      </c>
      <c r="N748" s="21">
        <v>681984</v>
      </c>
      <c r="O748" s="21">
        <v>67584</v>
      </c>
      <c r="P748">
        <v>4</v>
      </c>
      <c r="Q748" t="s">
        <v>42</v>
      </c>
      <c r="R748" s="37">
        <v>20</v>
      </c>
      <c r="S748" s="37">
        <v>25</v>
      </c>
      <c r="T748" t="s">
        <v>94</v>
      </c>
      <c r="U748" t="s">
        <v>44</v>
      </c>
      <c r="V748" t="s">
        <v>69</v>
      </c>
    </row>
    <row r="749" spans="1:22" ht="15" customHeight="1" x14ac:dyDescent="0.3">
      <c r="A749" t="s">
        <v>1323</v>
      </c>
      <c r="B749" s="20">
        <v>45677</v>
      </c>
      <c r="C749" t="s">
        <v>777</v>
      </c>
      <c r="D749" t="s">
        <v>48</v>
      </c>
      <c r="E749" s="37">
        <v>48</v>
      </c>
      <c r="F749" t="s">
        <v>80</v>
      </c>
      <c r="G749" t="s">
        <v>81</v>
      </c>
      <c r="H749" t="s">
        <v>66</v>
      </c>
      <c r="I749" t="s">
        <v>82</v>
      </c>
      <c r="J749" t="s">
        <v>170</v>
      </c>
      <c r="K749" s="37">
        <v>11</v>
      </c>
      <c r="L749" t="s">
        <v>52</v>
      </c>
      <c r="M749" s="21">
        <v>65900</v>
      </c>
      <c r="N749" s="21">
        <v>948960</v>
      </c>
      <c r="O749" s="21">
        <v>158160</v>
      </c>
      <c r="P749">
        <v>4</v>
      </c>
      <c r="Q749" t="s">
        <v>126</v>
      </c>
      <c r="R749" s="37">
        <v>14</v>
      </c>
      <c r="S749" s="37">
        <v>33</v>
      </c>
      <c r="T749" t="s">
        <v>53</v>
      </c>
      <c r="U749" t="s">
        <v>63</v>
      </c>
      <c r="V749" t="s">
        <v>69</v>
      </c>
    </row>
    <row r="750" spans="1:22" ht="15" customHeight="1" x14ac:dyDescent="0.3">
      <c r="A750" t="s">
        <v>1324</v>
      </c>
      <c r="B750" s="20">
        <v>45825</v>
      </c>
      <c r="C750" t="s">
        <v>1325</v>
      </c>
      <c r="D750" t="s">
        <v>48</v>
      </c>
      <c r="E750" s="37">
        <v>32</v>
      </c>
      <c r="F750" t="s">
        <v>57</v>
      </c>
      <c r="G750" t="s">
        <v>58</v>
      </c>
      <c r="H750" t="s">
        <v>118</v>
      </c>
      <c r="I750" t="s">
        <v>60</v>
      </c>
      <c r="J750" t="s">
        <v>137</v>
      </c>
      <c r="K750" s="37">
        <v>29</v>
      </c>
      <c r="L750" t="s">
        <v>52</v>
      </c>
      <c r="M750" s="21">
        <v>112600</v>
      </c>
      <c r="N750" s="21">
        <v>1445784</v>
      </c>
      <c r="O750" s="21">
        <v>94584</v>
      </c>
      <c r="P750">
        <v>4</v>
      </c>
      <c r="Q750" t="s">
        <v>42</v>
      </c>
      <c r="R750" s="37">
        <v>9</v>
      </c>
      <c r="S750" s="37">
        <v>28</v>
      </c>
      <c r="T750" t="s">
        <v>43</v>
      </c>
      <c r="U750" t="s">
        <v>63</v>
      </c>
      <c r="V750" t="s">
        <v>69</v>
      </c>
    </row>
    <row r="751" spans="1:22" ht="15" customHeight="1" x14ac:dyDescent="0.3">
      <c r="A751" t="s">
        <v>1326</v>
      </c>
      <c r="B751" s="20">
        <v>45769</v>
      </c>
      <c r="C751" t="s">
        <v>167</v>
      </c>
      <c r="D751" t="s">
        <v>35</v>
      </c>
      <c r="E751" s="37">
        <v>52</v>
      </c>
      <c r="F751" t="s">
        <v>36</v>
      </c>
      <c r="G751" t="s">
        <v>37</v>
      </c>
      <c r="H751" t="s">
        <v>59</v>
      </c>
      <c r="I751" t="s">
        <v>39</v>
      </c>
      <c r="J751" t="s">
        <v>104</v>
      </c>
      <c r="K751" s="37">
        <v>26</v>
      </c>
      <c r="L751" t="s">
        <v>52</v>
      </c>
      <c r="M751" s="21">
        <v>38800</v>
      </c>
      <c r="N751" s="21">
        <v>512160</v>
      </c>
      <c r="O751" s="21">
        <v>46560</v>
      </c>
      <c r="P751">
        <v>3</v>
      </c>
      <c r="Q751" t="s">
        <v>42</v>
      </c>
      <c r="R751" s="37">
        <v>11</v>
      </c>
      <c r="S751" s="37">
        <v>32</v>
      </c>
      <c r="T751" t="s">
        <v>53</v>
      </c>
      <c r="U751" t="s">
        <v>54</v>
      </c>
      <c r="V751" t="s">
        <v>69</v>
      </c>
    </row>
    <row r="752" spans="1:22" ht="15" customHeight="1" x14ac:dyDescent="0.3">
      <c r="A752" t="s">
        <v>1327</v>
      </c>
      <c r="B752" s="20">
        <v>45941</v>
      </c>
      <c r="C752" t="s">
        <v>1113</v>
      </c>
      <c r="D752" t="s">
        <v>35</v>
      </c>
      <c r="E752" s="37">
        <v>57</v>
      </c>
      <c r="F752" t="s">
        <v>97</v>
      </c>
      <c r="G752" t="s">
        <v>98</v>
      </c>
      <c r="H752" t="s">
        <v>118</v>
      </c>
      <c r="I752" t="s">
        <v>75</v>
      </c>
      <c r="J752" t="s">
        <v>119</v>
      </c>
      <c r="K752" s="37">
        <v>23</v>
      </c>
      <c r="L752" t="s">
        <v>52</v>
      </c>
      <c r="M752" s="21">
        <v>97400</v>
      </c>
      <c r="N752" s="21">
        <v>1402560</v>
      </c>
      <c r="O752" s="21">
        <v>233760</v>
      </c>
      <c r="P752">
        <v>3</v>
      </c>
      <c r="Q752" t="s">
        <v>126</v>
      </c>
      <c r="R752" s="37">
        <v>20</v>
      </c>
      <c r="S752" s="37">
        <v>30</v>
      </c>
      <c r="T752" t="s">
        <v>77</v>
      </c>
      <c r="U752" t="s">
        <v>63</v>
      </c>
      <c r="V752" t="s">
        <v>45</v>
      </c>
    </row>
    <row r="753" spans="1:22" ht="15" customHeight="1" x14ac:dyDescent="0.3">
      <c r="A753" t="s">
        <v>1328</v>
      </c>
      <c r="B753" s="20">
        <v>45924</v>
      </c>
      <c r="C753" t="s">
        <v>1329</v>
      </c>
      <c r="D753" t="s">
        <v>48</v>
      </c>
      <c r="E753" s="37">
        <v>50</v>
      </c>
      <c r="F753" t="s">
        <v>97</v>
      </c>
      <c r="G753" t="s">
        <v>98</v>
      </c>
      <c r="H753" t="s">
        <v>59</v>
      </c>
      <c r="I753" t="s">
        <v>82</v>
      </c>
      <c r="J753" t="s">
        <v>141</v>
      </c>
      <c r="K753" s="37">
        <v>27</v>
      </c>
      <c r="L753" t="s">
        <v>52</v>
      </c>
      <c r="M753" s="21">
        <v>57500</v>
      </c>
      <c r="N753" s="21">
        <v>793499</v>
      </c>
      <c r="O753" s="21">
        <v>103500</v>
      </c>
      <c r="P753">
        <v>4</v>
      </c>
      <c r="Q753" t="s">
        <v>42</v>
      </c>
      <c r="R753" s="37">
        <v>15</v>
      </c>
      <c r="S753" s="37">
        <v>31</v>
      </c>
      <c r="T753" t="s">
        <v>146</v>
      </c>
      <c r="U753" t="s">
        <v>44</v>
      </c>
      <c r="V753" t="s">
        <v>45</v>
      </c>
    </row>
    <row r="754" spans="1:22" ht="15" customHeight="1" x14ac:dyDescent="0.3">
      <c r="A754" t="s">
        <v>1330</v>
      </c>
      <c r="B754" s="20">
        <v>45675</v>
      </c>
      <c r="C754" t="s">
        <v>1331</v>
      </c>
      <c r="D754" t="s">
        <v>48</v>
      </c>
      <c r="E754" s="37">
        <v>28</v>
      </c>
      <c r="F754" t="s">
        <v>108</v>
      </c>
      <c r="G754" t="s">
        <v>109</v>
      </c>
      <c r="H754" t="s">
        <v>38</v>
      </c>
      <c r="I754" t="s">
        <v>39</v>
      </c>
      <c r="J754" t="s">
        <v>134</v>
      </c>
      <c r="K754" s="37">
        <v>9</v>
      </c>
      <c r="L754" t="s">
        <v>52</v>
      </c>
      <c r="M754" s="21">
        <v>37200</v>
      </c>
      <c r="N754" s="21">
        <v>486576</v>
      </c>
      <c r="O754" s="21">
        <v>40176</v>
      </c>
      <c r="P754">
        <v>2</v>
      </c>
      <c r="Q754" t="s">
        <v>42</v>
      </c>
      <c r="R754" s="37">
        <v>20</v>
      </c>
      <c r="S754" s="37">
        <v>13</v>
      </c>
      <c r="T754" t="s">
        <v>94</v>
      </c>
      <c r="U754" t="s">
        <v>44</v>
      </c>
      <c r="V754" t="s">
        <v>69</v>
      </c>
    </row>
    <row r="755" spans="1:22" ht="15" customHeight="1" x14ac:dyDescent="0.3">
      <c r="A755" t="s">
        <v>1332</v>
      </c>
      <c r="B755" s="20">
        <v>45672</v>
      </c>
      <c r="C755" t="s">
        <v>1017</v>
      </c>
      <c r="D755" t="s">
        <v>48</v>
      </c>
      <c r="E755" s="37">
        <v>35</v>
      </c>
      <c r="F755" t="s">
        <v>91</v>
      </c>
      <c r="G755" t="s">
        <v>92</v>
      </c>
      <c r="H755" t="s">
        <v>118</v>
      </c>
      <c r="I755" t="s">
        <v>82</v>
      </c>
      <c r="J755" t="s">
        <v>250</v>
      </c>
      <c r="K755" s="37">
        <v>1</v>
      </c>
      <c r="L755" t="s">
        <v>41</v>
      </c>
      <c r="M755" s="21">
        <v>55100</v>
      </c>
      <c r="N755" s="21">
        <v>773604</v>
      </c>
      <c r="O755" s="21">
        <v>112404</v>
      </c>
      <c r="P755">
        <v>3</v>
      </c>
      <c r="Q755" t="s">
        <v>42</v>
      </c>
      <c r="R755" s="37">
        <v>15</v>
      </c>
      <c r="S755" s="37">
        <v>7</v>
      </c>
      <c r="T755" t="s">
        <v>129</v>
      </c>
      <c r="U755" t="s">
        <v>54</v>
      </c>
      <c r="V755" t="s">
        <v>69</v>
      </c>
    </row>
    <row r="756" spans="1:22" ht="15" customHeight="1" x14ac:dyDescent="0.3">
      <c r="A756" t="s">
        <v>1333</v>
      </c>
      <c r="B756" s="20">
        <v>45975</v>
      </c>
      <c r="C756" t="s">
        <v>1334</v>
      </c>
      <c r="D756" t="s">
        <v>35</v>
      </c>
      <c r="E756" s="37">
        <v>52</v>
      </c>
      <c r="F756" t="s">
        <v>97</v>
      </c>
      <c r="G756" t="s">
        <v>98</v>
      </c>
      <c r="H756" t="s">
        <v>74</v>
      </c>
      <c r="I756" t="s">
        <v>82</v>
      </c>
      <c r="J756" t="s">
        <v>76</v>
      </c>
      <c r="K756" s="37">
        <v>14</v>
      </c>
      <c r="L756" t="s">
        <v>52</v>
      </c>
      <c r="M756" s="21">
        <v>52200</v>
      </c>
      <c r="N756" s="21">
        <v>739152</v>
      </c>
      <c r="O756" s="21">
        <v>112752</v>
      </c>
      <c r="P756">
        <v>3</v>
      </c>
      <c r="Q756" t="s">
        <v>42</v>
      </c>
      <c r="R756" s="37">
        <v>7</v>
      </c>
      <c r="S756" s="37">
        <v>1</v>
      </c>
      <c r="T756" t="s">
        <v>94</v>
      </c>
      <c r="U756" t="s">
        <v>54</v>
      </c>
      <c r="V756" t="s">
        <v>45</v>
      </c>
    </row>
    <row r="757" spans="1:22" ht="15" customHeight="1" x14ac:dyDescent="0.3">
      <c r="A757" t="s">
        <v>1335</v>
      </c>
      <c r="B757" s="20">
        <v>45924</v>
      </c>
      <c r="C757" t="s">
        <v>1058</v>
      </c>
      <c r="D757" t="s">
        <v>48</v>
      </c>
      <c r="E757" s="37">
        <v>22</v>
      </c>
      <c r="F757" t="s">
        <v>97</v>
      </c>
      <c r="G757" t="s">
        <v>98</v>
      </c>
      <c r="H757" t="s">
        <v>66</v>
      </c>
      <c r="I757" t="s">
        <v>39</v>
      </c>
      <c r="J757" t="s">
        <v>149</v>
      </c>
      <c r="K757" s="37">
        <v>17</v>
      </c>
      <c r="L757" t="s">
        <v>41</v>
      </c>
      <c r="M757" s="21">
        <v>35800</v>
      </c>
      <c r="N757" s="21">
        <v>459672</v>
      </c>
      <c r="O757" s="21">
        <v>30072</v>
      </c>
      <c r="P757">
        <v>5</v>
      </c>
      <c r="Q757" t="s">
        <v>42</v>
      </c>
      <c r="R757" s="37">
        <v>3</v>
      </c>
      <c r="S757" s="37">
        <v>35</v>
      </c>
      <c r="T757" t="s">
        <v>146</v>
      </c>
      <c r="U757" t="s">
        <v>54</v>
      </c>
      <c r="V757" t="s">
        <v>45</v>
      </c>
    </row>
    <row r="758" spans="1:22" ht="15" customHeight="1" x14ac:dyDescent="0.3">
      <c r="A758" t="s">
        <v>1336</v>
      </c>
      <c r="B758" s="20">
        <v>45828</v>
      </c>
      <c r="C758" t="s">
        <v>1337</v>
      </c>
      <c r="D758" t="s">
        <v>48</v>
      </c>
      <c r="E758" s="37">
        <v>56</v>
      </c>
      <c r="F758" t="s">
        <v>108</v>
      </c>
      <c r="G758" t="s">
        <v>109</v>
      </c>
      <c r="H758" t="s">
        <v>74</v>
      </c>
      <c r="I758" t="s">
        <v>39</v>
      </c>
      <c r="J758" t="s">
        <v>115</v>
      </c>
      <c r="K758" s="37">
        <v>10</v>
      </c>
      <c r="L758" t="s">
        <v>41</v>
      </c>
      <c r="M758" s="21">
        <v>34600</v>
      </c>
      <c r="N758" s="21">
        <v>489936</v>
      </c>
      <c r="O758" s="21">
        <v>74736</v>
      </c>
      <c r="P758">
        <v>3</v>
      </c>
      <c r="Q758" t="s">
        <v>126</v>
      </c>
      <c r="R758" s="37">
        <v>4</v>
      </c>
      <c r="S758" s="37">
        <v>12</v>
      </c>
      <c r="T758" t="s">
        <v>68</v>
      </c>
      <c r="U758" t="s">
        <v>54</v>
      </c>
      <c r="V758" t="s">
        <v>45</v>
      </c>
    </row>
    <row r="759" spans="1:22" ht="15" customHeight="1" x14ac:dyDescent="0.3">
      <c r="A759" t="s">
        <v>1338</v>
      </c>
      <c r="B759" s="20">
        <v>45682</v>
      </c>
      <c r="C759" t="s">
        <v>1339</v>
      </c>
      <c r="D759" t="s">
        <v>35</v>
      </c>
      <c r="E759" s="37">
        <v>39</v>
      </c>
      <c r="F759" t="s">
        <v>86</v>
      </c>
      <c r="G759" t="s">
        <v>87</v>
      </c>
      <c r="H759" t="s">
        <v>38</v>
      </c>
      <c r="I759" t="s">
        <v>39</v>
      </c>
      <c r="J759" t="s">
        <v>99</v>
      </c>
      <c r="K759" s="37">
        <v>10</v>
      </c>
      <c r="L759" t="s">
        <v>52</v>
      </c>
      <c r="M759" s="21">
        <v>37700</v>
      </c>
      <c r="N759" s="21">
        <v>497640</v>
      </c>
      <c r="O759" s="21">
        <v>45240</v>
      </c>
      <c r="P759">
        <v>4</v>
      </c>
      <c r="Q759" t="s">
        <v>42</v>
      </c>
      <c r="R759" s="37">
        <v>6</v>
      </c>
      <c r="S759" s="37">
        <v>14</v>
      </c>
      <c r="T759" t="s">
        <v>68</v>
      </c>
      <c r="U759" t="s">
        <v>63</v>
      </c>
      <c r="V759" t="s">
        <v>69</v>
      </c>
    </row>
    <row r="760" spans="1:22" ht="15" customHeight="1" x14ac:dyDescent="0.3">
      <c r="A760" t="s">
        <v>1340</v>
      </c>
      <c r="B760" s="20">
        <v>45722</v>
      </c>
      <c r="C760" t="s">
        <v>596</v>
      </c>
      <c r="D760" t="s">
        <v>48</v>
      </c>
      <c r="E760" s="37">
        <v>51</v>
      </c>
      <c r="F760" t="s">
        <v>36</v>
      </c>
      <c r="G760" t="s">
        <v>37</v>
      </c>
      <c r="H760" t="s">
        <v>74</v>
      </c>
      <c r="I760" t="s">
        <v>82</v>
      </c>
      <c r="J760" t="s">
        <v>152</v>
      </c>
      <c r="K760" s="37">
        <v>3</v>
      </c>
      <c r="L760" t="s">
        <v>41</v>
      </c>
      <c r="M760" s="21">
        <v>56500</v>
      </c>
      <c r="N760" s="21">
        <v>739020</v>
      </c>
      <c r="O760" s="21">
        <v>61020</v>
      </c>
      <c r="P760">
        <v>3</v>
      </c>
      <c r="Q760" t="s">
        <v>42</v>
      </c>
      <c r="R760" s="37">
        <v>7</v>
      </c>
      <c r="S760" s="37">
        <v>31</v>
      </c>
      <c r="T760" t="s">
        <v>53</v>
      </c>
      <c r="U760" t="s">
        <v>63</v>
      </c>
      <c r="V760" t="s">
        <v>45</v>
      </c>
    </row>
    <row r="761" spans="1:22" ht="15" customHeight="1" x14ac:dyDescent="0.3">
      <c r="A761" t="s">
        <v>1341</v>
      </c>
      <c r="B761" s="20">
        <v>45690</v>
      </c>
      <c r="C761" t="s">
        <v>505</v>
      </c>
      <c r="D761" t="s">
        <v>35</v>
      </c>
      <c r="E761" s="37">
        <v>54</v>
      </c>
      <c r="F761" t="s">
        <v>108</v>
      </c>
      <c r="G761" t="s">
        <v>109</v>
      </c>
      <c r="H761" t="s">
        <v>74</v>
      </c>
      <c r="I761" t="s">
        <v>39</v>
      </c>
      <c r="J761" t="s">
        <v>152</v>
      </c>
      <c r="K761" s="37">
        <v>20</v>
      </c>
      <c r="L761" t="s">
        <v>52</v>
      </c>
      <c r="M761" s="21">
        <v>35900</v>
      </c>
      <c r="N761" s="21">
        <v>469572</v>
      </c>
      <c r="O761" s="21">
        <v>38772</v>
      </c>
      <c r="P761">
        <v>4</v>
      </c>
      <c r="Q761" t="s">
        <v>42</v>
      </c>
      <c r="R761" s="37">
        <v>15</v>
      </c>
      <c r="S761" s="37">
        <v>14</v>
      </c>
      <c r="T761" t="s">
        <v>62</v>
      </c>
      <c r="U761" t="s">
        <v>44</v>
      </c>
      <c r="V761" t="s">
        <v>45</v>
      </c>
    </row>
    <row r="762" spans="1:22" ht="15" customHeight="1" x14ac:dyDescent="0.3">
      <c r="A762" t="s">
        <v>1342</v>
      </c>
      <c r="B762" s="20">
        <v>45729</v>
      </c>
      <c r="C762" t="s">
        <v>342</v>
      </c>
      <c r="D762" t="s">
        <v>48</v>
      </c>
      <c r="E762" s="37">
        <v>36</v>
      </c>
      <c r="F762" t="s">
        <v>91</v>
      </c>
      <c r="G762" t="s">
        <v>92</v>
      </c>
      <c r="H762" t="s">
        <v>38</v>
      </c>
      <c r="I762" t="s">
        <v>82</v>
      </c>
      <c r="J762" t="s">
        <v>190</v>
      </c>
      <c r="K762" s="37">
        <v>15</v>
      </c>
      <c r="L762" t="s">
        <v>52</v>
      </c>
      <c r="M762" s="21">
        <v>49400</v>
      </c>
      <c r="N762" s="21">
        <v>693576</v>
      </c>
      <c r="O762" s="21">
        <v>100776</v>
      </c>
      <c r="P762">
        <v>1</v>
      </c>
      <c r="Q762" t="s">
        <v>42</v>
      </c>
      <c r="R762" s="37">
        <v>8</v>
      </c>
      <c r="S762" s="37">
        <v>15</v>
      </c>
      <c r="T762" t="s">
        <v>43</v>
      </c>
      <c r="U762" t="s">
        <v>138</v>
      </c>
      <c r="V762" t="s">
        <v>69</v>
      </c>
    </row>
    <row r="763" spans="1:22" ht="15" customHeight="1" x14ac:dyDescent="0.3">
      <c r="A763" t="s">
        <v>1343</v>
      </c>
      <c r="B763" s="20">
        <v>45986</v>
      </c>
      <c r="C763" t="s">
        <v>1344</v>
      </c>
      <c r="D763" t="s">
        <v>48</v>
      </c>
      <c r="E763" s="37">
        <v>57</v>
      </c>
      <c r="F763" t="s">
        <v>36</v>
      </c>
      <c r="G763" t="s">
        <v>37</v>
      </c>
      <c r="H763" t="s">
        <v>59</v>
      </c>
      <c r="I763" t="s">
        <v>39</v>
      </c>
      <c r="J763" t="s">
        <v>125</v>
      </c>
      <c r="K763" s="37">
        <v>26</v>
      </c>
      <c r="L763" t="s">
        <v>52</v>
      </c>
      <c r="M763" s="21">
        <v>27800</v>
      </c>
      <c r="N763" s="21">
        <v>373632</v>
      </c>
      <c r="O763" s="21">
        <v>40032</v>
      </c>
      <c r="P763">
        <v>3</v>
      </c>
      <c r="Q763" t="s">
        <v>126</v>
      </c>
      <c r="R763" s="37">
        <v>8</v>
      </c>
      <c r="S763" s="37">
        <v>16</v>
      </c>
      <c r="T763" t="s">
        <v>68</v>
      </c>
      <c r="U763" t="s">
        <v>44</v>
      </c>
      <c r="V763" t="s">
        <v>69</v>
      </c>
    </row>
    <row r="764" spans="1:22" ht="15" customHeight="1" x14ac:dyDescent="0.3">
      <c r="A764" t="s">
        <v>1345</v>
      </c>
      <c r="B764" s="20">
        <v>45677</v>
      </c>
      <c r="C764" t="s">
        <v>1060</v>
      </c>
      <c r="D764" t="s">
        <v>48</v>
      </c>
      <c r="E764" s="37">
        <v>56</v>
      </c>
      <c r="F764" t="s">
        <v>108</v>
      </c>
      <c r="G764" t="s">
        <v>109</v>
      </c>
      <c r="H764" t="s">
        <v>66</v>
      </c>
      <c r="I764" t="s">
        <v>39</v>
      </c>
      <c r="J764" t="s">
        <v>67</v>
      </c>
      <c r="K764" s="37">
        <v>25</v>
      </c>
      <c r="L764" t="s">
        <v>52</v>
      </c>
      <c r="M764" s="21">
        <v>36300</v>
      </c>
      <c r="N764" s="21">
        <v>509651</v>
      </c>
      <c r="O764" s="21">
        <v>74052</v>
      </c>
      <c r="P764">
        <v>5</v>
      </c>
      <c r="Q764" t="s">
        <v>42</v>
      </c>
      <c r="R764" s="37">
        <v>10</v>
      </c>
      <c r="S764" s="37">
        <v>9</v>
      </c>
      <c r="T764" t="s">
        <v>175</v>
      </c>
      <c r="U764" t="s">
        <v>44</v>
      </c>
      <c r="V764" t="s">
        <v>69</v>
      </c>
    </row>
    <row r="765" spans="1:22" ht="15" customHeight="1" x14ac:dyDescent="0.3">
      <c r="A765" t="s">
        <v>1346</v>
      </c>
      <c r="B765" s="20">
        <v>45819</v>
      </c>
      <c r="C765" t="s">
        <v>1010</v>
      </c>
      <c r="D765" t="s">
        <v>35</v>
      </c>
      <c r="E765" s="37">
        <v>57</v>
      </c>
      <c r="F765" t="s">
        <v>80</v>
      </c>
      <c r="G765" t="s">
        <v>81</v>
      </c>
      <c r="H765" t="s">
        <v>66</v>
      </c>
      <c r="I765" t="s">
        <v>39</v>
      </c>
      <c r="J765" t="s">
        <v>93</v>
      </c>
      <c r="K765" s="37">
        <v>23</v>
      </c>
      <c r="L765" t="s">
        <v>52</v>
      </c>
      <c r="M765" s="21">
        <v>39500</v>
      </c>
      <c r="N765" s="21">
        <v>535620</v>
      </c>
      <c r="O765" s="21">
        <v>61620</v>
      </c>
      <c r="P765">
        <v>1</v>
      </c>
      <c r="Q765" t="s">
        <v>42</v>
      </c>
      <c r="R765" s="37">
        <v>12</v>
      </c>
      <c r="S765" s="37">
        <v>21</v>
      </c>
      <c r="T765" t="s">
        <v>77</v>
      </c>
      <c r="U765" t="s">
        <v>44</v>
      </c>
      <c r="V765" t="s">
        <v>45</v>
      </c>
    </row>
    <row r="766" spans="1:22" ht="15" customHeight="1" x14ac:dyDescent="0.3">
      <c r="A766" t="s">
        <v>1347</v>
      </c>
      <c r="B766" s="20">
        <v>45947</v>
      </c>
      <c r="C766" t="s">
        <v>485</v>
      </c>
      <c r="D766" t="s">
        <v>35</v>
      </c>
      <c r="E766" s="37">
        <v>32</v>
      </c>
      <c r="F766" t="s">
        <v>49</v>
      </c>
      <c r="G766" t="s">
        <v>50</v>
      </c>
      <c r="H766" t="s">
        <v>38</v>
      </c>
      <c r="I766" t="s">
        <v>39</v>
      </c>
      <c r="J766" t="s">
        <v>40</v>
      </c>
      <c r="K766" s="37">
        <v>27</v>
      </c>
      <c r="L766" t="s">
        <v>52</v>
      </c>
      <c r="M766" s="21">
        <v>36800</v>
      </c>
      <c r="N766" s="21">
        <v>507839</v>
      </c>
      <c r="O766" s="21">
        <v>66240</v>
      </c>
      <c r="P766">
        <v>4</v>
      </c>
      <c r="Q766" t="s">
        <v>42</v>
      </c>
      <c r="R766" s="37">
        <v>15</v>
      </c>
      <c r="S766" s="37">
        <v>16</v>
      </c>
      <c r="T766" t="s">
        <v>43</v>
      </c>
      <c r="U766" t="s">
        <v>44</v>
      </c>
      <c r="V766" t="s">
        <v>69</v>
      </c>
    </row>
    <row r="767" spans="1:22" ht="15" customHeight="1" x14ac:dyDescent="0.3">
      <c r="A767" t="s">
        <v>1348</v>
      </c>
      <c r="B767" s="20">
        <v>45707</v>
      </c>
      <c r="C767" t="s">
        <v>1349</v>
      </c>
      <c r="D767" t="s">
        <v>48</v>
      </c>
      <c r="E767" s="37">
        <v>55</v>
      </c>
      <c r="F767" t="s">
        <v>108</v>
      </c>
      <c r="G767" t="s">
        <v>109</v>
      </c>
      <c r="H767" t="s">
        <v>38</v>
      </c>
      <c r="I767" t="s">
        <v>82</v>
      </c>
      <c r="J767" t="s">
        <v>134</v>
      </c>
      <c r="K767" s="37">
        <v>17</v>
      </c>
      <c r="L767" t="s">
        <v>52</v>
      </c>
      <c r="M767" s="21">
        <v>52300</v>
      </c>
      <c r="N767" s="21">
        <v>734292</v>
      </c>
      <c r="O767" s="21">
        <v>106692</v>
      </c>
      <c r="P767">
        <v>4</v>
      </c>
      <c r="Q767" t="s">
        <v>42</v>
      </c>
      <c r="R767" s="37">
        <v>7</v>
      </c>
      <c r="S767" s="37">
        <v>2</v>
      </c>
      <c r="T767" t="s">
        <v>62</v>
      </c>
      <c r="U767" t="s">
        <v>63</v>
      </c>
      <c r="V767" t="s">
        <v>45</v>
      </c>
    </row>
    <row r="768" spans="1:22" ht="15" customHeight="1" x14ac:dyDescent="0.3">
      <c r="A768" t="s">
        <v>1350</v>
      </c>
      <c r="B768" s="20">
        <v>45997</v>
      </c>
      <c r="C768" t="s">
        <v>409</v>
      </c>
      <c r="D768" t="s">
        <v>48</v>
      </c>
      <c r="E768" s="37">
        <v>56</v>
      </c>
      <c r="F768" t="s">
        <v>91</v>
      </c>
      <c r="G768" t="s">
        <v>92</v>
      </c>
      <c r="H768" t="s">
        <v>74</v>
      </c>
      <c r="I768" t="s">
        <v>75</v>
      </c>
      <c r="J768" t="s">
        <v>76</v>
      </c>
      <c r="K768" s="37">
        <v>20</v>
      </c>
      <c r="L768" t="s">
        <v>120</v>
      </c>
      <c r="M768" s="21">
        <v>85800</v>
      </c>
      <c r="N768" s="21">
        <v>1101672</v>
      </c>
      <c r="O768" s="21">
        <v>72072</v>
      </c>
      <c r="P768">
        <v>3</v>
      </c>
      <c r="Q768" t="s">
        <v>42</v>
      </c>
      <c r="R768" s="37">
        <v>9</v>
      </c>
      <c r="S768" s="37">
        <v>37</v>
      </c>
      <c r="T768" t="s">
        <v>146</v>
      </c>
      <c r="U768" t="s">
        <v>44</v>
      </c>
      <c r="V768" t="s">
        <v>69</v>
      </c>
    </row>
    <row r="769" spans="1:22" ht="15" customHeight="1" x14ac:dyDescent="0.3">
      <c r="A769" t="s">
        <v>1351</v>
      </c>
      <c r="B769" s="20">
        <v>45846</v>
      </c>
      <c r="C769" t="s">
        <v>1352</v>
      </c>
      <c r="D769" t="s">
        <v>35</v>
      </c>
      <c r="E769" s="37">
        <v>23</v>
      </c>
      <c r="F769" t="s">
        <v>97</v>
      </c>
      <c r="G769" t="s">
        <v>98</v>
      </c>
      <c r="H769" t="s">
        <v>66</v>
      </c>
      <c r="I769" t="s">
        <v>60</v>
      </c>
      <c r="J769" t="s">
        <v>170</v>
      </c>
      <c r="K769" s="37">
        <v>24</v>
      </c>
      <c r="L769" t="s">
        <v>52</v>
      </c>
      <c r="M769" s="21">
        <v>181900</v>
      </c>
      <c r="N769" s="21">
        <v>2553876</v>
      </c>
      <c r="O769" s="21">
        <v>371076</v>
      </c>
      <c r="P769">
        <v>3</v>
      </c>
      <c r="Q769" t="s">
        <v>42</v>
      </c>
      <c r="R769" s="37">
        <v>0</v>
      </c>
      <c r="S769" s="37">
        <v>12</v>
      </c>
      <c r="T769" t="s">
        <v>146</v>
      </c>
      <c r="U769" t="s">
        <v>63</v>
      </c>
      <c r="V769" t="s">
        <v>69</v>
      </c>
    </row>
    <row r="770" spans="1:22" ht="15" customHeight="1" x14ac:dyDescent="0.3">
      <c r="A770" t="s">
        <v>1353</v>
      </c>
      <c r="B770" s="20">
        <v>45992</v>
      </c>
      <c r="C770" t="s">
        <v>1354</v>
      </c>
      <c r="D770" t="s">
        <v>35</v>
      </c>
      <c r="E770" s="37">
        <v>37</v>
      </c>
      <c r="F770" t="s">
        <v>80</v>
      </c>
      <c r="G770" t="s">
        <v>81</v>
      </c>
      <c r="H770" t="s">
        <v>38</v>
      </c>
      <c r="I770" t="s">
        <v>39</v>
      </c>
      <c r="J770" t="s">
        <v>190</v>
      </c>
      <c r="K770" s="37">
        <v>7</v>
      </c>
      <c r="L770" t="s">
        <v>52</v>
      </c>
      <c r="M770" s="21">
        <v>30800</v>
      </c>
      <c r="N770" s="21">
        <v>410256</v>
      </c>
      <c r="O770" s="21">
        <v>40656</v>
      </c>
      <c r="P770">
        <v>4</v>
      </c>
      <c r="Q770" t="s">
        <v>42</v>
      </c>
      <c r="R770" s="37">
        <v>10</v>
      </c>
      <c r="S770" s="37">
        <v>32</v>
      </c>
      <c r="T770" t="s">
        <v>53</v>
      </c>
      <c r="U770" t="s">
        <v>54</v>
      </c>
      <c r="V770" t="s">
        <v>69</v>
      </c>
    </row>
    <row r="771" spans="1:22" ht="15" customHeight="1" x14ac:dyDescent="0.3">
      <c r="A771" t="s">
        <v>1355</v>
      </c>
      <c r="B771" s="20">
        <v>45871</v>
      </c>
      <c r="C771" t="s">
        <v>1356</v>
      </c>
      <c r="D771" t="s">
        <v>35</v>
      </c>
      <c r="E771" s="37">
        <v>27</v>
      </c>
      <c r="F771" t="s">
        <v>36</v>
      </c>
      <c r="G771" t="s">
        <v>37</v>
      </c>
      <c r="H771" t="s">
        <v>66</v>
      </c>
      <c r="I771" t="s">
        <v>39</v>
      </c>
      <c r="J771" t="s">
        <v>170</v>
      </c>
      <c r="K771" s="37">
        <v>21</v>
      </c>
      <c r="L771" t="s">
        <v>52</v>
      </c>
      <c r="M771" s="21">
        <v>48600</v>
      </c>
      <c r="N771" s="21">
        <v>682344</v>
      </c>
      <c r="O771" s="21">
        <v>99144</v>
      </c>
      <c r="P771">
        <v>3</v>
      </c>
      <c r="Q771" t="s">
        <v>42</v>
      </c>
      <c r="R771" s="37">
        <v>0</v>
      </c>
      <c r="S771" s="37">
        <v>13</v>
      </c>
      <c r="T771" t="s">
        <v>129</v>
      </c>
      <c r="U771" t="s">
        <v>44</v>
      </c>
      <c r="V771" t="s">
        <v>69</v>
      </c>
    </row>
    <row r="772" spans="1:22" ht="15" customHeight="1" x14ac:dyDescent="0.3">
      <c r="A772" t="s">
        <v>1357</v>
      </c>
      <c r="B772" s="20">
        <v>45834</v>
      </c>
      <c r="C772" t="s">
        <v>85</v>
      </c>
      <c r="D772" t="s">
        <v>48</v>
      </c>
      <c r="E772" s="37">
        <v>28</v>
      </c>
      <c r="F772" t="s">
        <v>72</v>
      </c>
      <c r="G772" t="s">
        <v>73</v>
      </c>
      <c r="H772" t="s">
        <v>38</v>
      </c>
      <c r="I772" t="s">
        <v>39</v>
      </c>
      <c r="J772" t="s">
        <v>40</v>
      </c>
      <c r="K772" s="37">
        <v>20</v>
      </c>
      <c r="L772" t="s">
        <v>52</v>
      </c>
      <c r="M772" s="21">
        <v>32400</v>
      </c>
      <c r="N772" s="21">
        <v>427680</v>
      </c>
      <c r="O772" s="21">
        <v>38880</v>
      </c>
      <c r="P772">
        <v>5</v>
      </c>
      <c r="Q772" t="s">
        <v>42</v>
      </c>
      <c r="R772" s="37">
        <v>4</v>
      </c>
      <c r="S772" s="37">
        <v>25</v>
      </c>
      <c r="T772" t="s">
        <v>175</v>
      </c>
      <c r="U772" t="s">
        <v>44</v>
      </c>
      <c r="V772" t="s">
        <v>45</v>
      </c>
    </row>
    <row r="773" spans="1:22" ht="15" customHeight="1" x14ac:dyDescent="0.3">
      <c r="A773" t="s">
        <v>1358</v>
      </c>
      <c r="B773" s="20">
        <v>45895</v>
      </c>
      <c r="C773" t="s">
        <v>1072</v>
      </c>
      <c r="D773" t="s">
        <v>35</v>
      </c>
      <c r="E773" s="37">
        <v>54</v>
      </c>
      <c r="F773" t="s">
        <v>97</v>
      </c>
      <c r="G773" t="s">
        <v>98</v>
      </c>
      <c r="H773" t="s">
        <v>118</v>
      </c>
      <c r="I773" t="s">
        <v>75</v>
      </c>
      <c r="J773" t="s">
        <v>137</v>
      </c>
      <c r="K773" s="37">
        <v>2</v>
      </c>
      <c r="L773" t="s">
        <v>120</v>
      </c>
      <c r="M773" s="21">
        <v>98700</v>
      </c>
      <c r="N773" s="21">
        <v>1373904</v>
      </c>
      <c r="O773" s="21">
        <v>189504</v>
      </c>
      <c r="P773">
        <v>4</v>
      </c>
      <c r="Q773" t="s">
        <v>42</v>
      </c>
      <c r="R773" s="37">
        <v>14</v>
      </c>
      <c r="S773" s="37">
        <v>8</v>
      </c>
      <c r="T773" t="s">
        <v>94</v>
      </c>
      <c r="U773" t="s">
        <v>54</v>
      </c>
      <c r="V773" t="s">
        <v>69</v>
      </c>
    </row>
    <row r="774" spans="1:22" ht="15" customHeight="1" x14ac:dyDescent="0.3">
      <c r="A774" t="s">
        <v>1359</v>
      </c>
      <c r="B774" s="20">
        <v>45916</v>
      </c>
      <c r="C774" t="s">
        <v>1360</v>
      </c>
      <c r="D774" t="s">
        <v>35</v>
      </c>
      <c r="E774" s="37">
        <v>26</v>
      </c>
      <c r="F774" t="s">
        <v>36</v>
      </c>
      <c r="G774" t="s">
        <v>37</v>
      </c>
      <c r="H774" t="s">
        <v>66</v>
      </c>
      <c r="I774" t="s">
        <v>39</v>
      </c>
      <c r="J774" t="s">
        <v>149</v>
      </c>
      <c r="K774" s="37">
        <v>25</v>
      </c>
      <c r="L774" t="s">
        <v>52</v>
      </c>
      <c r="M774" s="21">
        <v>44700</v>
      </c>
      <c r="N774" s="21">
        <v>563220</v>
      </c>
      <c r="O774" s="21">
        <v>26820</v>
      </c>
      <c r="P774">
        <v>2</v>
      </c>
      <c r="Q774" t="s">
        <v>126</v>
      </c>
      <c r="R774" s="37">
        <v>2</v>
      </c>
      <c r="S774" s="37">
        <v>4</v>
      </c>
      <c r="T774" t="s">
        <v>175</v>
      </c>
      <c r="U774" t="s">
        <v>44</v>
      </c>
      <c r="V774" t="s">
        <v>69</v>
      </c>
    </row>
    <row r="775" spans="1:22" ht="15" customHeight="1" x14ac:dyDescent="0.3">
      <c r="A775" t="s">
        <v>1361</v>
      </c>
      <c r="B775" s="20">
        <v>45801</v>
      </c>
      <c r="C775" t="s">
        <v>1362</v>
      </c>
      <c r="D775" t="s">
        <v>35</v>
      </c>
      <c r="E775" s="37">
        <v>55</v>
      </c>
      <c r="F775" t="s">
        <v>36</v>
      </c>
      <c r="G775" t="s">
        <v>37</v>
      </c>
      <c r="H775" t="s">
        <v>66</v>
      </c>
      <c r="I775" t="s">
        <v>82</v>
      </c>
      <c r="J775" t="s">
        <v>93</v>
      </c>
      <c r="K775" s="37">
        <v>24</v>
      </c>
      <c r="L775" t="s">
        <v>41</v>
      </c>
      <c r="M775" s="21">
        <v>74000</v>
      </c>
      <c r="N775" s="21">
        <v>950160</v>
      </c>
      <c r="O775" s="21">
        <v>62160</v>
      </c>
      <c r="P775">
        <v>5</v>
      </c>
      <c r="Q775" t="s">
        <v>126</v>
      </c>
      <c r="R775" s="37">
        <v>16</v>
      </c>
      <c r="S775" s="37">
        <v>22</v>
      </c>
      <c r="T775" t="s">
        <v>146</v>
      </c>
      <c r="U775" t="s">
        <v>44</v>
      </c>
      <c r="V775" t="s">
        <v>45</v>
      </c>
    </row>
    <row r="776" spans="1:22" ht="15" customHeight="1" x14ac:dyDescent="0.3">
      <c r="A776" t="s">
        <v>1363</v>
      </c>
      <c r="B776" s="20">
        <v>45679</v>
      </c>
      <c r="C776" t="s">
        <v>348</v>
      </c>
      <c r="D776" t="s">
        <v>48</v>
      </c>
      <c r="E776" s="37">
        <v>43</v>
      </c>
      <c r="F776" t="s">
        <v>36</v>
      </c>
      <c r="G776" t="s">
        <v>37</v>
      </c>
      <c r="H776" t="s">
        <v>66</v>
      </c>
      <c r="I776" t="s">
        <v>82</v>
      </c>
      <c r="J776" t="s">
        <v>161</v>
      </c>
      <c r="K776" s="37">
        <v>16</v>
      </c>
      <c r="L776" t="s">
        <v>52</v>
      </c>
      <c r="M776" s="21">
        <v>75000</v>
      </c>
      <c r="N776" s="21">
        <v>963000</v>
      </c>
      <c r="O776" s="21">
        <v>63000</v>
      </c>
      <c r="P776">
        <v>5</v>
      </c>
      <c r="Q776" t="s">
        <v>42</v>
      </c>
      <c r="R776" s="37">
        <v>6</v>
      </c>
      <c r="S776" s="37">
        <v>39</v>
      </c>
      <c r="T776" t="s">
        <v>62</v>
      </c>
      <c r="U776" t="s">
        <v>54</v>
      </c>
      <c r="V776" t="s">
        <v>69</v>
      </c>
    </row>
    <row r="777" spans="1:22" ht="15" customHeight="1" x14ac:dyDescent="0.3">
      <c r="A777" t="s">
        <v>1364</v>
      </c>
      <c r="B777" s="20">
        <v>45760</v>
      </c>
      <c r="C777" t="s">
        <v>276</v>
      </c>
      <c r="D777" t="s">
        <v>35</v>
      </c>
      <c r="E777" s="37">
        <v>36</v>
      </c>
      <c r="F777" t="s">
        <v>36</v>
      </c>
      <c r="G777" t="s">
        <v>37</v>
      </c>
      <c r="H777" t="s">
        <v>38</v>
      </c>
      <c r="I777" t="s">
        <v>75</v>
      </c>
      <c r="J777" t="s">
        <v>110</v>
      </c>
      <c r="K777" s="37">
        <v>19</v>
      </c>
      <c r="L777" t="s">
        <v>52</v>
      </c>
      <c r="M777" s="21">
        <v>85200</v>
      </c>
      <c r="N777" s="21">
        <v>1165536</v>
      </c>
      <c r="O777" s="21">
        <v>143136</v>
      </c>
      <c r="P777">
        <v>3</v>
      </c>
      <c r="Q777" t="s">
        <v>42</v>
      </c>
      <c r="R777" s="37">
        <v>14</v>
      </c>
      <c r="S777" s="37">
        <v>18</v>
      </c>
      <c r="T777" t="s">
        <v>129</v>
      </c>
      <c r="U777" t="s">
        <v>44</v>
      </c>
      <c r="V777" t="s">
        <v>69</v>
      </c>
    </row>
    <row r="778" spans="1:22" ht="15" customHeight="1" x14ac:dyDescent="0.3">
      <c r="A778" t="s">
        <v>1365</v>
      </c>
      <c r="B778" s="20">
        <v>45720</v>
      </c>
      <c r="C778" t="s">
        <v>1366</v>
      </c>
      <c r="D778" t="s">
        <v>35</v>
      </c>
      <c r="E778" s="37">
        <v>49</v>
      </c>
      <c r="F778" t="s">
        <v>72</v>
      </c>
      <c r="G778" t="s">
        <v>73</v>
      </c>
      <c r="H778" t="s">
        <v>66</v>
      </c>
      <c r="I778" t="s">
        <v>39</v>
      </c>
      <c r="J778" t="s">
        <v>149</v>
      </c>
      <c r="K778" s="37">
        <v>13</v>
      </c>
      <c r="L778" t="s">
        <v>52</v>
      </c>
      <c r="M778" s="21">
        <v>43200</v>
      </c>
      <c r="N778" s="21">
        <v>622080</v>
      </c>
      <c r="O778" s="21">
        <v>103680</v>
      </c>
      <c r="P778">
        <v>4</v>
      </c>
      <c r="Q778" t="s">
        <v>42</v>
      </c>
      <c r="R778" s="37">
        <v>13</v>
      </c>
      <c r="S778" s="37">
        <v>12</v>
      </c>
      <c r="T778" t="s">
        <v>62</v>
      </c>
      <c r="U778" t="s">
        <v>44</v>
      </c>
      <c r="V778" t="s">
        <v>69</v>
      </c>
    </row>
    <row r="779" spans="1:22" ht="15" customHeight="1" x14ac:dyDescent="0.3">
      <c r="A779" t="s">
        <v>1367</v>
      </c>
      <c r="B779" s="20">
        <v>45721</v>
      </c>
      <c r="C779" t="s">
        <v>1368</v>
      </c>
      <c r="D779" t="s">
        <v>35</v>
      </c>
      <c r="E779" s="37">
        <v>24</v>
      </c>
      <c r="F779" t="s">
        <v>49</v>
      </c>
      <c r="G779" t="s">
        <v>50</v>
      </c>
      <c r="H779" t="s">
        <v>74</v>
      </c>
      <c r="I779" t="s">
        <v>39</v>
      </c>
      <c r="J779" t="s">
        <v>115</v>
      </c>
      <c r="K779" s="37">
        <v>10</v>
      </c>
      <c r="L779" t="s">
        <v>52</v>
      </c>
      <c r="M779" s="21">
        <v>34900</v>
      </c>
      <c r="N779" s="21">
        <v>473243</v>
      </c>
      <c r="O779" s="21">
        <v>54444</v>
      </c>
      <c r="P779">
        <v>3</v>
      </c>
      <c r="Q779" t="s">
        <v>42</v>
      </c>
      <c r="R779" s="37">
        <v>9</v>
      </c>
      <c r="S779" s="37">
        <v>10</v>
      </c>
      <c r="T779" t="s">
        <v>43</v>
      </c>
      <c r="U779" t="s">
        <v>44</v>
      </c>
      <c r="V779" t="s">
        <v>45</v>
      </c>
    </row>
    <row r="780" spans="1:22" ht="15" customHeight="1" x14ac:dyDescent="0.3">
      <c r="A780" t="s">
        <v>1369</v>
      </c>
      <c r="B780" s="20">
        <v>45812</v>
      </c>
      <c r="C780" t="s">
        <v>1075</v>
      </c>
      <c r="D780" t="s">
        <v>35</v>
      </c>
      <c r="E780" s="37">
        <v>47</v>
      </c>
      <c r="F780" t="s">
        <v>91</v>
      </c>
      <c r="G780" t="s">
        <v>92</v>
      </c>
      <c r="H780" t="s">
        <v>38</v>
      </c>
      <c r="I780" t="s">
        <v>75</v>
      </c>
      <c r="J780" t="s">
        <v>110</v>
      </c>
      <c r="K780" s="37">
        <v>21</v>
      </c>
      <c r="L780" t="s">
        <v>52</v>
      </c>
      <c r="M780" s="21">
        <v>86300</v>
      </c>
      <c r="N780" s="21">
        <v>1159872</v>
      </c>
      <c r="O780" s="21">
        <v>124272</v>
      </c>
      <c r="P780">
        <v>4</v>
      </c>
      <c r="Q780" t="s">
        <v>42</v>
      </c>
      <c r="R780" s="37">
        <v>15</v>
      </c>
      <c r="S780" s="37">
        <v>29</v>
      </c>
      <c r="T780" t="s">
        <v>43</v>
      </c>
      <c r="U780" t="s">
        <v>63</v>
      </c>
      <c r="V780" t="s">
        <v>45</v>
      </c>
    </row>
    <row r="781" spans="1:22" ht="15" customHeight="1" x14ac:dyDescent="0.3">
      <c r="A781" t="s">
        <v>1370</v>
      </c>
      <c r="B781" s="20">
        <v>45718</v>
      </c>
      <c r="C781" t="s">
        <v>1228</v>
      </c>
      <c r="D781" t="s">
        <v>48</v>
      </c>
      <c r="E781" s="37">
        <v>32</v>
      </c>
      <c r="F781" t="s">
        <v>97</v>
      </c>
      <c r="G781" t="s">
        <v>98</v>
      </c>
      <c r="H781" t="s">
        <v>59</v>
      </c>
      <c r="I781" t="s">
        <v>75</v>
      </c>
      <c r="J781" t="s">
        <v>88</v>
      </c>
      <c r="K781" s="37">
        <v>14</v>
      </c>
      <c r="L781" t="s">
        <v>52</v>
      </c>
      <c r="M781" s="21">
        <v>71300</v>
      </c>
      <c r="N781" s="21">
        <v>983939</v>
      </c>
      <c r="O781" s="21">
        <v>128340</v>
      </c>
      <c r="P781">
        <v>5</v>
      </c>
      <c r="Q781" t="s">
        <v>42</v>
      </c>
      <c r="R781" s="37">
        <v>8</v>
      </c>
      <c r="S781" s="37">
        <v>22</v>
      </c>
      <c r="T781" t="s">
        <v>53</v>
      </c>
      <c r="U781" t="s">
        <v>44</v>
      </c>
      <c r="V781" t="s">
        <v>45</v>
      </c>
    </row>
    <row r="782" spans="1:22" ht="15" customHeight="1" x14ac:dyDescent="0.3">
      <c r="A782" t="s">
        <v>1371</v>
      </c>
      <c r="B782" s="20">
        <v>45945</v>
      </c>
      <c r="C782" t="s">
        <v>1372</v>
      </c>
      <c r="D782" t="s">
        <v>48</v>
      </c>
      <c r="E782" s="37">
        <v>42</v>
      </c>
      <c r="F782" t="s">
        <v>86</v>
      </c>
      <c r="G782" t="s">
        <v>87</v>
      </c>
      <c r="H782" t="s">
        <v>59</v>
      </c>
      <c r="I782" t="s">
        <v>60</v>
      </c>
      <c r="J782" t="s">
        <v>141</v>
      </c>
      <c r="K782" s="37">
        <v>18</v>
      </c>
      <c r="L782" t="s">
        <v>120</v>
      </c>
      <c r="M782" s="21">
        <v>102300</v>
      </c>
      <c r="N782" s="21">
        <v>1350360</v>
      </c>
      <c r="O782" s="21">
        <v>122760</v>
      </c>
      <c r="P782">
        <v>3</v>
      </c>
      <c r="Q782" t="s">
        <v>126</v>
      </c>
      <c r="R782" s="37">
        <v>11</v>
      </c>
      <c r="S782" s="37">
        <v>35</v>
      </c>
      <c r="T782" t="s">
        <v>94</v>
      </c>
      <c r="U782" t="s">
        <v>63</v>
      </c>
      <c r="V782" t="s">
        <v>45</v>
      </c>
    </row>
    <row r="783" spans="1:22" ht="15" customHeight="1" x14ac:dyDescent="0.3">
      <c r="A783" t="s">
        <v>1373</v>
      </c>
      <c r="B783" s="20">
        <v>45671</v>
      </c>
      <c r="C783" t="s">
        <v>1374</v>
      </c>
      <c r="D783" t="s">
        <v>35</v>
      </c>
      <c r="E783" s="37">
        <v>25</v>
      </c>
      <c r="F783" t="s">
        <v>72</v>
      </c>
      <c r="G783" t="s">
        <v>73</v>
      </c>
      <c r="H783" t="s">
        <v>118</v>
      </c>
      <c r="I783" t="s">
        <v>82</v>
      </c>
      <c r="J783" t="s">
        <v>137</v>
      </c>
      <c r="K783" s="37">
        <v>2</v>
      </c>
      <c r="L783" t="s">
        <v>52</v>
      </c>
      <c r="M783" s="21">
        <v>63800</v>
      </c>
      <c r="N783" s="21">
        <v>903408</v>
      </c>
      <c r="O783" s="21">
        <v>137808</v>
      </c>
      <c r="P783">
        <v>1</v>
      </c>
      <c r="Q783" t="s">
        <v>126</v>
      </c>
      <c r="R783" s="37">
        <v>3</v>
      </c>
      <c r="S783" s="37">
        <v>34</v>
      </c>
      <c r="T783" t="s">
        <v>105</v>
      </c>
      <c r="U783" t="s">
        <v>63</v>
      </c>
      <c r="V783" t="s">
        <v>45</v>
      </c>
    </row>
    <row r="784" spans="1:22" ht="15" customHeight="1" x14ac:dyDescent="0.3">
      <c r="A784" t="s">
        <v>1375</v>
      </c>
      <c r="B784" s="20">
        <v>45967</v>
      </c>
      <c r="C784" t="s">
        <v>133</v>
      </c>
      <c r="D784" t="s">
        <v>35</v>
      </c>
      <c r="E784" s="37">
        <v>33</v>
      </c>
      <c r="F784" t="s">
        <v>97</v>
      </c>
      <c r="G784" t="s">
        <v>98</v>
      </c>
      <c r="H784" t="s">
        <v>74</v>
      </c>
      <c r="I784" t="s">
        <v>75</v>
      </c>
      <c r="J784" t="s">
        <v>115</v>
      </c>
      <c r="K784" s="37">
        <v>17</v>
      </c>
      <c r="L784" t="s">
        <v>52</v>
      </c>
      <c r="M784" s="21">
        <v>109700</v>
      </c>
      <c r="N784" s="21">
        <v>1566516</v>
      </c>
      <c r="O784" s="21">
        <v>250116</v>
      </c>
      <c r="P784">
        <v>1</v>
      </c>
      <c r="Q784" t="s">
        <v>126</v>
      </c>
      <c r="R784" s="37">
        <v>10</v>
      </c>
      <c r="S784" s="37">
        <v>27</v>
      </c>
      <c r="T784" t="s">
        <v>43</v>
      </c>
      <c r="U784" t="s">
        <v>54</v>
      </c>
      <c r="V784" t="s">
        <v>45</v>
      </c>
    </row>
    <row r="785" spans="1:22" ht="15" customHeight="1" x14ac:dyDescent="0.3">
      <c r="A785" t="s">
        <v>1376</v>
      </c>
      <c r="B785" s="20">
        <v>45966</v>
      </c>
      <c r="C785" t="s">
        <v>1275</v>
      </c>
      <c r="D785" t="s">
        <v>35</v>
      </c>
      <c r="E785" s="37">
        <v>46</v>
      </c>
      <c r="F785" t="s">
        <v>72</v>
      </c>
      <c r="G785" t="s">
        <v>73</v>
      </c>
      <c r="H785" t="s">
        <v>74</v>
      </c>
      <c r="I785" t="s">
        <v>51</v>
      </c>
      <c r="J785" t="s">
        <v>152</v>
      </c>
      <c r="K785" s="37">
        <v>22</v>
      </c>
      <c r="L785" t="s">
        <v>52</v>
      </c>
      <c r="M785" s="21">
        <v>240100</v>
      </c>
      <c r="N785" s="21">
        <v>3255755</v>
      </c>
      <c r="O785" s="21">
        <v>374556</v>
      </c>
      <c r="P785">
        <v>4</v>
      </c>
      <c r="Q785" t="s">
        <v>126</v>
      </c>
      <c r="R785" s="37">
        <v>8</v>
      </c>
      <c r="S785" s="37">
        <v>21</v>
      </c>
      <c r="T785" t="s">
        <v>43</v>
      </c>
      <c r="U785" t="s">
        <v>44</v>
      </c>
      <c r="V785" t="s">
        <v>45</v>
      </c>
    </row>
    <row r="786" spans="1:22" ht="15" customHeight="1" x14ac:dyDescent="0.3">
      <c r="A786" t="s">
        <v>1377</v>
      </c>
      <c r="B786" s="20">
        <v>45955</v>
      </c>
      <c r="C786" t="s">
        <v>358</v>
      </c>
      <c r="D786" t="s">
        <v>48</v>
      </c>
      <c r="E786" s="37">
        <v>40</v>
      </c>
      <c r="F786" t="s">
        <v>49</v>
      </c>
      <c r="G786" t="s">
        <v>50</v>
      </c>
      <c r="H786" t="s">
        <v>118</v>
      </c>
      <c r="I786" t="s">
        <v>39</v>
      </c>
      <c r="J786" t="s">
        <v>219</v>
      </c>
      <c r="K786" s="37">
        <v>6</v>
      </c>
      <c r="L786" t="s">
        <v>52</v>
      </c>
      <c r="M786" s="21">
        <v>40000</v>
      </c>
      <c r="N786" s="21">
        <v>566400</v>
      </c>
      <c r="O786" s="21">
        <v>86400</v>
      </c>
      <c r="P786">
        <v>3</v>
      </c>
      <c r="Q786" t="s">
        <v>42</v>
      </c>
      <c r="R786" s="37">
        <v>6</v>
      </c>
      <c r="S786" s="37">
        <v>3</v>
      </c>
      <c r="T786" t="s">
        <v>129</v>
      </c>
      <c r="U786" t="s">
        <v>63</v>
      </c>
      <c r="V786" t="s">
        <v>69</v>
      </c>
    </row>
    <row r="787" spans="1:22" ht="15" customHeight="1" x14ac:dyDescent="0.3">
      <c r="A787" t="s">
        <v>1378</v>
      </c>
      <c r="B787" s="20">
        <v>46013</v>
      </c>
      <c r="C787" t="s">
        <v>1379</v>
      </c>
      <c r="D787" t="s">
        <v>35</v>
      </c>
      <c r="E787" s="37">
        <v>33</v>
      </c>
      <c r="F787" t="s">
        <v>123</v>
      </c>
      <c r="G787" t="s">
        <v>124</v>
      </c>
      <c r="H787" t="s">
        <v>74</v>
      </c>
      <c r="I787" t="s">
        <v>39</v>
      </c>
      <c r="J787" t="s">
        <v>76</v>
      </c>
      <c r="K787" s="37">
        <v>24</v>
      </c>
      <c r="L787" t="s">
        <v>52</v>
      </c>
      <c r="M787" s="21">
        <v>44600</v>
      </c>
      <c r="N787" s="21">
        <v>599424</v>
      </c>
      <c r="O787" s="21">
        <v>64224</v>
      </c>
      <c r="P787">
        <v>4</v>
      </c>
      <c r="Q787" t="s">
        <v>42</v>
      </c>
      <c r="R787" s="37">
        <v>10</v>
      </c>
      <c r="S787" s="37">
        <v>6</v>
      </c>
      <c r="T787" t="s">
        <v>105</v>
      </c>
      <c r="U787" t="s">
        <v>63</v>
      </c>
      <c r="V787" t="s">
        <v>69</v>
      </c>
    </row>
    <row r="788" spans="1:22" ht="15" customHeight="1" x14ac:dyDescent="0.3">
      <c r="A788" t="s">
        <v>1380</v>
      </c>
      <c r="B788" s="20">
        <v>45847</v>
      </c>
      <c r="C788" t="s">
        <v>1381</v>
      </c>
      <c r="D788" t="s">
        <v>48</v>
      </c>
      <c r="E788" s="37">
        <v>22</v>
      </c>
      <c r="F788" t="s">
        <v>108</v>
      </c>
      <c r="G788" t="s">
        <v>109</v>
      </c>
      <c r="H788" t="s">
        <v>59</v>
      </c>
      <c r="I788" t="s">
        <v>82</v>
      </c>
      <c r="J788" t="s">
        <v>61</v>
      </c>
      <c r="K788" s="37">
        <v>23</v>
      </c>
      <c r="L788" t="s">
        <v>52</v>
      </c>
      <c r="M788" s="21">
        <v>47600</v>
      </c>
      <c r="N788" s="21">
        <v>679728</v>
      </c>
      <c r="O788" s="21">
        <v>108528</v>
      </c>
      <c r="P788">
        <v>1</v>
      </c>
      <c r="Q788" t="s">
        <v>126</v>
      </c>
      <c r="R788" s="37">
        <v>1</v>
      </c>
      <c r="S788" s="37">
        <v>33</v>
      </c>
      <c r="T788" t="s">
        <v>77</v>
      </c>
      <c r="U788" t="s">
        <v>63</v>
      </c>
      <c r="V788" t="s">
        <v>69</v>
      </c>
    </row>
    <row r="789" spans="1:22" ht="15" customHeight="1" x14ac:dyDescent="0.3">
      <c r="A789" t="s">
        <v>1382</v>
      </c>
      <c r="B789" s="20">
        <v>45880</v>
      </c>
      <c r="C789" t="s">
        <v>427</v>
      </c>
      <c r="D789" t="s">
        <v>35</v>
      </c>
      <c r="E789" s="37">
        <v>44</v>
      </c>
      <c r="F789" t="s">
        <v>49</v>
      </c>
      <c r="G789" t="s">
        <v>50</v>
      </c>
      <c r="H789" t="s">
        <v>38</v>
      </c>
      <c r="I789" t="s">
        <v>39</v>
      </c>
      <c r="J789" t="s">
        <v>134</v>
      </c>
      <c r="K789" s="37">
        <v>0</v>
      </c>
      <c r="L789" t="s">
        <v>52</v>
      </c>
      <c r="M789" s="21">
        <v>36700</v>
      </c>
      <c r="N789" s="21">
        <v>510863</v>
      </c>
      <c r="O789" s="21">
        <v>70464</v>
      </c>
      <c r="P789">
        <v>3</v>
      </c>
      <c r="Q789" t="s">
        <v>42</v>
      </c>
      <c r="R789" s="37">
        <v>17</v>
      </c>
      <c r="S789" s="37">
        <v>15</v>
      </c>
      <c r="T789" t="s">
        <v>62</v>
      </c>
      <c r="U789" t="s">
        <v>63</v>
      </c>
      <c r="V789" t="s">
        <v>45</v>
      </c>
    </row>
    <row r="790" spans="1:22" ht="15" customHeight="1" x14ac:dyDescent="0.3">
      <c r="A790" t="s">
        <v>1383</v>
      </c>
      <c r="B790" s="20">
        <v>45673</v>
      </c>
      <c r="C790" t="s">
        <v>192</v>
      </c>
      <c r="D790" t="s">
        <v>35</v>
      </c>
      <c r="E790" s="37">
        <v>52</v>
      </c>
      <c r="F790" t="s">
        <v>91</v>
      </c>
      <c r="G790" t="s">
        <v>92</v>
      </c>
      <c r="H790" t="s">
        <v>66</v>
      </c>
      <c r="I790" t="s">
        <v>75</v>
      </c>
      <c r="J790" t="s">
        <v>170</v>
      </c>
      <c r="K790" s="37">
        <v>29</v>
      </c>
      <c r="L790" t="s">
        <v>52</v>
      </c>
      <c r="M790" s="21">
        <v>84900</v>
      </c>
      <c r="N790" s="21">
        <v>1202184</v>
      </c>
      <c r="O790" s="21">
        <v>183384</v>
      </c>
      <c r="P790">
        <v>2</v>
      </c>
      <c r="Q790" t="s">
        <v>126</v>
      </c>
      <c r="R790" s="37">
        <v>13</v>
      </c>
      <c r="S790" s="37">
        <v>33</v>
      </c>
      <c r="T790" t="s">
        <v>53</v>
      </c>
      <c r="U790" t="s">
        <v>138</v>
      </c>
      <c r="V790" t="s">
        <v>45</v>
      </c>
    </row>
    <row r="791" spans="1:22" ht="15" customHeight="1" x14ac:dyDescent="0.3">
      <c r="A791" t="s">
        <v>1384</v>
      </c>
      <c r="B791" s="20">
        <v>45692</v>
      </c>
      <c r="C791" t="s">
        <v>701</v>
      </c>
      <c r="D791" t="s">
        <v>48</v>
      </c>
      <c r="E791" s="37">
        <v>22</v>
      </c>
      <c r="F791" t="s">
        <v>80</v>
      </c>
      <c r="G791" t="s">
        <v>81</v>
      </c>
      <c r="H791" t="s">
        <v>118</v>
      </c>
      <c r="I791" t="s">
        <v>82</v>
      </c>
      <c r="J791" t="s">
        <v>250</v>
      </c>
      <c r="K791" s="37">
        <v>19</v>
      </c>
      <c r="L791" t="s">
        <v>52</v>
      </c>
      <c r="M791" s="21">
        <v>53900</v>
      </c>
      <c r="N791" s="21">
        <v>711480</v>
      </c>
      <c r="O791" s="21">
        <v>64680</v>
      </c>
      <c r="P791">
        <v>3</v>
      </c>
      <c r="Q791" t="s">
        <v>126</v>
      </c>
      <c r="R791" s="37">
        <v>18</v>
      </c>
      <c r="S791" s="37">
        <v>32</v>
      </c>
      <c r="T791" t="s">
        <v>53</v>
      </c>
      <c r="U791" t="s">
        <v>44</v>
      </c>
      <c r="V791" t="s">
        <v>69</v>
      </c>
    </row>
    <row r="792" spans="1:22" ht="15" customHeight="1" x14ac:dyDescent="0.3">
      <c r="A792" t="s">
        <v>1385</v>
      </c>
      <c r="B792" s="20">
        <v>45823</v>
      </c>
      <c r="C792" t="s">
        <v>1386</v>
      </c>
      <c r="D792" t="s">
        <v>35</v>
      </c>
      <c r="E792" s="37">
        <v>36</v>
      </c>
      <c r="F792" t="s">
        <v>86</v>
      </c>
      <c r="G792" t="s">
        <v>87</v>
      </c>
      <c r="H792" t="s">
        <v>66</v>
      </c>
      <c r="I792" t="s">
        <v>39</v>
      </c>
      <c r="J792" t="s">
        <v>170</v>
      </c>
      <c r="K792" s="37">
        <v>18</v>
      </c>
      <c r="L792" t="s">
        <v>52</v>
      </c>
      <c r="M792" s="21">
        <v>41100</v>
      </c>
      <c r="N792" s="21">
        <v>591840</v>
      </c>
      <c r="O792" s="21">
        <v>98640</v>
      </c>
      <c r="P792">
        <v>3</v>
      </c>
      <c r="Q792" t="s">
        <v>42</v>
      </c>
      <c r="R792" s="37">
        <v>18</v>
      </c>
      <c r="S792" s="37">
        <v>8</v>
      </c>
      <c r="T792" t="s">
        <v>68</v>
      </c>
      <c r="U792" t="s">
        <v>63</v>
      </c>
      <c r="V792" t="s">
        <v>45</v>
      </c>
    </row>
    <row r="793" spans="1:22" ht="15" customHeight="1" x14ac:dyDescent="0.3">
      <c r="A793" t="s">
        <v>1387</v>
      </c>
      <c r="B793" s="20">
        <v>45907</v>
      </c>
      <c r="C793" t="s">
        <v>1069</v>
      </c>
      <c r="D793" t="s">
        <v>35</v>
      </c>
      <c r="E793" s="37">
        <v>53</v>
      </c>
      <c r="F793" t="s">
        <v>72</v>
      </c>
      <c r="G793" t="s">
        <v>73</v>
      </c>
      <c r="H793" t="s">
        <v>38</v>
      </c>
      <c r="I793" t="s">
        <v>60</v>
      </c>
      <c r="J793" t="s">
        <v>134</v>
      </c>
      <c r="K793" s="37">
        <v>12</v>
      </c>
      <c r="L793" t="s">
        <v>41</v>
      </c>
      <c r="M793" s="21">
        <v>145400</v>
      </c>
      <c r="N793" s="21">
        <v>1919280</v>
      </c>
      <c r="O793" s="21">
        <v>174480</v>
      </c>
      <c r="P793">
        <v>2</v>
      </c>
      <c r="Q793" t="s">
        <v>42</v>
      </c>
      <c r="R793" s="37">
        <v>7</v>
      </c>
      <c r="S793" s="37">
        <v>6</v>
      </c>
      <c r="T793" t="s">
        <v>146</v>
      </c>
      <c r="U793" t="s">
        <v>44</v>
      </c>
      <c r="V793" t="s">
        <v>45</v>
      </c>
    </row>
    <row r="794" spans="1:22" ht="15" customHeight="1" x14ac:dyDescent="0.3">
      <c r="A794" t="s">
        <v>1388</v>
      </c>
      <c r="B794" s="20">
        <v>45820</v>
      </c>
      <c r="C794" t="s">
        <v>158</v>
      </c>
      <c r="D794" t="s">
        <v>48</v>
      </c>
      <c r="E794" s="37">
        <v>24</v>
      </c>
      <c r="F794" t="s">
        <v>97</v>
      </c>
      <c r="G794" t="s">
        <v>98</v>
      </c>
      <c r="H794" t="s">
        <v>74</v>
      </c>
      <c r="I794" t="s">
        <v>75</v>
      </c>
      <c r="J794" t="s">
        <v>115</v>
      </c>
      <c r="K794" s="37">
        <v>6</v>
      </c>
      <c r="L794" t="s">
        <v>52</v>
      </c>
      <c r="M794" s="21">
        <v>81900</v>
      </c>
      <c r="N794" s="21">
        <v>1051596</v>
      </c>
      <c r="O794" s="21">
        <v>68796</v>
      </c>
      <c r="P794">
        <v>4</v>
      </c>
      <c r="Q794" t="s">
        <v>42</v>
      </c>
      <c r="R794" s="37">
        <v>6</v>
      </c>
      <c r="S794" s="37">
        <v>3</v>
      </c>
      <c r="T794" t="s">
        <v>68</v>
      </c>
      <c r="U794" t="s">
        <v>44</v>
      </c>
      <c r="V794" t="s">
        <v>69</v>
      </c>
    </row>
    <row r="795" spans="1:22" ht="15" customHeight="1" x14ac:dyDescent="0.3">
      <c r="A795" t="s">
        <v>1389</v>
      </c>
      <c r="B795" s="20">
        <v>45944</v>
      </c>
      <c r="C795" t="s">
        <v>821</v>
      </c>
      <c r="D795" t="s">
        <v>35</v>
      </c>
      <c r="E795" s="37">
        <v>46</v>
      </c>
      <c r="F795" t="s">
        <v>57</v>
      </c>
      <c r="G795" t="s">
        <v>58</v>
      </c>
      <c r="H795" t="s">
        <v>74</v>
      </c>
      <c r="I795" t="s">
        <v>82</v>
      </c>
      <c r="J795" t="s">
        <v>115</v>
      </c>
      <c r="K795" s="37">
        <v>8</v>
      </c>
      <c r="L795" t="s">
        <v>52</v>
      </c>
      <c r="M795" s="21">
        <v>55800</v>
      </c>
      <c r="N795" s="21">
        <v>763344</v>
      </c>
      <c r="O795" s="21">
        <v>93744</v>
      </c>
      <c r="P795">
        <v>4</v>
      </c>
      <c r="Q795" t="s">
        <v>42</v>
      </c>
      <c r="R795" s="37">
        <v>4</v>
      </c>
      <c r="S795" s="37">
        <v>21</v>
      </c>
      <c r="T795" t="s">
        <v>105</v>
      </c>
      <c r="U795" t="s">
        <v>44</v>
      </c>
      <c r="V795" t="s">
        <v>45</v>
      </c>
    </row>
    <row r="796" spans="1:22" ht="15" customHeight="1" x14ac:dyDescent="0.3">
      <c r="A796" t="s">
        <v>1390</v>
      </c>
      <c r="B796" s="20">
        <v>45952</v>
      </c>
      <c r="C796" t="s">
        <v>729</v>
      </c>
      <c r="D796" t="s">
        <v>48</v>
      </c>
      <c r="E796" s="37">
        <v>33</v>
      </c>
      <c r="F796" t="s">
        <v>72</v>
      </c>
      <c r="G796" t="s">
        <v>73</v>
      </c>
      <c r="H796" t="s">
        <v>38</v>
      </c>
      <c r="I796" t="s">
        <v>51</v>
      </c>
      <c r="J796" t="s">
        <v>110</v>
      </c>
      <c r="K796" s="37">
        <v>6</v>
      </c>
      <c r="L796" t="s">
        <v>41</v>
      </c>
      <c r="M796" s="21">
        <v>255700</v>
      </c>
      <c r="N796" s="21">
        <v>3375240</v>
      </c>
      <c r="O796" s="21">
        <v>306840</v>
      </c>
      <c r="P796">
        <v>4</v>
      </c>
      <c r="Q796" t="s">
        <v>42</v>
      </c>
      <c r="R796" s="37">
        <v>17</v>
      </c>
      <c r="S796" s="37">
        <v>24</v>
      </c>
      <c r="T796" t="s">
        <v>53</v>
      </c>
      <c r="U796" t="s">
        <v>44</v>
      </c>
      <c r="V796" t="s">
        <v>69</v>
      </c>
    </row>
    <row r="797" spans="1:22" ht="15" customHeight="1" x14ac:dyDescent="0.3">
      <c r="A797" t="s">
        <v>1391</v>
      </c>
      <c r="B797" s="20">
        <v>45977</v>
      </c>
      <c r="C797" t="s">
        <v>233</v>
      </c>
      <c r="D797" t="s">
        <v>35</v>
      </c>
      <c r="E797" s="37">
        <v>40</v>
      </c>
      <c r="F797" t="s">
        <v>108</v>
      </c>
      <c r="G797" t="s">
        <v>109</v>
      </c>
      <c r="H797" t="s">
        <v>38</v>
      </c>
      <c r="I797" t="s">
        <v>82</v>
      </c>
      <c r="J797" t="s">
        <v>110</v>
      </c>
      <c r="K797" s="37">
        <v>20</v>
      </c>
      <c r="L797" t="s">
        <v>52</v>
      </c>
      <c r="M797" s="21">
        <v>59900</v>
      </c>
      <c r="N797" s="21">
        <v>826619</v>
      </c>
      <c r="O797" s="21">
        <v>107820</v>
      </c>
      <c r="P797">
        <v>2</v>
      </c>
      <c r="Q797" t="s">
        <v>42</v>
      </c>
      <c r="R797" s="37">
        <v>7</v>
      </c>
      <c r="S797" s="37">
        <v>33</v>
      </c>
      <c r="T797" t="s">
        <v>175</v>
      </c>
      <c r="U797" t="s">
        <v>44</v>
      </c>
      <c r="V797" t="s">
        <v>69</v>
      </c>
    </row>
    <row r="798" spans="1:22" ht="15" customHeight="1" x14ac:dyDescent="0.3">
      <c r="A798" t="s">
        <v>1392</v>
      </c>
      <c r="B798" s="20">
        <v>45841</v>
      </c>
      <c r="C798" t="s">
        <v>356</v>
      </c>
      <c r="D798" t="s">
        <v>35</v>
      </c>
      <c r="E798" s="37">
        <v>43</v>
      </c>
      <c r="F798" t="s">
        <v>91</v>
      </c>
      <c r="G798" t="s">
        <v>92</v>
      </c>
      <c r="H798" t="s">
        <v>59</v>
      </c>
      <c r="I798" t="s">
        <v>39</v>
      </c>
      <c r="J798" t="s">
        <v>125</v>
      </c>
      <c r="K798" s="37">
        <v>5</v>
      </c>
      <c r="L798" t="s">
        <v>52</v>
      </c>
      <c r="M798" s="21">
        <v>36200</v>
      </c>
      <c r="N798" s="21">
        <v>460464</v>
      </c>
      <c r="O798" s="21">
        <v>26064</v>
      </c>
      <c r="P798">
        <v>4</v>
      </c>
      <c r="Q798" t="s">
        <v>126</v>
      </c>
      <c r="R798" s="37">
        <v>20</v>
      </c>
      <c r="S798" s="37">
        <v>16</v>
      </c>
      <c r="T798" t="s">
        <v>62</v>
      </c>
      <c r="U798" t="s">
        <v>44</v>
      </c>
      <c r="V798" t="s">
        <v>69</v>
      </c>
    </row>
    <row r="799" spans="1:22" ht="15" customHeight="1" x14ac:dyDescent="0.3">
      <c r="A799" t="s">
        <v>1393</v>
      </c>
      <c r="B799" s="20">
        <v>45856</v>
      </c>
      <c r="C799" t="s">
        <v>1106</v>
      </c>
      <c r="D799" t="s">
        <v>48</v>
      </c>
      <c r="E799" s="37">
        <v>54</v>
      </c>
      <c r="F799" t="s">
        <v>91</v>
      </c>
      <c r="G799" t="s">
        <v>92</v>
      </c>
      <c r="H799" t="s">
        <v>38</v>
      </c>
      <c r="I799" t="s">
        <v>82</v>
      </c>
      <c r="J799" t="s">
        <v>110</v>
      </c>
      <c r="K799" s="37">
        <v>15</v>
      </c>
      <c r="L799" t="s">
        <v>52</v>
      </c>
      <c r="M799" s="21">
        <v>52100</v>
      </c>
      <c r="N799" s="21">
        <v>712728</v>
      </c>
      <c r="O799" s="21">
        <v>87528</v>
      </c>
      <c r="P799">
        <v>3</v>
      </c>
      <c r="Q799" t="s">
        <v>42</v>
      </c>
      <c r="R799" s="37">
        <v>18</v>
      </c>
      <c r="S799" s="37">
        <v>29</v>
      </c>
      <c r="T799" t="s">
        <v>53</v>
      </c>
      <c r="U799" t="s">
        <v>44</v>
      </c>
      <c r="V799" t="s">
        <v>69</v>
      </c>
    </row>
    <row r="800" spans="1:22" ht="15" customHeight="1" x14ac:dyDescent="0.3">
      <c r="A800" t="s">
        <v>1394</v>
      </c>
      <c r="B800" s="20">
        <v>45874</v>
      </c>
      <c r="C800" t="s">
        <v>203</v>
      </c>
      <c r="D800" t="s">
        <v>48</v>
      </c>
      <c r="E800" s="37">
        <v>52</v>
      </c>
      <c r="F800" t="s">
        <v>91</v>
      </c>
      <c r="G800" t="s">
        <v>92</v>
      </c>
      <c r="H800" t="s">
        <v>59</v>
      </c>
      <c r="I800" t="s">
        <v>60</v>
      </c>
      <c r="J800" t="s">
        <v>61</v>
      </c>
      <c r="K800" s="37">
        <v>16</v>
      </c>
      <c r="L800" t="s">
        <v>52</v>
      </c>
      <c r="M800" s="21">
        <v>146300</v>
      </c>
      <c r="N800" s="21">
        <v>2036495</v>
      </c>
      <c r="O800" s="21">
        <v>280896</v>
      </c>
      <c r="P800">
        <v>2</v>
      </c>
      <c r="Q800" t="s">
        <v>42</v>
      </c>
      <c r="R800" s="37">
        <v>1</v>
      </c>
      <c r="S800" s="37">
        <v>3</v>
      </c>
      <c r="T800" t="s">
        <v>62</v>
      </c>
      <c r="U800" t="s">
        <v>44</v>
      </c>
      <c r="V800" t="s">
        <v>69</v>
      </c>
    </row>
    <row r="801" spans="1:22" ht="15" customHeight="1" x14ac:dyDescent="0.3">
      <c r="A801" t="s">
        <v>1395</v>
      </c>
      <c r="B801" s="20">
        <v>45913</v>
      </c>
      <c r="C801" t="s">
        <v>1329</v>
      </c>
      <c r="D801" t="s">
        <v>48</v>
      </c>
      <c r="E801" s="37">
        <v>43</v>
      </c>
      <c r="F801" t="s">
        <v>91</v>
      </c>
      <c r="G801" t="s">
        <v>92</v>
      </c>
      <c r="H801" t="s">
        <v>66</v>
      </c>
      <c r="I801" t="s">
        <v>82</v>
      </c>
      <c r="J801" t="s">
        <v>67</v>
      </c>
      <c r="K801" s="37">
        <v>2</v>
      </c>
      <c r="L801" t="s">
        <v>52</v>
      </c>
      <c r="M801" s="21">
        <v>74600</v>
      </c>
      <c r="N801" s="21">
        <v>1002624</v>
      </c>
      <c r="O801" s="21">
        <v>107424</v>
      </c>
      <c r="P801">
        <v>4</v>
      </c>
      <c r="Q801" t="s">
        <v>42</v>
      </c>
      <c r="R801" s="37">
        <v>15</v>
      </c>
      <c r="S801" s="37">
        <v>13</v>
      </c>
      <c r="T801" t="s">
        <v>68</v>
      </c>
      <c r="U801" t="s">
        <v>63</v>
      </c>
      <c r="V801" t="s">
        <v>45</v>
      </c>
    </row>
    <row r="802" spans="1:22" ht="15" customHeight="1" x14ac:dyDescent="0.3">
      <c r="A802" t="s">
        <v>1396</v>
      </c>
      <c r="B802" s="20">
        <v>45700</v>
      </c>
      <c r="C802" t="s">
        <v>1397</v>
      </c>
      <c r="D802" t="s">
        <v>48</v>
      </c>
      <c r="E802" s="37">
        <v>58</v>
      </c>
      <c r="F802" t="s">
        <v>57</v>
      </c>
      <c r="G802" t="s">
        <v>58</v>
      </c>
      <c r="H802" t="s">
        <v>38</v>
      </c>
      <c r="I802" t="s">
        <v>39</v>
      </c>
      <c r="J802" t="s">
        <v>134</v>
      </c>
      <c r="K802" s="37">
        <v>15</v>
      </c>
      <c r="L802" t="s">
        <v>52</v>
      </c>
      <c r="M802" s="21">
        <v>39200</v>
      </c>
      <c r="N802" s="21">
        <v>545664</v>
      </c>
      <c r="O802" s="21">
        <v>75264</v>
      </c>
      <c r="P802">
        <v>3</v>
      </c>
      <c r="Q802" t="s">
        <v>42</v>
      </c>
      <c r="R802" s="37">
        <v>0</v>
      </c>
      <c r="S802" s="37">
        <v>33</v>
      </c>
      <c r="T802" t="s">
        <v>175</v>
      </c>
      <c r="U802" t="s">
        <v>54</v>
      </c>
      <c r="V802" t="s">
        <v>69</v>
      </c>
    </row>
    <row r="803" spans="1:22" ht="15" customHeight="1" x14ac:dyDescent="0.3">
      <c r="A803" t="s">
        <v>1398</v>
      </c>
      <c r="B803" s="20">
        <v>45816</v>
      </c>
      <c r="C803" t="s">
        <v>1399</v>
      </c>
      <c r="D803" t="s">
        <v>35</v>
      </c>
      <c r="E803" s="37">
        <v>45</v>
      </c>
      <c r="F803" t="s">
        <v>91</v>
      </c>
      <c r="G803" t="s">
        <v>92</v>
      </c>
      <c r="H803" t="s">
        <v>66</v>
      </c>
      <c r="I803" t="s">
        <v>60</v>
      </c>
      <c r="J803" t="s">
        <v>93</v>
      </c>
      <c r="K803" s="37">
        <v>8</v>
      </c>
      <c r="L803" t="s">
        <v>52</v>
      </c>
      <c r="M803" s="21">
        <v>138200</v>
      </c>
      <c r="N803" s="21">
        <v>1824240</v>
      </c>
      <c r="O803" s="21">
        <v>165840</v>
      </c>
      <c r="P803">
        <v>4</v>
      </c>
      <c r="Q803" t="s">
        <v>42</v>
      </c>
      <c r="R803" s="37">
        <v>5</v>
      </c>
      <c r="S803" s="37">
        <v>0</v>
      </c>
      <c r="T803" t="s">
        <v>53</v>
      </c>
      <c r="U803" t="s">
        <v>63</v>
      </c>
      <c r="V803" t="s">
        <v>69</v>
      </c>
    </row>
    <row r="804" spans="1:22" ht="15" customHeight="1" x14ac:dyDescent="0.3">
      <c r="A804" t="s">
        <v>1400</v>
      </c>
      <c r="B804" s="20">
        <v>45731</v>
      </c>
      <c r="C804" t="s">
        <v>1065</v>
      </c>
      <c r="D804" t="s">
        <v>35</v>
      </c>
      <c r="E804" s="37">
        <v>48</v>
      </c>
      <c r="F804" t="s">
        <v>86</v>
      </c>
      <c r="G804" t="s">
        <v>87</v>
      </c>
      <c r="H804" t="s">
        <v>38</v>
      </c>
      <c r="I804" t="s">
        <v>39</v>
      </c>
      <c r="J804" t="s">
        <v>40</v>
      </c>
      <c r="K804" s="37">
        <v>6</v>
      </c>
      <c r="L804" t="s">
        <v>52</v>
      </c>
      <c r="M804" s="21">
        <v>40600</v>
      </c>
      <c r="N804" s="21">
        <v>535920</v>
      </c>
      <c r="O804" s="21">
        <v>48720</v>
      </c>
      <c r="P804">
        <v>5</v>
      </c>
      <c r="Q804" t="s">
        <v>42</v>
      </c>
      <c r="R804" s="37">
        <v>5</v>
      </c>
      <c r="S804" s="37">
        <v>3</v>
      </c>
      <c r="T804" t="s">
        <v>77</v>
      </c>
      <c r="U804" t="s">
        <v>138</v>
      </c>
      <c r="V804" t="s">
        <v>45</v>
      </c>
    </row>
    <row r="805" spans="1:22" ht="15" customHeight="1" x14ac:dyDescent="0.3">
      <c r="A805" t="s">
        <v>1401</v>
      </c>
      <c r="B805" s="20">
        <v>45944</v>
      </c>
      <c r="C805" t="s">
        <v>1402</v>
      </c>
      <c r="D805" t="s">
        <v>48</v>
      </c>
      <c r="E805" s="37">
        <v>50</v>
      </c>
      <c r="F805" t="s">
        <v>72</v>
      </c>
      <c r="G805" t="s">
        <v>73</v>
      </c>
      <c r="H805" t="s">
        <v>118</v>
      </c>
      <c r="I805" t="s">
        <v>39</v>
      </c>
      <c r="J805" t="s">
        <v>137</v>
      </c>
      <c r="K805" s="37">
        <v>24</v>
      </c>
      <c r="L805" t="s">
        <v>52</v>
      </c>
      <c r="M805" s="21">
        <v>31800</v>
      </c>
      <c r="N805" s="21">
        <v>446472</v>
      </c>
      <c r="O805" s="21">
        <v>64872</v>
      </c>
      <c r="P805">
        <v>5</v>
      </c>
      <c r="Q805" t="s">
        <v>42</v>
      </c>
      <c r="R805" s="37">
        <v>5</v>
      </c>
      <c r="S805" s="37">
        <v>29</v>
      </c>
      <c r="T805" t="s">
        <v>94</v>
      </c>
      <c r="U805" t="s">
        <v>63</v>
      </c>
      <c r="V805" t="s">
        <v>45</v>
      </c>
    </row>
    <row r="806" spans="1:22" ht="15" customHeight="1" x14ac:dyDescent="0.3">
      <c r="A806" t="s">
        <v>1403</v>
      </c>
      <c r="B806" s="20">
        <v>45906</v>
      </c>
      <c r="C806" t="s">
        <v>768</v>
      </c>
      <c r="D806" t="s">
        <v>35</v>
      </c>
      <c r="E806" s="37">
        <v>48</v>
      </c>
      <c r="F806" t="s">
        <v>49</v>
      </c>
      <c r="G806" t="s">
        <v>50</v>
      </c>
      <c r="H806" t="s">
        <v>66</v>
      </c>
      <c r="I806" t="s">
        <v>75</v>
      </c>
      <c r="J806" t="s">
        <v>67</v>
      </c>
      <c r="K806" s="37">
        <v>28</v>
      </c>
      <c r="L806" t="s">
        <v>52</v>
      </c>
      <c r="M806" s="21">
        <v>109600</v>
      </c>
      <c r="N806" s="21">
        <v>1407264</v>
      </c>
      <c r="O806" s="21">
        <v>92064</v>
      </c>
      <c r="P806">
        <v>3</v>
      </c>
      <c r="Q806" t="s">
        <v>42</v>
      </c>
      <c r="R806" s="37">
        <v>7</v>
      </c>
      <c r="S806" s="37">
        <v>40</v>
      </c>
      <c r="T806" t="s">
        <v>175</v>
      </c>
      <c r="U806" t="s">
        <v>44</v>
      </c>
      <c r="V806" t="s">
        <v>45</v>
      </c>
    </row>
    <row r="807" spans="1:22" ht="15" customHeight="1" x14ac:dyDescent="0.3">
      <c r="A807" t="s">
        <v>1404</v>
      </c>
      <c r="B807" s="20">
        <v>45793</v>
      </c>
      <c r="C807" t="s">
        <v>1315</v>
      </c>
      <c r="D807" t="s">
        <v>48</v>
      </c>
      <c r="E807" s="37">
        <v>34</v>
      </c>
      <c r="F807" t="s">
        <v>57</v>
      </c>
      <c r="G807" t="s">
        <v>58</v>
      </c>
      <c r="H807" t="s">
        <v>118</v>
      </c>
      <c r="I807" t="s">
        <v>39</v>
      </c>
      <c r="J807" t="s">
        <v>137</v>
      </c>
      <c r="K807" s="37">
        <v>13</v>
      </c>
      <c r="L807" t="s">
        <v>52</v>
      </c>
      <c r="M807" s="21">
        <v>28400</v>
      </c>
      <c r="N807" s="21">
        <v>371472</v>
      </c>
      <c r="O807" s="21">
        <v>30672</v>
      </c>
      <c r="P807">
        <v>3</v>
      </c>
      <c r="Q807" t="s">
        <v>42</v>
      </c>
      <c r="R807" s="37">
        <v>7</v>
      </c>
      <c r="S807" s="37">
        <v>20</v>
      </c>
      <c r="T807" t="s">
        <v>146</v>
      </c>
      <c r="U807" t="s">
        <v>63</v>
      </c>
      <c r="V807" t="s">
        <v>45</v>
      </c>
    </row>
    <row r="808" spans="1:22" ht="15" customHeight="1" x14ac:dyDescent="0.3">
      <c r="A808" t="s">
        <v>1405</v>
      </c>
      <c r="B808" s="20">
        <v>45698</v>
      </c>
      <c r="C808" t="s">
        <v>1406</v>
      </c>
      <c r="D808" t="s">
        <v>35</v>
      </c>
      <c r="E808" s="37">
        <v>58</v>
      </c>
      <c r="F808" t="s">
        <v>123</v>
      </c>
      <c r="G808" t="s">
        <v>124</v>
      </c>
      <c r="H808" t="s">
        <v>66</v>
      </c>
      <c r="I808" t="s">
        <v>82</v>
      </c>
      <c r="J808" t="s">
        <v>149</v>
      </c>
      <c r="K808" s="37">
        <v>25</v>
      </c>
      <c r="L808" t="s">
        <v>52</v>
      </c>
      <c r="M808" s="21">
        <v>78700</v>
      </c>
      <c r="N808" s="21">
        <v>1029396</v>
      </c>
      <c r="O808" s="21">
        <v>84996</v>
      </c>
      <c r="P808">
        <v>4</v>
      </c>
      <c r="Q808" t="s">
        <v>42</v>
      </c>
      <c r="R808" s="37">
        <v>15</v>
      </c>
      <c r="S808" s="37">
        <v>32</v>
      </c>
      <c r="T808" t="s">
        <v>53</v>
      </c>
      <c r="U808" t="s">
        <v>63</v>
      </c>
      <c r="V808" t="s">
        <v>69</v>
      </c>
    </row>
    <row r="809" spans="1:22" ht="15" customHeight="1" x14ac:dyDescent="0.3">
      <c r="A809" t="s">
        <v>1407</v>
      </c>
      <c r="B809" s="20">
        <v>45985</v>
      </c>
      <c r="C809" t="s">
        <v>546</v>
      </c>
      <c r="D809" t="s">
        <v>48</v>
      </c>
      <c r="E809" s="37">
        <v>37</v>
      </c>
      <c r="F809" t="s">
        <v>49</v>
      </c>
      <c r="G809" t="s">
        <v>50</v>
      </c>
      <c r="H809" t="s">
        <v>66</v>
      </c>
      <c r="I809" t="s">
        <v>75</v>
      </c>
      <c r="J809" t="s">
        <v>161</v>
      </c>
      <c r="K809" s="37">
        <v>6</v>
      </c>
      <c r="L809" t="s">
        <v>52</v>
      </c>
      <c r="M809" s="21">
        <v>84700</v>
      </c>
      <c r="N809" s="21">
        <v>1168860</v>
      </c>
      <c r="O809" s="21">
        <v>152460</v>
      </c>
      <c r="P809">
        <v>3</v>
      </c>
      <c r="Q809" t="s">
        <v>42</v>
      </c>
      <c r="R809" s="37">
        <v>13</v>
      </c>
      <c r="S809" s="37">
        <v>6</v>
      </c>
      <c r="T809" t="s">
        <v>94</v>
      </c>
      <c r="U809" t="s">
        <v>44</v>
      </c>
      <c r="V809" t="s">
        <v>45</v>
      </c>
    </row>
    <row r="810" spans="1:22" ht="15" customHeight="1" x14ac:dyDescent="0.3">
      <c r="A810" t="s">
        <v>1408</v>
      </c>
      <c r="B810" s="20">
        <v>45682</v>
      </c>
      <c r="C810" t="s">
        <v>1409</v>
      </c>
      <c r="D810" t="s">
        <v>35</v>
      </c>
      <c r="E810" s="37">
        <v>40</v>
      </c>
      <c r="F810" t="s">
        <v>57</v>
      </c>
      <c r="G810" t="s">
        <v>58</v>
      </c>
      <c r="H810" t="s">
        <v>74</v>
      </c>
      <c r="I810" t="s">
        <v>75</v>
      </c>
      <c r="J810" t="s">
        <v>76</v>
      </c>
      <c r="K810" s="37">
        <v>7</v>
      </c>
      <c r="L810" t="s">
        <v>52</v>
      </c>
      <c r="M810" s="21">
        <v>88400</v>
      </c>
      <c r="N810" s="21">
        <v>1135056</v>
      </c>
      <c r="O810" s="21">
        <v>74256</v>
      </c>
      <c r="P810">
        <v>5</v>
      </c>
      <c r="Q810" t="s">
        <v>42</v>
      </c>
      <c r="R810" s="37">
        <v>11</v>
      </c>
      <c r="S810" s="37">
        <v>9</v>
      </c>
      <c r="T810" t="s">
        <v>175</v>
      </c>
      <c r="U810" t="s">
        <v>63</v>
      </c>
      <c r="V810" t="s">
        <v>45</v>
      </c>
    </row>
    <row r="811" spans="1:22" ht="15" customHeight="1" x14ac:dyDescent="0.3">
      <c r="A811" t="s">
        <v>1410</v>
      </c>
      <c r="B811" s="20">
        <v>45932</v>
      </c>
      <c r="C811" t="s">
        <v>441</v>
      </c>
      <c r="D811" t="s">
        <v>35</v>
      </c>
      <c r="E811" s="37">
        <v>47</v>
      </c>
      <c r="F811" t="s">
        <v>80</v>
      </c>
      <c r="G811" t="s">
        <v>81</v>
      </c>
      <c r="H811" t="s">
        <v>118</v>
      </c>
      <c r="I811" t="s">
        <v>75</v>
      </c>
      <c r="J811" t="s">
        <v>219</v>
      </c>
      <c r="K811" s="37">
        <v>10</v>
      </c>
      <c r="L811" t="s">
        <v>52</v>
      </c>
      <c r="M811" s="21">
        <v>88800</v>
      </c>
      <c r="N811" s="21">
        <v>1278720</v>
      </c>
      <c r="O811" s="21">
        <v>213120</v>
      </c>
      <c r="P811">
        <v>3</v>
      </c>
      <c r="Q811" t="s">
        <v>126</v>
      </c>
      <c r="R811" s="37">
        <v>10</v>
      </c>
      <c r="S811" s="37">
        <v>33</v>
      </c>
      <c r="T811" t="s">
        <v>77</v>
      </c>
      <c r="U811" t="s">
        <v>44</v>
      </c>
      <c r="V811" t="s">
        <v>45</v>
      </c>
    </row>
    <row r="812" spans="1:22" ht="15" customHeight="1" x14ac:dyDescent="0.3">
      <c r="A812" t="s">
        <v>1411</v>
      </c>
      <c r="B812" s="20">
        <v>45694</v>
      </c>
      <c r="C812" t="s">
        <v>1412</v>
      </c>
      <c r="D812" t="s">
        <v>35</v>
      </c>
      <c r="E812" s="37">
        <v>50</v>
      </c>
      <c r="F812" t="s">
        <v>123</v>
      </c>
      <c r="G812" t="s">
        <v>124</v>
      </c>
      <c r="H812" t="s">
        <v>66</v>
      </c>
      <c r="I812" t="s">
        <v>82</v>
      </c>
      <c r="J812" t="s">
        <v>93</v>
      </c>
      <c r="K812" s="37">
        <v>2</v>
      </c>
      <c r="L812" t="s">
        <v>120</v>
      </c>
      <c r="M812" s="21">
        <v>78200</v>
      </c>
      <c r="N812" s="21">
        <v>1004088</v>
      </c>
      <c r="O812" s="21">
        <v>65688</v>
      </c>
      <c r="P812">
        <v>3</v>
      </c>
      <c r="Q812" t="s">
        <v>42</v>
      </c>
      <c r="R812" s="37">
        <v>6</v>
      </c>
      <c r="S812" s="37">
        <v>6</v>
      </c>
      <c r="T812" t="s">
        <v>146</v>
      </c>
      <c r="U812" t="s">
        <v>44</v>
      </c>
      <c r="V812" t="s">
        <v>45</v>
      </c>
    </row>
    <row r="813" spans="1:22" ht="15" customHeight="1" x14ac:dyDescent="0.3">
      <c r="A813" t="s">
        <v>1413</v>
      </c>
      <c r="B813" s="20">
        <v>45753</v>
      </c>
      <c r="C813" t="s">
        <v>885</v>
      </c>
      <c r="D813" t="s">
        <v>35</v>
      </c>
      <c r="E813" s="37">
        <v>37</v>
      </c>
      <c r="F813" t="s">
        <v>36</v>
      </c>
      <c r="G813" t="s">
        <v>37</v>
      </c>
      <c r="H813" t="s">
        <v>118</v>
      </c>
      <c r="I813" t="s">
        <v>39</v>
      </c>
      <c r="J813" t="s">
        <v>182</v>
      </c>
      <c r="K813" s="37">
        <v>7</v>
      </c>
      <c r="L813" t="s">
        <v>120</v>
      </c>
      <c r="M813" s="21">
        <v>40200</v>
      </c>
      <c r="N813" s="21">
        <v>574056</v>
      </c>
      <c r="O813" s="21">
        <v>91656</v>
      </c>
      <c r="P813">
        <v>5</v>
      </c>
      <c r="Q813" t="s">
        <v>42</v>
      </c>
      <c r="R813" s="37">
        <v>8</v>
      </c>
      <c r="S813" s="37">
        <v>29</v>
      </c>
      <c r="T813" t="s">
        <v>77</v>
      </c>
      <c r="U813" t="s">
        <v>63</v>
      </c>
      <c r="V813" t="s">
        <v>45</v>
      </c>
    </row>
    <row r="814" spans="1:22" ht="15" customHeight="1" x14ac:dyDescent="0.3">
      <c r="A814" t="s">
        <v>1414</v>
      </c>
      <c r="B814" s="20">
        <v>45852</v>
      </c>
      <c r="C814" t="s">
        <v>1415</v>
      </c>
      <c r="D814" t="s">
        <v>35</v>
      </c>
      <c r="E814" s="37">
        <v>44</v>
      </c>
      <c r="F814" t="s">
        <v>108</v>
      </c>
      <c r="G814" t="s">
        <v>109</v>
      </c>
      <c r="H814" t="s">
        <v>118</v>
      </c>
      <c r="I814" t="s">
        <v>39</v>
      </c>
      <c r="J814" t="s">
        <v>137</v>
      </c>
      <c r="K814" s="37">
        <v>21</v>
      </c>
      <c r="L814" t="s">
        <v>120</v>
      </c>
      <c r="M814" s="21">
        <v>32900</v>
      </c>
      <c r="N814" s="21">
        <v>442176</v>
      </c>
      <c r="O814" s="21">
        <v>47376</v>
      </c>
      <c r="P814">
        <v>5</v>
      </c>
      <c r="Q814" t="s">
        <v>42</v>
      </c>
      <c r="R814" s="37">
        <v>13</v>
      </c>
      <c r="S814" s="37">
        <v>38</v>
      </c>
      <c r="T814" t="s">
        <v>146</v>
      </c>
      <c r="U814" t="s">
        <v>54</v>
      </c>
      <c r="V814" t="s">
        <v>69</v>
      </c>
    </row>
    <row r="815" spans="1:22" ht="15" customHeight="1" x14ac:dyDescent="0.3">
      <c r="A815" t="s">
        <v>1416</v>
      </c>
      <c r="B815" s="20">
        <v>45770</v>
      </c>
      <c r="C815" t="s">
        <v>1417</v>
      </c>
      <c r="D815" t="s">
        <v>48</v>
      </c>
      <c r="E815" s="37">
        <v>25</v>
      </c>
      <c r="F815" t="s">
        <v>86</v>
      </c>
      <c r="G815" t="s">
        <v>87</v>
      </c>
      <c r="H815" t="s">
        <v>118</v>
      </c>
      <c r="I815" t="s">
        <v>75</v>
      </c>
      <c r="J815" t="s">
        <v>250</v>
      </c>
      <c r="K815" s="37">
        <v>23</v>
      </c>
      <c r="L815" t="s">
        <v>52</v>
      </c>
      <c r="M815" s="21">
        <v>81000</v>
      </c>
      <c r="N815" s="21">
        <v>1156680</v>
      </c>
      <c r="O815" s="21">
        <v>184680</v>
      </c>
      <c r="P815">
        <v>5</v>
      </c>
      <c r="Q815" t="s">
        <v>42</v>
      </c>
      <c r="R815" s="37">
        <v>10</v>
      </c>
      <c r="S815" s="37">
        <v>4</v>
      </c>
      <c r="T815" t="s">
        <v>175</v>
      </c>
      <c r="U815" t="s">
        <v>63</v>
      </c>
      <c r="V815" t="s">
        <v>69</v>
      </c>
    </row>
    <row r="816" spans="1:22" ht="15" customHeight="1" x14ac:dyDescent="0.3">
      <c r="A816" t="s">
        <v>1418</v>
      </c>
      <c r="B816" s="20">
        <v>45889</v>
      </c>
      <c r="C816" t="s">
        <v>319</v>
      </c>
      <c r="D816" t="s">
        <v>35</v>
      </c>
      <c r="E816" s="37">
        <v>30</v>
      </c>
      <c r="F816" t="s">
        <v>57</v>
      </c>
      <c r="G816" t="s">
        <v>58</v>
      </c>
      <c r="H816" t="s">
        <v>66</v>
      </c>
      <c r="I816" t="s">
        <v>60</v>
      </c>
      <c r="J816" t="s">
        <v>161</v>
      </c>
      <c r="K816" s="37">
        <v>4</v>
      </c>
      <c r="L816" t="s">
        <v>52</v>
      </c>
      <c r="M816" s="21">
        <v>183300</v>
      </c>
      <c r="N816" s="21">
        <v>2353572</v>
      </c>
      <c r="O816" s="21">
        <v>153972</v>
      </c>
      <c r="P816">
        <v>2</v>
      </c>
      <c r="Q816" t="s">
        <v>42</v>
      </c>
      <c r="R816" s="37">
        <v>9</v>
      </c>
      <c r="S816" s="37">
        <v>6</v>
      </c>
      <c r="T816" t="s">
        <v>146</v>
      </c>
      <c r="U816" t="s">
        <v>44</v>
      </c>
      <c r="V816" t="s">
        <v>69</v>
      </c>
    </row>
    <row r="817" spans="1:22" ht="15" customHeight="1" x14ac:dyDescent="0.3">
      <c r="A817" t="s">
        <v>1419</v>
      </c>
      <c r="B817" s="20">
        <v>45773</v>
      </c>
      <c r="C817" t="s">
        <v>71</v>
      </c>
      <c r="D817" t="s">
        <v>35</v>
      </c>
      <c r="E817" s="37">
        <v>44</v>
      </c>
      <c r="F817" t="s">
        <v>86</v>
      </c>
      <c r="G817" t="s">
        <v>87</v>
      </c>
      <c r="H817" t="s">
        <v>118</v>
      </c>
      <c r="I817" t="s">
        <v>82</v>
      </c>
      <c r="J817" t="s">
        <v>137</v>
      </c>
      <c r="K817" s="37">
        <v>27</v>
      </c>
      <c r="L817" t="s">
        <v>52</v>
      </c>
      <c r="M817" s="21">
        <v>60100</v>
      </c>
      <c r="N817" s="21">
        <v>778896</v>
      </c>
      <c r="O817" s="21">
        <v>57696</v>
      </c>
      <c r="P817">
        <v>4</v>
      </c>
      <c r="Q817" t="s">
        <v>42</v>
      </c>
      <c r="R817" s="37">
        <v>11</v>
      </c>
      <c r="S817" s="37">
        <v>15</v>
      </c>
      <c r="T817" t="s">
        <v>146</v>
      </c>
      <c r="U817" t="s">
        <v>44</v>
      </c>
      <c r="V817" t="s">
        <v>69</v>
      </c>
    </row>
    <row r="818" spans="1:22" ht="15" customHeight="1" x14ac:dyDescent="0.3">
      <c r="A818" t="s">
        <v>1420</v>
      </c>
      <c r="B818" s="20">
        <v>45779</v>
      </c>
      <c r="C818" t="s">
        <v>1362</v>
      </c>
      <c r="D818" t="s">
        <v>35</v>
      </c>
      <c r="E818" s="37">
        <v>38</v>
      </c>
      <c r="F818" t="s">
        <v>108</v>
      </c>
      <c r="G818" t="s">
        <v>109</v>
      </c>
      <c r="H818" t="s">
        <v>66</v>
      </c>
      <c r="I818" t="s">
        <v>75</v>
      </c>
      <c r="J818" t="s">
        <v>149</v>
      </c>
      <c r="K818" s="37">
        <v>12</v>
      </c>
      <c r="L818" t="s">
        <v>52</v>
      </c>
      <c r="M818" s="21">
        <v>103100</v>
      </c>
      <c r="N818" s="21">
        <v>1472268</v>
      </c>
      <c r="O818" s="21">
        <v>235068</v>
      </c>
      <c r="P818">
        <v>4</v>
      </c>
      <c r="Q818" t="s">
        <v>42</v>
      </c>
      <c r="R818" s="37">
        <v>2</v>
      </c>
      <c r="S818" s="37">
        <v>14</v>
      </c>
      <c r="T818" t="s">
        <v>68</v>
      </c>
      <c r="U818" t="s">
        <v>63</v>
      </c>
      <c r="V818" t="s">
        <v>69</v>
      </c>
    </row>
    <row r="819" spans="1:22" ht="15" customHeight="1" x14ac:dyDescent="0.3">
      <c r="A819" t="s">
        <v>1421</v>
      </c>
      <c r="B819" s="20">
        <v>45724</v>
      </c>
      <c r="C819" t="s">
        <v>1422</v>
      </c>
      <c r="D819" t="s">
        <v>48</v>
      </c>
      <c r="E819" s="37">
        <v>58</v>
      </c>
      <c r="F819" t="s">
        <v>80</v>
      </c>
      <c r="G819" t="s">
        <v>81</v>
      </c>
      <c r="H819" t="s">
        <v>59</v>
      </c>
      <c r="I819" t="s">
        <v>82</v>
      </c>
      <c r="J819" t="s">
        <v>61</v>
      </c>
      <c r="K819" s="37">
        <v>24</v>
      </c>
      <c r="L819" t="s">
        <v>52</v>
      </c>
      <c r="M819" s="21">
        <v>58100</v>
      </c>
      <c r="N819" s="21">
        <v>752976</v>
      </c>
      <c r="O819" s="21">
        <v>55776</v>
      </c>
      <c r="P819">
        <v>4</v>
      </c>
      <c r="Q819" t="s">
        <v>42</v>
      </c>
      <c r="R819" s="37">
        <v>16</v>
      </c>
      <c r="S819" s="37">
        <v>36</v>
      </c>
      <c r="T819" t="s">
        <v>94</v>
      </c>
      <c r="U819" t="s">
        <v>63</v>
      </c>
      <c r="V819" t="s">
        <v>45</v>
      </c>
    </row>
    <row r="820" spans="1:22" ht="15" customHeight="1" x14ac:dyDescent="0.3">
      <c r="A820" t="s">
        <v>1423</v>
      </c>
      <c r="B820" s="20">
        <v>45942</v>
      </c>
      <c r="C820" t="s">
        <v>1424</v>
      </c>
      <c r="D820" t="s">
        <v>48</v>
      </c>
      <c r="E820" s="37">
        <v>39</v>
      </c>
      <c r="F820" t="s">
        <v>80</v>
      </c>
      <c r="G820" t="s">
        <v>81</v>
      </c>
      <c r="H820" t="s">
        <v>38</v>
      </c>
      <c r="I820" t="s">
        <v>75</v>
      </c>
      <c r="J820" t="s">
        <v>40</v>
      </c>
      <c r="K820" s="37">
        <v>22</v>
      </c>
      <c r="L820" t="s">
        <v>52</v>
      </c>
      <c r="M820" s="21">
        <v>78800</v>
      </c>
      <c r="N820" s="21">
        <v>1049616</v>
      </c>
      <c r="O820" s="21">
        <v>104016</v>
      </c>
      <c r="P820">
        <v>3</v>
      </c>
      <c r="Q820" t="s">
        <v>42</v>
      </c>
      <c r="R820" s="37">
        <v>0</v>
      </c>
      <c r="S820" s="37">
        <v>39</v>
      </c>
      <c r="T820" t="s">
        <v>105</v>
      </c>
      <c r="U820" t="s">
        <v>138</v>
      </c>
      <c r="V820" t="s">
        <v>69</v>
      </c>
    </row>
    <row r="821" spans="1:22" ht="15" customHeight="1" x14ac:dyDescent="0.3">
      <c r="A821" t="s">
        <v>1425</v>
      </c>
      <c r="B821" s="20">
        <v>45875</v>
      </c>
      <c r="C821" t="s">
        <v>1075</v>
      </c>
      <c r="D821" t="s">
        <v>35</v>
      </c>
      <c r="E821" s="37">
        <v>30</v>
      </c>
      <c r="F821" t="s">
        <v>72</v>
      </c>
      <c r="G821" t="s">
        <v>73</v>
      </c>
      <c r="H821" t="s">
        <v>66</v>
      </c>
      <c r="I821" t="s">
        <v>39</v>
      </c>
      <c r="J821" t="s">
        <v>149</v>
      </c>
      <c r="K821" s="37">
        <v>2</v>
      </c>
      <c r="L821" t="s">
        <v>52</v>
      </c>
      <c r="M821" s="21">
        <v>38700</v>
      </c>
      <c r="N821" s="21">
        <v>524772</v>
      </c>
      <c r="O821" s="21">
        <v>60372</v>
      </c>
      <c r="P821">
        <v>2</v>
      </c>
      <c r="Q821" t="s">
        <v>42</v>
      </c>
      <c r="R821" s="37">
        <v>18</v>
      </c>
      <c r="S821" s="37">
        <v>29</v>
      </c>
      <c r="T821" t="s">
        <v>129</v>
      </c>
      <c r="U821" t="s">
        <v>44</v>
      </c>
      <c r="V821" t="s">
        <v>45</v>
      </c>
    </row>
    <row r="822" spans="1:22" ht="15" customHeight="1" x14ac:dyDescent="0.3">
      <c r="A822" t="s">
        <v>1426</v>
      </c>
      <c r="B822" s="20">
        <v>45913</v>
      </c>
      <c r="C822" t="s">
        <v>1427</v>
      </c>
      <c r="D822" t="s">
        <v>35</v>
      </c>
      <c r="E822" s="37">
        <v>55</v>
      </c>
      <c r="F822" t="s">
        <v>86</v>
      </c>
      <c r="G822" t="s">
        <v>87</v>
      </c>
      <c r="H822" t="s">
        <v>66</v>
      </c>
      <c r="I822" t="s">
        <v>82</v>
      </c>
      <c r="J822" t="s">
        <v>67</v>
      </c>
      <c r="K822" s="37">
        <v>19</v>
      </c>
      <c r="L822" t="s">
        <v>52</v>
      </c>
      <c r="M822" s="21">
        <v>77600</v>
      </c>
      <c r="N822" s="21">
        <v>1015008</v>
      </c>
      <c r="O822" s="21">
        <v>83808</v>
      </c>
      <c r="P822">
        <v>5</v>
      </c>
      <c r="Q822" t="s">
        <v>42</v>
      </c>
      <c r="R822" s="37">
        <v>19</v>
      </c>
      <c r="S822" s="37">
        <v>14</v>
      </c>
      <c r="T822" t="s">
        <v>68</v>
      </c>
      <c r="U822" t="s">
        <v>63</v>
      </c>
      <c r="V822" t="s">
        <v>69</v>
      </c>
    </row>
    <row r="823" spans="1:22" ht="15" customHeight="1" x14ac:dyDescent="0.3">
      <c r="A823" t="s">
        <v>1428</v>
      </c>
      <c r="B823" s="20">
        <v>45710</v>
      </c>
      <c r="C823" t="s">
        <v>967</v>
      </c>
      <c r="D823" t="s">
        <v>48</v>
      </c>
      <c r="E823" s="37">
        <v>28</v>
      </c>
      <c r="F823" t="s">
        <v>72</v>
      </c>
      <c r="G823" t="s">
        <v>73</v>
      </c>
      <c r="H823" t="s">
        <v>38</v>
      </c>
      <c r="I823" t="s">
        <v>82</v>
      </c>
      <c r="J823" t="s">
        <v>190</v>
      </c>
      <c r="K823" s="37">
        <v>13</v>
      </c>
      <c r="L823" t="s">
        <v>52</v>
      </c>
      <c r="M823" s="21">
        <v>51700</v>
      </c>
      <c r="N823" s="21">
        <v>676236</v>
      </c>
      <c r="O823" s="21">
        <v>55836</v>
      </c>
      <c r="P823">
        <v>4</v>
      </c>
      <c r="Q823" t="s">
        <v>42</v>
      </c>
      <c r="R823" s="37">
        <v>13</v>
      </c>
      <c r="S823" s="37">
        <v>13</v>
      </c>
      <c r="T823" t="s">
        <v>62</v>
      </c>
      <c r="U823" t="s">
        <v>54</v>
      </c>
      <c r="V823" t="s">
        <v>45</v>
      </c>
    </row>
    <row r="824" spans="1:22" ht="15" customHeight="1" x14ac:dyDescent="0.3">
      <c r="A824" t="s">
        <v>1429</v>
      </c>
      <c r="B824" s="20">
        <v>45798</v>
      </c>
      <c r="C824" t="s">
        <v>429</v>
      </c>
      <c r="D824" t="s">
        <v>48</v>
      </c>
      <c r="E824" s="37">
        <v>49</v>
      </c>
      <c r="F824" t="s">
        <v>123</v>
      </c>
      <c r="G824" t="s">
        <v>124</v>
      </c>
      <c r="H824" t="s">
        <v>66</v>
      </c>
      <c r="I824" t="s">
        <v>39</v>
      </c>
      <c r="J824" t="s">
        <v>161</v>
      </c>
      <c r="K824" s="37">
        <v>15</v>
      </c>
      <c r="L824" t="s">
        <v>52</v>
      </c>
      <c r="M824" s="21">
        <v>36400</v>
      </c>
      <c r="N824" s="21">
        <v>524160</v>
      </c>
      <c r="O824" s="21">
        <v>87360</v>
      </c>
      <c r="P824">
        <v>2</v>
      </c>
      <c r="Q824" t="s">
        <v>42</v>
      </c>
      <c r="R824" s="37">
        <v>6</v>
      </c>
      <c r="S824" s="37">
        <v>12</v>
      </c>
      <c r="T824" t="s">
        <v>53</v>
      </c>
      <c r="U824" t="s">
        <v>44</v>
      </c>
      <c r="V824" t="s">
        <v>69</v>
      </c>
    </row>
    <row r="825" spans="1:22" ht="15" customHeight="1" x14ac:dyDescent="0.3">
      <c r="A825" t="s">
        <v>1430</v>
      </c>
      <c r="B825" s="20">
        <v>45895</v>
      </c>
      <c r="C825" t="s">
        <v>1431</v>
      </c>
      <c r="D825" t="s">
        <v>48</v>
      </c>
      <c r="E825" s="37">
        <v>33</v>
      </c>
      <c r="F825" t="s">
        <v>86</v>
      </c>
      <c r="G825" t="s">
        <v>87</v>
      </c>
      <c r="H825" t="s">
        <v>66</v>
      </c>
      <c r="I825" t="s">
        <v>75</v>
      </c>
      <c r="J825" t="s">
        <v>170</v>
      </c>
      <c r="K825" s="37">
        <v>27</v>
      </c>
      <c r="L825" t="s">
        <v>52</v>
      </c>
      <c r="M825" s="21">
        <v>89200</v>
      </c>
      <c r="N825" s="21">
        <v>1209552</v>
      </c>
      <c r="O825" s="21">
        <v>139152</v>
      </c>
      <c r="P825">
        <v>5</v>
      </c>
      <c r="Q825" t="s">
        <v>42</v>
      </c>
      <c r="R825" s="37">
        <v>20</v>
      </c>
      <c r="S825" s="37">
        <v>19</v>
      </c>
      <c r="T825" t="s">
        <v>68</v>
      </c>
      <c r="U825" t="s">
        <v>54</v>
      </c>
      <c r="V825" t="s">
        <v>45</v>
      </c>
    </row>
    <row r="826" spans="1:22" ht="15" customHeight="1" x14ac:dyDescent="0.3">
      <c r="A826" t="s">
        <v>1432</v>
      </c>
      <c r="B826" s="20">
        <v>45724</v>
      </c>
      <c r="C826" t="s">
        <v>1315</v>
      </c>
      <c r="D826" t="s">
        <v>48</v>
      </c>
      <c r="E826" s="37">
        <v>58</v>
      </c>
      <c r="F826" t="s">
        <v>97</v>
      </c>
      <c r="G826" t="s">
        <v>98</v>
      </c>
      <c r="H826" t="s">
        <v>38</v>
      </c>
      <c r="I826" t="s">
        <v>82</v>
      </c>
      <c r="J826" t="s">
        <v>190</v>
      </c>
      <c r="K826" s="37">
        <v>21</v>
      </c>
      <c r="L826" t="s">
        <v>120</v>
      </c>
      <c r="M826" s="21">
        <v>54900</v>
      </c>
      <c r="N826" s="21">
        <v>764208</v>
      </c>
      <c r="O826" s="21">
        <v>105408</v>
      </c>
      <c r="P826">
        <v>4</v>
      </c>
      <c r="Q826" t="s">
        <v>42</v>
      </c>
      <c r="R826" s="37">
        <v>4</v>
      </c>
      <c r="S826" s="37">
        <v>23</v>
      </c>
      <c r="T826" t="s">
        <v>94</v>
      </c>
      <c r="U826" t="s">
        <v>63</v>
      </c>
      <c r="V826" t="s">
        <v>45</v>
      </c>
    </row>
    <row r="827" spans="1:22" ht="15" customHeight="1" x14ac:dyDescent="0.3">
      <c r="A827" t="s">
        <v>1433</v>
      </c>
      <c r="B827" s="20">
        <v>45738</v>
      </c>
      <c r="C827" t="s">
        <v>184</v>
      </c>
      <c r="D827" t="s">
        <v>35</v>
      </c>
      <c r="E827" s="37">
        <v>22</v>
      </c>
      <c r="F827" t="s">
        <v>97</v>
      </c>
      <c r="G827" t="s">
        <v>98</v>
      </c>
      <c r="H827" t="s">
        <v>118</v>
      </c>
      <c r="I827" t="s">
        <v>82</v>
      </c>
      <c r="J827" t="s">
        <v>119</v>
      </c>
      <c r="K827" s="37">
        <v>11</v>
      </c>
      <c r="L827" t="s">
        <v>52</v>
      </c>
      <c r="M827" s="21">
        <v>52600</v>
      </c>
      <c r="N827" s="21">
        <v>675384</v>
      </c>
      <c r="O827" s="21">
        <v>44184</v>
      </c>
      <c r="P827">
        <v>5</v>
      </c>
      <c r="Q827" t="s">
        <v>42</v>
      </c>
      <c r="R827" s="37">
        <v>3</v>
      </c>
      <c r="S827" s="37">
        <v>35</v>
      </c>
      <c r="T827" t="s">
        <v>94</v>
      </c>
      <c r="U827" t="s">
        <v>44</v>
      </c>
      <c r="V827" t="s">
        <v>69</v>
      </c>
    </row>
    <row r="828" spans="1:22" ht="15" customHeight="1" x14ac:dyDescent="0.3">
      <c r="A828" t="s">
        <v>1434</v>
      </c>
      <c r="B828" s="20">
        <v>45755</v>
      </c>
      <c r="C828" t="s">
        <v>732</v>
      </c>
      <c r="D828" t="s">
        <v>35</v>
      </c>
      <c r="E828" s="37">
        <v>54</v>
      </c>
      <c r="F828" t="s">
        <v>80</v>
      </c>
      <c r="G828" t="s">
        <v>81</v>
      </c>
      <c r="H828" t="s">
        <v>38</v>
      </c>
      <c r="I828" t="s">
        <v>51</v>
      </c>
      <c r="J828" t="s">
        <v>110</v>
      </c>
      <c r="K828" s="37">
        <v>14</v>
      </c>
      <c r="L828" t="s">
        <v>41</v>
      </c>
      <c r="M828" s="21">
        <v>249700</v>
      </c>
      <c r="N828" s="21">
        <v>3385931</v>
      </c>
      <c r="O828" s="21">
        <v>389532</v>
      </c>
      <c r="P828">
        <v>4</v>
      </c>
      <c r="Q828" t="s">
        <v>42</v>
      </c>
      <c r="R828" s="37">
        <v>8</v>
      </c>
      <c r="S828" s="37">
        <v>28</v>
      </c>
      <c r="T828" t="s">
        <v>68</v>
      </c>
      <c r="U828" t="s">
        <v>54</v>
      </c>
      <c r="V828" t="s">
        <v>69</v>
      </c>
    </row>
    <row r="829" spans="1:22" ht="15" customHeight="1" x14ac:dyDescent="0.3">
      <c r="A829" t="s">
        <v>1435</v>
      </c>
      <c r="B829" s="20">
        <v>45964</v>
      </c>
      <c r="C829" t="s">
        <v>1436</v>
      </c>
      <c r="D829" t="s">
        <v>35</v>
      </c>
      <c r="E829" s="37">
        <v>53</v>
      </c>
      <c r="F829" t="s">
        <v>49</v>
      </c>
      <c r="G829" t="s">
        <v>50</v>
      </c>
      <c r="H829" t="s">
        <v>66</v>
      </c>
      <c r="I829" t="s">
        <v>75</v>
      </c>
      <c r="J829" t="s">
        <v>67</v>
      </c>
      <c r="K829" s="37">
        <v>10</v>
      </c>
      <c r="L829" t="s">
        <v>52</v>
      </c>
      <c r="M829" s="21">
        <v>119000</v>
      </c>
      <c r="N829" s="21">
        <v>1627920</v>
      </c>
      <c r="O829" s="21">
        <v>199920</v>
      </c>
      <c r="P829">
        <v>4</v>
      </c>
      <c r="Q829" t="s">
        <v>42</v>
      </c>
      <c r="R829" s="37">
        <v>6</v>
      </c>
      <c r="S829" s="37">
        <v>32</v>
      </c>
      <c r="T829" t="s">
        <v>175</v>
      </c>
      <c r="U829" t="s">
        <v>44</v>
      </c>
      <c r="V829" t="s">
        <v>45</v>
      </c>
    </row>
    <row r="830" spans="1:22" ht="15" customHeight="1" x14ac:dyDescent="0.3">
      <c r="A830" t="s">
        <v>1437</v>
      </c>
      <c r="B830" s="20">
        <v>45840</v>
      </c>
      <c r="C830" t="s">
        <v>461</v>
      </c>
      <c r="D830" t="s">
        <v>35</v>
      </c>
      <c r="E830" s="37">
        <v>42</v>
      </c>
      <c r="F830" t="s">
        <v>91</v>
      </c>
      <c r="G830" t="s">
        <v>92</v>
      </c>
      <c r="H830" t="s">
        <v>38</v>
      </c>
      <c r="I830" t="s">
        <v>82</v>
      </c>
      <c r="J830" t="s">
        <v>110</v>
      </c>
      <c r="K830" s="37">
        <v>10</v>
      </c>
      <c r="L830" t="s">
        <v>52</v>
      </c>
      <c r="M830" s="21">
        <v>65800</v>
      </c>
      <c r="N830" s="21">
        <v>923832</v>
      </c>
      <c r="O830" s="21">
        <v>134232</v>
      </c>
      <c r="P830">
        <v>2</v>
      </c>
      <c r="Q830" t="s">
        <v>42</v>
      </c>
      <c r="R830" s="37">
        <v>3</v>
      </c>
      <c r="S830" s="37">
        <v>7</v>
      </c>
      <c r="T830" t="s">
        <v>62</v>
      </c>
      <c r="U830" t="s">
        <v>44</v>
      </c>
      <c r="V830" t="s">
        <v>69</v>
      </c>
    </row>
    <row r="831" spans="1:22" ht="15" customHeight="1" x14ac:dyDescent="0.3">
      <c r="A831" t="s">
        <v>1438</v>
      </c>
      <c r="B831" s="20">
        <v>45712</v>
      </c>
      <c r="C831" t="s">
        <v>239</v>
      </c>
      <c r="D831" t="s">
        <v>35</v>
      </c>
      <c r="E831" s="37">
        <v>28</v>
      </c>
      <c r="F831" t="s">
        <v>72</v>
      </c>
      <c r="G831" t="s">
        <v>73</v>
      </c>
      <c r="H831" t="s">
        <v>59</v>
      </c>
      <c r="I831" t="s">
        <v>39</v>
      </c>
      <c r="J831" t="s">
        <v>141</v>
      </c>
      <c r="K831" s="37">
        <v>12</v>
      </c>
      <c r="L831" t="s">
        <v>52</v>
      </c>
      <c r="M831" s="21">
        <v>33600</v>
      </c>
      <c r="N831" s="21">
        <v>443520</v>
      </c>
      <c r="O831" s="21">
        <v>40320</v>
      </c>
      <c r="P831">
        <v>3</v>
      </c>
      <c r="Q831" t="s">
        <v>42</v>
      </c>
      <c r="R831" s="37">
        <v>20</v>
      </c>
      <c r="S831" s="37">
        <v>31</v>
      </c>
      <c r="T831" t="s">
        <v>94</v>
      </c>
      <c r="U831" t="s">
        <v>44</v>
      </c>
      <c r="V831" t="s">
        <v>69</v>
      </c>
    </row>
    <row r="832" spans="1:22" ht="15" customHeight="1" x14ac:dyDescent="0.3">
      <c r="A832" t="s">
        <v>1439</v>
      </c>
      <c r="B832" s="20">
        <v>45884</v>
      </c>
      <c r="C832" t="s">
        <v>1106</v>
      </c>
      <c r="D832" t="s">
        <v>48</v>
      </c>
      <c r="E832" s="37">
        <v>46</v>
      </c>
      <c r="F832" t="s">
        <v>72</v>
      </c>
      <c r="G832" t="s">
        <v>73</v>
      </c>
      <c r="H832" t="s">
        <v>66</v>
      </c>
      <c r="I832" t="s">
        <v>39</v>
      </c>
      <c r="J832" t="s">
        <v>149</v>
      </c>
      <c r="K832" s="37">
        <v>29</v>
      </c>
      <c r="L832" t="s">
        <v>52</v>
      </c>
      <c r="M832" s="21">
        <v>47200</v>
      </c>
      <c r="N832" s="21">
        <v>606048</v>
      </c>
      <c r="O832" s="21">
        <v>39648</v>
      </c>
      <c r="P832">
        <v>4</v>
      </c>
      <c r="Q832" t="s">
        <v>42</v>
      </c>
      <c r="R832" s="37">
        <v>2</v>
      </c>
      <c r="S832" s="37">
        <v>5</v>
      </c>
      <c r="T832" t="s">
        <v>43</v>
      </c>
      <c r="U832" t="s">
        <v>63</v>
      </c>
      <c r="V832" t="s">
        <v>45</v>
      </c>
    </row>
    <row r="833" spans="1:22" ht="15" customHeight="1" x14ac:dyDescent="0.3">
      <c r="A833" t="s">
        <v>1440</v>
      </c>
      <c r="B833" s="20">
        <v>46005</v>
      </c>
      <c r="C833" t="s">
        <v>1441</v>
      </c>
      <c r="D833" t="s">
        <v>48</v>
      </c>
      <c r="E833" s="37">
        <v>28</v>
      </c>
      <c r="F833" t="s">
        <v>97</v>
      </c>
      <c r="G833" t="s">
        <v>98</v>
      </c>
      <c r="H833" t="s">
        <v>66</v>
      </c>
      <c r="I833" t="s">
        <v>39</v>
      </c>
      <c r="J833" t="s">
        <v>161</v>
      </c>
      <c r="K833" s="37">
        <v>2</v>
      </c>
      <c r="L833" t="s">
        <v>52</v>
      </c>
      <c r="M833" s="21">
        <v>48100</v>
      </c>
      <c r="N833" s="21">
        <v>681096</v>
      </c>
      <c r="O833" s="21">
        <v>103896</v>
      </c>
      <c r="P833">
        <v>2</v>
      </c>
      <c r="Q833" t="s">
        <v>42</v>
      </c>
      <c r="R833" s="37">
        <v>3</v>
      </c>
      <c r="S833" s="37">
        <v>5</v>
      </c>
      <c r="T833" t="s">
        <v>43</v>
      </c>
      <c r="U833" t="s">
        <v>44</v>
      </c>
      <c r="V833" t="s">
        <v>45</v>
      </c>
    </row>
    <row r="834" spans="1:22" ht="15" customHeight="1" x14ac:dyDescent="0.3">
      <c r="A834" t="s">
        <v>1442</v>
      </c>
      <c r="B834" s="20">
        <v>45839</v>
      </c>
      <c r="C834" t="s">
        <v>999</v>
      </c>
      <c r="D834" t="s">
        <v>35</v>
      </c>
      <c r="E834" s="37">
        <v>31</v>
      </c>
      <c r="F834" t="s">
        <v>36</v>
      </c>
      <c r="G834" t="s">
        <v>37</v>
      </c>
      <c r="H834" t="s">
        <v>66</v>
      </c>
      <c r="I834" t="s">
        <v>39</v>
      </c>
      <c r="J834" t="s">
        <v>93</v>
      </c>
      <c r="K834" s="37">
        <v>5</v>
      </c>
      <c r="L834" t="s">
        <v>52</v>
      </c>
      <c r="M834" s="21">
        <v>41300</v>
      </c>
      <c r="N834" s="21">
        <v>545160</v>
      </c>
      <c r="O834" s="21">
        <v>49560</v>
      </c>
      <c r="P834">
        <v>3</v>
      </c>
      <c r="Q834" t="s">
        <v>42</v>
      </c>
      <c r="R834" s="37">
        <v>9</v>
      </c>
      <c r="S834" s="37">
        <v>34</v>
      </c>
      <c r="T834" t="s">
        <v>94</v>
      </c>
      <c r="U834" t="s">
        <v>54</v>
      </c>
      <c r="V834" t="s">
        <v>69</v>
      </c>
    </row>
    <row r="835" spans="1:22" ht="15" customHeight="1" x14ac:dyDescent="0.3">
      <c r="A835" t="s">
        <v>1443</v>
      </c>
      <c r="B835" s="20">
        <v>45662</v>
      </c>
      <c r="C835" t="s">
        <v>1444</v>
      </c>
      <c r="D835" t="s">
        <v>48</v>
      </c>
      <c r="E835" s="37">
        <v>29</v>
      </c>
      <c r="F835" t="s">
        <v>80</v>
      </c>
      <c r="G835" t="s">
        <v>81</v>
      </c>
      <c r="H835" t="s">
        <v>74</v>
      </c>
      <c r="I835" t="s">
        <v>39</v>
      </c>
      <c r="J835" t="s">
        <v>76</v>
      </c>
      <c r="K835" s="37">
        <v>14</v>
      </c>
      <c r="L835" t="s">
        <v>52</v>
      </c>
      <c r="M835" s="21">
        <v>36200</v>
      </c>
      <c r="N835" s="21">
        <v>508247</v>
      </c>
      <c r="O835" s="21">
        <v>73848</v>
      </c>
      <c r="P835">
        <v>4</v>
      </c>
      <c r="Q835" t="s">
        <v>42</v>
      </c>
      <c r="R835" s="37">
        <v>16</v>
      </c>
      <c r="S835" s="37">
        <v>13</v>
      </c>
      <c r="T835" t="s">
        <v>175</v>
      </c>
      <c r="U835" t="s">
        <v>44</v>
      </c>
      <c r="V835" t="s">
        <v>45</v>
      </c>
    </row>
    <row r="836" spans="1:22" ht="15" customHeight="1" x14ac:dyDescent="0.3">
      <c r="A836" t="s">
        <v>1445</v>
      </c>
      <c r="B836" s="20">
        <v>45691</v>
      </c>
      <c r="C836" t="s">
        <v>1446</v>
      </c>
      <c r="D836" t="s">
        <v>35</v>
      </c>
      <c r="E836" s="37">
        <v>27</v>
      </c>
      <c r="F836" t="s">
        <v>91</v>
      </c>
      <c r="G836" t="s">
        <v>92</v>
      </c>
      <c r="H836" t="s">
        <v>118</v>
      </c>
      <c r="I836" t="s">
        <v>51</v>
      </c>
      <c r="J836" t="s">
        <v>119</v>
      </c>
      <c r="K836" s="37">
        <v>18</v>
      </c>
      <c r="L836" t="s">
        <v>52</v>
      </c>
      <c r="M836" s="21">
        <v>223800</v>
      </c>
      <c r="N836" s="21">
        <v>2927304</v>
      </c>
      <c r="O836" s="21">
        <v>241704</v>
      </c>
      <c r="P836">
        <v>4</v>
      </c>
      <c r="Q836" t="s">
        <v>42</v>
      </c>
      <c r="R836" s="37">
        <v>12</v>
      </c>
      <c r="S836" s="37">
        <v>30</v>
      </c>
      <c r="T836" t="s">
        <v>77</v>
      </c>
      <c r="U836" t="s">
        <v>63</v>
      </c>
      <c r="V836" t="s">
        <v>69</v>
      </c>
    </row>
    <row r="837" spans="1:22" ht="15" customHeight="1" x14ac:dyDescent="0.3">
      <c r="A837" t="s">
        <v>1447</v>
      </c>
      <c r="B837" s="20">
        <v>46010</v>
      </c>
      <c r="C837" t="s">
        <v>674</v>
      </c>
      <c r="D837" t="s">
        <v>35</v>
      </c>
      <c r="E837" s="37">
        <v>25</v>
      </c>
      <c r="F837" t="s">
        <v>80</v>
      </c>
      <c r="G837" t="s">
        <v>81</v>
      </c>
      <c r="H837" t="s">
        <v>59</v>
      </c>
      <c r="I837" t="s">
        <v>75</v>
      </c>
      <c r="J837" t="s">
        <v>104</v>
      </c>
      <c r="K837" s="37">
        <v>30</v>
      </c>
      <c r="L837" t="s">
        <v>52</v>
      </c>
      <c r="M837" s="21">
        <v>89900</v>
      </c>
      <c r="N837" s="21">
        <v>1186680</v>
      </c>
      <c r="O837" s="21">
        <v>107880</v>
      </c>
      <c r="P837">
        <v>5</v>
      </c>
      <c r="Q837" t="s">
        <v>42</v>
      </c>
      <c r="R837" s="37">
        <v>15</v>
      </c>
      <c r="S837" s="37">
        <v>4</v>
      </c>
      <c r="T837" t="s">
        <v>94</v>
      </c>
      <c r="U837" t="s">
        <v>44</v>
      </c>
      <c r="V837" t="s">
        <v>69</v>
      </c>
    </row>
    <row r="838" spans="1:22" ht="15" customHeight="1" x14ac:dyDescent="0.3">
      <c r="A838" t="s">
        <v>1448</v>
      </c>
      <c r="B838" s="20">
        <v>45816</v>
      </c>
      <c r="C838" t="s">
        <v>1194</v>
      </c>
      <c r="D838" t="s">
        <v>35</v>
      </c>
      <c r="E838" s="37">
        <v>23</v>
      </c>
      <c r="F838" t="s">
        <v>57</v>
      </c>
      <c r="G838" t="s">
        <v>58</v>
      </c>
      <c r="H838" t="s">
        <v>38</v>
      </c>
      <c r="I838" t="s">
        <v>75</v>
      </c>
      <c r="J838" t="s">
        <v>99</v>
      </c>
      <c r="K838" s="37">
        <v>30</v>
      </c>
      <c r="L838" t="s">
        <v>52</v>
      </c>
      <c r="M838" s="21">
        <v>79100</v>
      </c>
      <c r="N838" s="21">
        <v>1072596</v>
      </c>
      <c r="O838" s="21">
        <v>123396</v>
      </c>
      <c r="P838">
        <v>3</v>
      </c>
      <c r="Q838" t="s">
        <v>42</v>
      </c>
      <c r="R838" s="37">
        <v>2</v>
      </c>
      <c r="S838" s="37">
        <v>29</v>
      </c>
      <c r="T838" t="s">
        <v>77</v>
      </c>
      <c r="U838" t="s">
        <v>54</v>
      </c>
      <c r="V838" t="s">
        <v>69</v>
      </c>
    </row>
    <row r="839" spans="1:22" ht="15" customHeight="1" x14ac:dyDescent="0.3">
      <c r="A839" t="s">
        <v>1449</v>
      </c>
      <c r="B839" s="20">
        <v>45956</v>
      </c>
      <c r="C839" t="s">
        <v>1022</v>
      </c>
      <c r="D839" t="s">
        <v>48</v>
      </c>
      <c r="E839" s="37">
        <v>52</v>
      </c>
      <c r="F839" t="s">
        <v>123</v>
      </c>
      <c r="G839" t="s">
        <v>124</v>
      </c>
      <c r="H839" t="s">
        <v>66</v>
      </c>
      <c r="I839" t="s">
        <v>75</v>
      </c>
      <c r="J839" t="s">
        <v>67</v>
      </c>
      <c r="K839" s="37">
        <v>18</v>
      </c>
      <c r="L839" t="s">
        <v>52</v>
      </c>
      <c r="M839" s="21">
        <v>86500</v>
      </c>
      <c r="N839" s="21">
        <v>1235220</v>
      </c>
      <c r="O839" s="21">
        <v>197220</v>
      </c>
      <c r="P839">
        <v>4</v>
      </c>
      <c r="Q839" t="s">
        <v>42</v>
      </c>
      <c r="R839" s="37">
        <v>20</v>
      </c>
      <c r="S839" s="37">
        <v>13</v>
      </c>
      <c r="T839" t="s">
        <v>77</v>
      </c>
      <c r="U839" t="s">
        <v>44</v>
      </c>
      <c r="V839" t="s">
        <v>69</v>
      </c>
    </row>
    <row r="840" spans="1:22" ht="15" customHeight="1" x14ac:dyDescent="0.3">
      <c r="A840" t="s">
        <v>1450</v>
      </c>
      <c r="B840" s="20">
        <v>45726</v>
      </c>
      <c r="C840" t="s">
        <v>1451</v>
      </c>
      <c r="D840" t="s">
        <v>48</v>
      </c>
      <c r="E840" s="37">
        <v>36</v>
      </c>
      <c r="F840" t="s">
        <v>91</v>
      </c>
      <c r="G840" t="s">
        <v>92</v>
      </c>
      <c r="H840" t="s">
        <v>118</v>
      </c>
      <c r="I840" t="s">
        <v>39</v>
      </c>
      <c r="J840" t="s">
        <v>137</v>
      </c>
      <c r="K840" s="37">
        <v>19</v>
      </c>
      <c r="L840" t="s">
        <v>52</v>
      </c>
      <c r="M840" s="21">
        <v>32900</v>
      </c>
      <c r="N840" s="21">
        <v>461916</v>
      </c>
      <c r="O840" s="21">
        <v>67116</v>
      </c>
      <c r="P840">
        <v>5</v>
      </c>
      <c r="Q840" t="s">
        <v>42</v>
      </c>
      <c r="R840" s="37">
        <v>20</v>
      </c>
      <c r="S840" s="37">
        <v>19</v>
      </c>
      <c r="T840" t="s">
        <v>105</v>
      </c>
      <c r="U840" t="s">
        <v>54</v>
      </c>
      <c r="V840" t="s">
        <v>45</v>
      </c>
    </row>
    <row r="841" spans="1:22" ht="15" customHeight="1" x14ac:dyDescent="0.3">
      <c r="A841" t="s">
        <v>1452</v>
      </c>
      <c r="B841" s="20">
        <v>45678</v>
      </c>
      <c r="C841" t="s">
        <v>1453</v>
      </c>
      <c r="D841" t="s">
        <v>48</v>
      </c>
      <c r="E841" s="37">
        <v>37</v>
      </c>
      <c r="F841" t="s">
        <v>36</v>
      </c>
      <c r="G841" t="s">
        <v>37</v>
      </c>
      <c r="H841" t="s">
        <v>118</v>
      </c>
      <c r="I841" t="s">
        <v>82</v>
      </c>
      <c r="J841" t="s">
        <v>182</v>
      </c>
      <c r="K841" s="37">
        <v>0</v>
      </c>
      <c r="L841" t="s">
        <v>120</v>
      </c>
      <c r="M841" s="21">
        <v>47600</v>
      </c>
      <c r="N841" s="21">
        <v>616896</v>
      </c>
      <c r="O841" s="21">
        <v>45696</v>
      </c>
      <c r="P841">
        <v>4</v>
      </c>
      <c r="Q841" t="s">
        <v>42</v>
      </c>
      <c r="R841" s="37">
        <v>16</v>
      </c>
      <c r="S841" s="37">
        <v>15</v>
      </c>
      <c r="T841" t="s">
        <v>105</v>
      </c>
      <c r="U841" t="s">
        <v>63</v>
      </c>
      <c r="V841" t="s">
        <v>69</v>
      </c>
    </row>
    <row r="842" spans="1:22" ht="15" customHeight="1" x14ac:dyDescent="0.3">
      <c r="A842" t="s">
        <v>1454</v>
      </c>
      <c r="B842" s="20">
        <v>45823</v>
      </c>
      <c r="C842" t="s">
        <v>1455</v>
      </c>
      <c r="D842" t="s">
        <v>48</v>
      </c>
      <c r="E842" s="37">
        <v>30</v>
      </c>
      <c r="F842" t="s">
        <v>49</v>
      </c>
      <c r="G842" t="s">
        <v>50</v>
      </c>
      <c r="H842" t="s">
        <v>59</v>
      </c>
      <c r="I842" t="s">
        <v>75</v>
      </c>
      <c r="J842" t="s">
        <v>125</v>
      </c>
      <c r="K842" s="37">
        <v>19</v>
      </c>
      <c r="L842" t="s">
        <v>41</v>
      </c>
      <c r="M842" s="21">
        <v>95700</v>
      </c>
      <c r="N842" s="21">
        <v>1263240</v>
      </c>
      <c r="O842" s="21">
        <v>114840</v>
      </c>
      <c r="P842">
        <v>3</v>
      </c>
      <c r="Q842" t="s">
        <v>126</v>
      </c>
      <c r="R842" s="37">
        <v>10</v>
      </c>
      <c r="S842" s="37">
        <v>27</v>
      </c>
      <c r="T842" t="s">
        <v>105</v>
      </c>
      <c r="U842" t="s">
        <v>44</v>
      </c>
      <c r="V842" t="s">
        <v>69</v>
      </c>
    </row>
    <row r="843" spans="1:22" ht="15" customHeight="1" x14ac:dyDescent="0.3">
      <c r="A843" t="s">
        <v>1456</v>
      </c>
      <c r="B843" s="20">
        <v>45799</v>
      </c>
      <c r="C843" t="s">
        <v>1457</v>
      </c>
      <c r="D843" t="s">
        <v>48</v>
      </c>
      <c r="E843" s="37">
        <v>38</v>
      </c>
      <c r="F843" t="s">
        <v>86</v>
      </c>
      <c r="G843" t="s">
        <v>87</v>
      </c>
      <c r="H843" t="s">
        <v>59</v>
      </c>
      <c r="I843" t="s">
        <v>82</v>
      </c>
      <c r="J843" t="s">
        <v>141</v>
      </c>
      <c r="K843" s="37">
        <v>20</v>
      </c>
      <c r="L843" t="s">
        <v>120</v>
      </c>
      <c r="M843" s="21">
        <v>60100</v>
      </c>
      <c r="N843" s="21">
        <v>858228</v>
      </c>
      <c r="O843" s="21">
        <v>137028</v>
      </c>
      <c r="P843">
        <v>3</v>
      </c>
      <c r="Q843" t="s">
        <v>42</v>
      </c>
      <c r="R843" s="37">
        <v>0</v>
      </c>
      <c r="S843" s="37">
        <v>20</v>
      </c>
      <c r="T843" t="s">
        <v>94</v>
      </c>
      <c r="U843" t="s">
        <v>54</v>
      </c>
      <c r="V843" t="s">
        <v>69</v>
      </c>
    </row>
    <row r="844" spans="1:22" ht="15" customHeight="1" x14ac:dyDescent="0.3">
      <c r="A844" t="s">
        <v>1458</v>
      </c>
      <c r="B844" s="20">
        <v>45714</v>
      </c>
      <c r="C844" t="s">
        <v>563</v>
      </c>
      <c r="D844" t="s">
        <v>35</v>
      </c>
      <c r="E844" s="37">
        <v>31</v>
      </c>
      <c r="F844" t="s">
        <v>123</v>
      </c>
      <c r="G844" t="s">
        <v>124</v>
      </c>
      <c r="H844" t="s">
        <v>59</v>
      </c>
      <c r="I844" t="s">
        <v>39</v>
      </c>
      <c r="J844" t="s">
        <v>88</v>
      </c>
      <c r="K844" s="37">
        <v>28</v>
      </c>
      <c r="L844" t="s">
        <v>52</v>
      </c>
      <c r="M844" s="21">
        <v>38000</v>
      </c>
      <c r="N844" s="21">
        <v>501600</v>
      </c>
      <c r="O844" s="21">
        <v>45600</v>
      </c>
      <c r="P844">
        <v>4</v>
      </c>
      <c r="Q844" t="s">
        <v>42</v>
      </c>
      <c r="R844" s="37">
        <v>4</v>
      </c>
      <c r="S844" s="37">
        <v>40</v>
      </c>
      <c r="T844" t="s">
        <v>53</v>
      </c>
      <c r="U844" t="s">
        <v>44</v>
      </c>
      <c r="V844" t="s">
        <v>45</v>
      </c>
    </row>
    <row r="845" spans="1:22" ht="15" customHeight="1" x14ac:dyDescent="0.3">
      <c r="A845" t="s">
        <v>1459</v>
      </c>
      <c r="B845" s="20">
        <v>45705</v>
      </c>
      <c r="C845" t="s">
        <v>755</v>
      </c>
      <c r="D845" t="s">
        <v>48</v>
      </c>
      <c r="E845" s="37">
        <v>50</v>
      </c>
      <c r="F845" t="s">
        <v>108</v>
      </c>
      <c r="G845" t="s">
        <v>109</v>
      </c>
      <c r="H845" t="s">
        <v>59</v>
      </c>
      <c r="I845" t="s">
        <v>39</v>
      </c>
      <c r="J845" t="s">
        <v>61</v>
      </c>
      <c r="K845" s="37">
        <v>9</v>
      </c>
      <c r="L845" t="s">
        <v>52</v>
      </c>
      <c r="M845" s="21">
        <v>38100</v>
      </c>
      <c r="N845" s="21">
        <v>480060</v>
      </c>
      <c r="O845" s="21">
        <v>22860</v>
      </c>
      <c r="P845">
        <v>3</v>
      </c>
      <c r="Q845" t="s">
        <v>42</v>
      </c>
      <c r="R845" s="37">
        <v>6</v>
      </c>
      <c r="S845" s="37">
        <v>35</v>
      </c>
      <c r="T845" t="s">
        <v>129</v>
      </c>
      <c r="U845" t="s">
        <v>44</v>
      </c>
      <c r="V845" t="s">
        <v>45</v>
      </c>
    </row>
    <row r="846" spans="1:22" ht="15" customHeight="1" x14ac:dyDescent="0.3">
      <c r="A846" t="s">
        <v>1460</v>
      </c>
      <c r="B846" s="20">
        <v>45895</v>
      </c>
      <c r="C846" t="s">
        <v>1461</v>
      </c>
      <c r="D846" t="s">
        <v>35</v>
      </c>
      <c r="E846" s="37">
        <v>33</v>
      </c>
      <c r="F846" t="s">
        <v>91</v>
      </c>
      <c r="G846" t="s">
        <v>92</v>
      </c>
      <c r="H846" t="s">
        <v>38</v>
      </c>
      <c r="I846" t="s">
        <v>82</v>
      </c>
      <c r="J846" t="s">
        <v>99</v>
      </c>
      <c r="K846" s="37">
        <v>16</v>
      </c>
      <c r="L846" t="s">
        <v>52</v>
      </c>
      <c r="M846" s="21">
        <v>66800</v>
      </c>
      <c r="N846" s="21">
        <v>897792</v>
      </c>
      <c r="O846" s="21">
        <v>96192</v>
      </c>
      <c r="P846">
        <v>3</v>
      </c>
      <c r="Q846" t="s">
        <v>42</v>
      </c>
      <c r="R846" s="37">
        <v>15</v>
      </c>
      <c r="S846" s="37">
        <v>24</v>
      </c>
      <c r="T846" t="s">
        <v>77</v>
      </c>
      <c r="U846" t="s">
        <v>63</v>
      </c>
      <c r="V846" t="s">
        <v>69</v>
      </c>
    </row>
    <row r="847" spans="1:22" ht="15" customHeight="1" x14ac:dyDescent="0.3">
      <c r="A847" t="s">
        <v>1462</v>
      </c>
      <c r="B847" s="20">
        <v>45914</v>
      </c>
      <c r="C847" t="s">
        <v>1463</v>
      </c>
      <c r="D847" t="s">
        <v>35</v>
      </c>
      <c r="E847" s="37">
        <v>35</v>
      </c>
      <c r="F847" t="s">
        <v>36</v>
      </c>
      <c r="G847" t="s">
        <v>37</v>
      </c>
      <c r="H847" t="s">
        <v>74</v>
      </c>
      <c r="I847" t="s">
        <v>82</v>
      </c>
      <c r="J847" t="s">
        <v>367</v>
      </c>
      <c r="K847" s="37">
        <v>18</v>
      </c>
      <c r="L847" t="s">
        <v>52</v>
      </c>
      <c r="M847" s="21">
        <v>61100</v>
      </c>
      <c r="N847" s="21">
        <v>777192</v>
      </c>
      <c r="O847" s="21">
        <v>43992</v>
      </c>
      <c r="P847">
        <v>4</v>
      </c>
      <c r="Q847" t="s">
        <v>126</v>
      </c>
      <c r="R847" s="37">
        <v>5</v>
      </c>
      <c r="S847" s="37">
        <v>37</v>
      </c>
      <c r="T847" t="s">
        <v>68</v>
      </c>
      <c r="U847" t="s">
        <v>44</v>
      </c>
      <c r="V847" t="s">
        <v>45</v>
      </c>
    </row>
    <row r="848" spans="1:22" ht="15" customHeight="1" x14ac:dyDescent="0.3">
      <c r="A848" t="s">
        <v>1464</v>
      </c>
      <c r="B848" s="20">
        <v>45691</v>
      </c>
      <c r="C848" t="s">
        <v>1427</v>
      </c>
      <c r="D848" t="s">
        <v>35</v>
      </c>
      <c r="E848" s="37">
        <v>29</v>
      </c>
      <c r="F848" t="s">
        <v>80</v>
      </c>
      <c r="G848" t="s">
        <v>81</v>
      </c>
      <c r="H848" t="s">
        <v>38</v>
      </c>
      <c r="I848" t="s">
        <v>60</v>
      </c>
      <c r="J848" t="s">
        <v>190</v>
      </c>
      <c r="K848" s="37">
        <v>13</v>
      </c>
      <c r="L848" t="s">
        <v>52</v>
      </c>
      <c r="M848" s="21">
        <v>118100</v>
      </c>
      <c r="N848" s="21">
        <v>1587264</v>
      </c>
      <c r="O848" s="21">
        <v>170064</v>
      </c>
      <c r="P848">
        <v>4</v>
      </c>
      <c r="Q848" t="s">
        <v>42</v>
      </c>
      <c r="R848" s="37">
        <v>20</v>
      </c>
      <c r="S848" s="37">
        <v>14</v>
      </c>
      <c r="T848" t="s">
        <v>175</v>
      </c>
      <c r="U848" t="s">
        <v>44</v>
      </c>
      <c r="V848" t="s">
        <v>69</v>
      </c>
    </row>
    <row r="849" spans="1:22" ht="15" customHeight="1" x14ac:dyDescent="0.3">
      <c r="A849" t="s">
        <v>1465</v>
      </c>
      <c r="B849" s="20">
        <v>45971</v>
      </c>
      <c r="C849" t="s">
        <v>753</v>
      </c>
      <c r="D849" t="s">
        <v>35</v>
      </c>
      <c r="E849" s="37">
        <v>54</v>
      </c>
      <c r="F849" t="s">
        <v>91</v>
      </c>
      <c r="G849" t="s">
        <v>92</v>
      </c>
      <c r="H849" t="s">
        <v>74</v>
      </c>
      <c r="I849" t="s">
        <v>82</v>
      </c>
      <c r="J849" t="s">
        <v>83</v>
      </c>
      <c r="K849" s="37">
        <v>16</v>
      </c>
      <c r="L849" t="s">
        <v>52</v>
      </c>
      <c r="M849" s="21">
        <v>56400</v>
      </c>
      <c r="N849" s="21">
        <v>758016</v>
      </c>
      <c r="O849" s="21">
        <v>81216</v>
      </c>
      <c r="P849">
        <v>5</v>
      </c>
      <c r="Q849" t="s">
        <v>126</v>
      </c>
      <c r="R849" s="37">
        <v>20</v>
      </c>
      <c r="S849" s="37">
        <v>39</v>
      </c>
      <c r="T849" t="s">
        <v>129</v>
      </c>
      <c r="U849" t="s">
        <v>63</v>
      </c>
      <c r="V849" t="s">
        <v>69</v>
      </c>
    </row>
    <row r="850" spans="1:22" ht="15" customHeight="1" x14ac:dyDescent="0.3">
      <c r="A850" t="s">
        <v>1466</v>
      </c>
      <c r="B850" s="20">
        <v>45893</v>
      </c>
      <c r="C850" t="s">
        <v>1467</v>
      </c>
      <c r="D850" t="s">
        <v>48</v>
      </c>
      <c r="E850" s="37">
        <v>43</v>
      </c>
      <c r="F850" t="s">
        <v>57</v>
      </c>
      <c r="G850" t="s">
        <v>58</v>
      </c>
      <c r="H850" t="s">
        <v>38</v>
      </c>
      <c r="I850" t="s">
        <v>82</v>
      </c>
      <c r="J850" t="s">
        <v>134</v>
      </c>
      <c r="K850" s="37">
        <v>6</v>
      </c>
      <c r="L850" t="s">
        <v>120</v>
      </c>
      <c r="M850" s="21">
        <v>52200</v>
      </c>
      <c r="N850" s="21">
        <v>726624</v>
      </c>
      <c r="O850" s="21">
        <v>100224</v>
      </c>
      <c r="P850">
        <v>3</v>
      </c>
      <c r="Q850" t="s">
        <v>42</v>
      </c>
      <c r="R850" s="37">
        <v>6</v>
      </c>
      <c r="S850" s="37">
        <v>6</v>
      </c>
      <c r="T850" t="s">
        <v>68</v>
      </c>
      <c r="U850" t="s">
        <v>44</v>
      </c>
      <c r="V850" t="s">
        <v>45</v>
      </c>
    </row>
    <row r="851" spans="1:22" ht="15" customHeight="1" x14ac:dyDescent="0.3">
      <c r="A851" t="s">
        <v>1468</v>
      </c>
      <c r="B851" s="20">
        <v>45722</v>
      </c>
      <c r="C851" t="s">
        <v>518</v>
      </c>
      <c r="D851" t="s">
        <v>48</v>
      </c>
      <c r="E851" s="37">
        <v>27</v>
      </c>
      <c r="F851" t="s">
        <v>91</v>
      </c>
      <c r="G851" t="s">
        <v>92</v>
      </c>
      <c r="H851" t="s">
        <v>38</v>
      </c>
      <c r="I851" t="s">
        <v>82</v>
      </c>
      <c r="J851" t="s">
        <v>40</v>
      </c>
      <c r="K851" s="37">
        <v>16</v>
      </c>
      <c r="L851" t="s">
        <v>52</v>
      </c>
      <c r="M851" s="21">
        <v>62300</v>
      </c>
      <c r="N851" s="21">
        <v>889644</v>
      </c>
      <c r="O851" s="21">
        <v>142044</v>
      </c>
      <c r="P851">
        <v>4</v>
      </c>
      <c r="Q851" t="s">
        <v>42</v>
      </c>
      <c r="R851" s="37">
        <v>3</v>
      </c>
      <c r="S851" s="37">
        <v>35</v>
      </c>
      <c r="T851" t="s">
        <v>62</v>
      </c>
      <c r="U851" t="s">
        <v>44</v>
      </c>
      <c r="V851" t="s">
        <v>45</v>
      </c>
    </row>
    <row r="852" spans="1:22" ht="15" customHeight="1" x14ac:dyDescent="0.3">
      <c r="A852" t="s">
        <v>1469</v>
      </c>
      <c r="B852" s="20">
        <v>45950</v>
      </c>
      <c r="C852" t="s">
        <v>1470</v>
      </c>
      <c r="D852" t="s">
        <v>48</v>
      </c>
      <c r="E852" s="37">
        <v>29</v>
      </c>
      <c r="F852" t="s">
        <v>108</v>
      </c>
      <c r="G852" t="s">
        <v>109</v>
      </c>
      <c r="H852" t="s">
        <v>66</v>
      </c>
      <c r="I852" t="s">
        <v>82</v>
      </c>
      <c r="J852" t="s">
        <v>170</v>
      </c>
      <c r="K852" s="37">
        <v>23</v>
      </c>
      <c r="L852" t="s">
        <v>41</v>
      </c>
      <c r="M852" s="21">
        <v>65600</v>
      </c>
      <c r="N852" s="21">
        <v>905279</v>
      </c>
      <c r="O852" s="21">
        <v>118080</v>
      </c>
      <c r="P852">
        <v>4</v>
      </c>
      <c r="Q852" t="s">
        <v>42</v>
      </c>
      <c r="R852" s="37">
        <v>12</v>
      </c>
      <c r="S852" s="37">
        <v>40</v>
      </c>
      <c r="T852" t="s">
        <v>62</v>
      </c>
      <c r="U852" t="s">
        <v>63</v>
      </c>
      <c r="V852" t="s">
        <v>69</v>
      </c>
    </row>
    <row r="853" spans="1:22" ht="15" customHeight="1" x14ac:dyDescent="0.3">
      <c r="A853" t="s">
        <v>1471</v>
      </c>
      <c r="B853" s="20">
        <v>45856</v>
      </c>
      <c r="C853" t="s">
        <v>443</v>
      </c>
      <c r="D853" t="s">
        <v>35</v>
      </c>
      <c r="E853" s="37">
        <v>38</v>
      </c>
      <c r="F853" t="s">
        <v>49</v>
      </c>
      <c r="G853" t="s">
        <v>50</v>
      </c>
      <c r="H853" t="s">
        <v>66</v>
      </c>
      <c r="I853" t="s">
        <v>39</v>
      </c>
      <c r="J853" t="s">
        <v>93</v>
      </c>
      <c r="K853" s="37">
        <v>8</v>
      </c>
      <c r="L853" t="s">
        <v>52</v>
      </c>
      <c r="M853" s="21">
        <v>37800</v>
      </c>
      <c r="N853" s="21">
        <v>539784</v>
      </c>
      <c r="O853" s="21">
        <v>86184</v>
      </c>
      <c r="P853">
        <v>4</v>
      </c>
      <c r="Q853" t="s">
        <v>42</v>
      </c>
      <c r="R853" s="37">
        <v>7</v>
      </c>
      <c r="S853" s="37">
        <v>22</v>
      </c>
      <c r="T853" t="s">
        <v>175</v>
      </c>
      <c r="U853" t="s">
        <v>138</v>
      </c>
      <c r="V853" t="s">
        <v>45</v>
      </c>
    </row>
    <row r="854" spans="1:22" ht="15" customHeight="1" x14ac:dyDescent="0.3">
      <c r="A854" t="s">
        <v>1472</v>
      </c>
      <c r="B854" s="20">
        <v>45887</v>
      </c>
      <c r="C854" t="s">
        <v>1473</v>
      </c>
      <c r="D854" t="s">
        <v>48</v>
      </c>
      <c r="E854" s="37">
        <v>31</v>
      </c>
      <c r="F854" t="s">
        <v>49</v>
      </c>
      <c r="G854" t="s">
        <v>50</v>
      </c>
      <c r="H854" t="s">
        <v>59</v>
      </c>
      <c r="I854" t="s">
        <v>39</v>
      </c>
      <c r="J854" t="s">
        <v>104</v>
      </c>
      <c r="K854" s="37">
        <v>1</v>
      </c>
      <c r="L854" t="s">
        <v>41</v>
      </c>
      <c r="M854" s="21">
        <v>31700</v>
      </c>
      <c r="N854" s="21">
        <v>422244</v>
      </c>
      <c r="O854" s="21">
        <v>41844</v>
      </c>
      <c r="P854">
        <v>4</v>
      </c>
      <c r="Q854" t="s">
        <v>42</v>
      </c>
      <c r="R854" s="37">
        <v>7</v>
      </c>
      <c r="S854" s="37">
        <v>1</v>
      </c>
      <c r="T854" t="s">
        <v>77</v>
      </c>
      <c r="U854" t="s">
        <v>138</v>
      </c>
      <c r="V854" t="s">
        <v>45</v>
      </c>
    </row>
    <row r="855" spans="1:22" ht="15" customHeight="1" x14ac:dyDescent="0.3">
      <c r="A855" t="s">
        <v>1474</v>
      </c>
      <c r="B855" s="20">
        <v>45887</v>
      </c>
      <c r="C855" t="s">
        <v>972</v>
      </c>
      <c r="D855" t="s">
        <v>35</v>
      </c>
      <c r="E855" s="37">
        <v>30</v>
      </c>
      <c r="F855" t="s">
        <v>91</v>
      </c>
      <c r="G855" t="s">
        <v>92</v>
      </c>
      <c r="H855" t="s">
        <v>66</v>
      </c>
      <c r="I855" t="s">
        <v>75</v>
      </c>
      <c r="J855" t="s">
        <v>67</v>
      </c>
      <c r="K855" s="37">
        <v>7</v>
      </c>
      <c r="L855" t="s">
        <v>52</v>
      </c>
      <c r="M855" s="21">
        <v>94900</v>
      </c>
      <c r="N855" s="21">
        <v>1298232</v>
      </c>
      <c r="O855" s="21">
        <v>159432</v>
      </c>
      <c r="P855">
        <v>3</v>
      </c>
      <c r="Q855" t="s">
        <v>42</v>
      </c>
      <c r="R855" s="37">
        <v>14</v>
      </c>
      <c r="S855" s="37">
        <v>18</v>
      </c>
      <c r="T855" t="s">
        <v>105</v>
      </c>
      <c r="U855" t="s">
        <v>54</v>
      </c>
      <c r="V855" t="s">
        <v>45</v>
      </c>
    </row>
    <row r="856" spans="1:22" ht="15" customHeight="1" x14ac:dyDescent="0.3">
      <c r="A856" t="s">
        <v>1475</v>
      </c>
      <c r="B856" s="20">
        <v>45702</v>
      </c>
      <c r="C856" t="s">
        <v>753</v>
      </c>
      <c r="D856" t="s">
        <v>35</v>
      </c>
      <c r="E856" s="37">
        <v>45</v>
      </c>
      <c r="F856" t="s">
        <v>91</v>
      </c>
      <c r="G856" t="s">
        <v>92</v>
      </c>
      <c r="H856" t="s">
        <v>66</v>
      </c>
      <c r="I856" t="s">
        <v>75</v>
      </c>
      <c r="J856" t="s">
        <v>149</v>
      </c>
      <c r="K856" s="37">
        <v>10</v>
      </c>
      <c r="L856" t="s">
        <v>52</v>
      </c>
      <c r="M856" s="21">
        <v>103700</v>
      </c>
      <c r="N856" s="21">
        <v>1356396</v>
      </c>
      <c r="O856" s="21">
        <v>111996</v>
      </c>
      <c r="P856">
        <v>4</v>
      </c>
      <c r="Q856" t="s">
        <v>42</v>
      </c>
      <c r="R856" s="37">
        <v>10</v>
      </c>
      <c r="S856" s="37">
        <v>8</v>
      </c>
      <c r="T856" t="s">
        <v>175</v>
      </c>
      <c r="U856" t="s">
        <v>54</v>
      </c>
      <c r="V856" t="s">
        <v>69</v>
      </c>
    </row>
    <row r="857" spans="1:22" ht="15" customHeight="1" x14ac:dyDescent="0.3">
      <c r="A857" t="s">
        <v>1476</v>
      </c>
      <c r="B857" s="20">
        <v>45770</v>
      </c>
      <c r="C857" t="s">
        <v>1477</v>
      </c>
      <c r="D857" t="s">
        <v>35</v>
      </c>
      <c r="E857" s="37">
        <v>36</v>
      </c>
      <c r="F857" t="s">
        <v>80</v>
      </c>
      <c r="G857" t="s">
        <v>81</v>
      </c>
      <c r="H857" t="s">
        <v>118</v>
      </c>
      <c r="I857" t="s">
        <v>60</v>
      </c>
      <c r="J857" t="s">
        <v>137</v>
      </c>
      <c r="K857" s="37">
        <v>15</v>
      </c>
      <c r="L857" t="s">
        <v>41</v>
      </c>
      <c r="M857" s="21">
        <v>109500</v>
      </c>
      <c r="N857" s="21">
        <v>1432260</v>
      </c>
      <c r="O857" s="21">
        <v>118260</v>
      </c>
      <c r="P857">
        <v>5</v>
      </c>
      <c r="Q857" t="s">
        <v>42</v>
      </c>
      <c r="R857" s="37">
        <v>6</v>
      </c>
      <c r="S857" s="37">
        <v>5</v>
      </c>
      <c r="T857" t="s">
        <v>77</v>
      </c>
      <c r="U857" t="s">
        <v>63</v>
      </c>
      <c r="V857" t="s">
        <v>69</v>
      </c>
    </row>
    <row r="858" spans="1:22" ht="15" customHeight="1" x14ac:dyDescent="0.3">
      <c r="A858" t="s">
        <v>1478</v>
      </c>
      <c r="B858" s="20">
        <v>45997</v>
      </c>
      <c r="C858" t="s">
        <v>1470</v>
      </c>
      <c r="D858" t="s">
        <v>48</v>
      </c>
      <c r="E858" s="37">
        <v>43</v>
      </c>
      <c r="F858" t="s">
        <v>86</v>
      </c>
      <c r="G858" t="s">
        <v>87</v>
      </c>
      <c r="H858" t="s">
        <v>38</v>
      </c>
      <c r="I858" t="s">
        <v>39</v>
      </c>
      <c r="J858" t="s">
        <v>190</v>
      </c>
      <c r="K858" s="37">
        <v>0</v>
      </c>
      <c r="L858" t="s">
        <v>52</v>
      </c>
      <c r="M858" s="21">
        <v>30600</v>
      </c>
      <c r="N858" s="21">
        <v>403920</v>
      </c>
      <c r="O858" s="21">
        <v>36720</v>
      </c>
      <c r="P858">
        <v>4</v>
      </c>
      <c r="Q858" t="s">
        <v>42</v>
      </c>
      <c r="R858" s="37">
        <v>3</v>
      </c>
      <c r="S858" s="37">
        <v>28</v>
      </c>
      <c r="T858" t="s">
        <v>94</v>
      </c>
      <c r="U858" t="s">
        <v>63</v>
      </c>
      <c r="V858" t="s">
        <v>69</v>
      </c>
    </row>
    <row r="859" spans="1:22" ht="15" customHeight="1" x14ac:dyDescent="0.3">
      <c r="A859" t="s">
        <v>1479</v>
      </c>
      <c r="B859" s="20">
        <v>46005</v>
      </c>
      <c r="C859" t="s">
        <v>447</v>
      </c>
      <c r="D859" t="s">
        <v>35</v>
      </c>
      <c r="E859" s="37">
        <v>49</v>
      </c>
      <c r="F859" t="s">
        <v>49</v>
      </c>
      <c r="G859" t="s">
        <v>50</v>
      </c>
      <c r="H859" t="s">
        <v>66</v>
      </c>
      <c r="I859" t="s">
        <v>82</v>
      </c>
      <c r="J859" t="s">
        <v>170</v>
      </c>
      <c r="K859" s="37">
        <v>13</v>
      </c>
      <c r="L859" t="s">
        <v>52</v>
      </c>
      <c r="M859" s="21">
        <v>75800</v>
      </c>
      <c r="N859" s="21">
        <v>1036944</v>
      </c>
      <c r="O859" s="21">
        <v>127344</v>
      </c>
      <c r="P859">
        <v>5</v>
      </c>
      <c r="Q859" t="s">
        <v>42</v>
      </c>
      <c r="R859" s="37">
        <v>1</v>
      </c>
      <c r="S859" s="37">
        <v>23</v>
      </c>
      <c r="T859" t="s">
        <v>68</v>
      </c>
      <c r="U859" t="s">
        <v>44</v>
      </c>
      <c r="V859" t="s">
        <v>45</v>
      </c>
    </row>
    <row r="860" spans="1:22" ht="15" customHeight="1" x14ac:dyDescent="0.3">
      <c r="A860" t="s">
        <v>1480</v>
      </c>
      <c r="B860" s="20">
        <v>45732</v>
      </c>
      <c r="C860" t="s">
        <v>608</v>
      </c>
      <c r="D860" t="s">
        <v>35</v>
      </c>
      <c r="E860" s="37">
        <v>27</v>
      </c>
      <c r="F860" t="s">
        <v>108</v>
      </c>
      <c r="G860" t="s">
        <v>109</v>
      </c>
      <c r="H860" t="s">
        <v>38</v>
      </c>
      <c r="I860" t="s">
        <v>82</v>
      </c>
      <c r="J860" t="s">
        <v>110</v>
      </c>
      <c r="K860" s="37">
        <v>0</v>
      </c>
      <c r="L860" t="s">
        <v>52</v>
      </c>
      <c r="M860" s="21">
        <v>55400</v>
      </c>
      <c r="N860" s="21">
        <v>711336</v>
      </c>
      <c r="O860" s="21">
        <v>46536</v>
      </c>
      <c r="P860">
        <v>2</v>
      </c>
      <c r="Q860" t="s">
        <v>42</v>
      </c>
      <c r="R860" s="37">
        <v>2</v>
      </c>
      <c r="S860" s="37">
        <v>13</v>
      </c>
      <c r="T860" t="s">
        <v>175</v>
      </c>
      <c r="U860" t="s">
        <v>44</v>
      </c>
      <c r="V860" t="s">
        <v>45</v>
      </c>
    </row>
    <row r="861" spans="1:22" ht="15" customHeight="1" x14ac:dyDescent="0.3">
      <c r="A861" t="s">
        <v>1481</v>
      </c>
      <c r="B861" s="20">
        <v>45918</v>
      </c>
      <c r="C861" t="s">
        <v>839</v>
      </c>
      <c r="D861" t="s">
        <v>35</v>
      </c>
      <c r="E861" s="37">
        <v>48</v>
      </c>
      <c r="F861" t="s">
        <v>86</v>
      </c>
      <c r="G861" t="s">
        <v>87</v>
      </c>
      <c r="H861" t="s">
        <v>66</v>
      </c>
      <c r="I861" t="s">
        <v>75</v>
      </c>
      <c r="J861" t="s">
        <v>170</v>
      </c>
      <c r="K861" s="37">
        <v>9</v>
      </c>
      <c r="L861" t="s">
        <v>52</v>
      </c>
      <c r="M861" s="21">
        <v>84800</v>
      </c>
      <c r="N861" s="21">
        <v>1149888</v>
      </c>
      <c r="O861" s="21">
        <v>132288</v>
      </c>
      <c r="P861">
        <v>4</v>
      </c>
      <c r="Q861" t="s">
        <v>126</v>
      </c>
      <c r="R861" s="37">
        <v>12</v>
      </c>
      <c r="S861" s="37">
        <v>24</v>
      </c>
      <c r="T861" t="s">
        <v>94</v>
      </c>
      <c r="U861" t="s">
        <v>54</v>
      </c>
      <c r="V861" t="s">
        <v>45</v>
      </c>
    </row>
    <row r="862" spans="1:22" ht="15" customHeight="1" x14ac:dyDescent="0.3">
      <c r="A862" t="s">
        <v>1482</v>
      </c>
      <c r="B862" s="20">
        <v>45882</v>
      </c>
      <c r="C862" t="s">
        <v>1483</v>
      </c>
      <c r="D862" t="s">
        <v>48</v>
      </c>
      <c r="E862" s="37">
        <v>56</v>
      </c>
      <c r="F862" t="s">
        <v>36</v>
      </c>
      <c r="G862" t="s">
        <v>37</v>
      </c>
      <c r="H862" t="s">
        <v>66</v>
      </c>
      <c r="I862" t="s">
        <v>82</v>
      </c>
      <c r="J862" t="s">
        <v>161</v>
      </c>
      <c r="K862" s="37">
        <v>25</v>
      </c>
      <c r="L862" t="s">
        <v>52</v>
      </c>
      <c r="M862" s="21">
        <v>77200</v>
      </c>
      <c r="N862" s="21">
        <v>1037568</v>
      </c>
      <c r="O862" s="21">
        <v>111168</v>
      </c>
      <c r="P862">
        <v>5</v>
      </c>
      <c r="Q862" t="s">
        <v>42</v>
      </c>
      <c r="R862" s="37">
        <v>12</v>
      </c>
      <c r="S862" s="37">
        <v>10</v>
      </c>
      <c r="T862" t="s">
        <v>129</v>
      </c>
      <c r="U862" t="s">
        <v>54</v>
      </c>
      <c r="V862" t="s">
        <v>45</v>
      </c>
    </row>
    <row r="863" spans="1:22" ht="15" customHeight="1" x14ac:dyDescent="0.3">
      <c r="A863" t="s">
        <v>1484</v>
      </c>
      <c r="B863" s="20">
        <v>45694</v>
      </c>
      <c r="C863" t="s">
        <v>1485</v>
      </c>
      <c r="D863" t="s">
        <v>35</v>
      </c>
      <c r="E863" s="37">
        <v>58</v>
      </c>
      <c r="F863" t="s">
        <v>36</v>
      </c>
      <c r="G863" t="s">
        <v>37</v>
      </c>
      <c r="H863" t="s">
        <v>66</v>
      </c>
      <c r="I863" t="s">
        <v>39</v>
      </c>
      <c r="J863" t="s">
        <v>149</v>
      </c>
      <c r="K863" s="37">
        <v>11</v>
      </c>
      <c r="L863" t="s">
        <v>52</v>
      </c>
      <c r="M863" s="21">
        <v>47600</v>
      </c>
      <c r="N863" s="21">
        <v>662592</v>
      </c>
      <c r="O863" s="21">
        <v>91392</v>
      </c>
      <c r="P863">
        <v>4</v>
      </c>
      <c r="Q863" t="s">
        <v>42</v>
      </c>
      <c r="R863" s="37">
        <v>8</v>
      </c>
      <c r="S863" s="37">
        <v>17</v>
      </c>
      <c r="T863" t="s">
        <v>68</v>
      </c>
      <c r="U863" t="s">
        <v>54</v>
      </c>
      <c r="V863" t="s">
        <v>45</v>
      </c>
    </row>
    <row r="864" spans="1:22" ht="15" customHeight="1" x14ac:dyDescent="0.3">
      <c r="A864" t="s">
        <v>1486</v>
      </c>
      <c r="B864" s="20">
        <v>45916</v>
      </c>
      <c r="C864" t="s">
        <v>1104</v>
      </c>
      <c r="D864" t="s">
        <v>35</v>
      </c>
      <c r="E864" s="37">
        <v>22</v>
      </c>
      <c r="F864" t="s">
        <v>36</v>
      </c>
      <c r="G864" t="s">
        <v>37</v>
      </c>
      <c r="H864" t="s">
        <v>74</v>
      </c>
      <c r="I864" t="s">
        <v>60</v>
      </c>
      <c r="J864" t="s">
        <v>83</v>
      </c>
      <c r="K864" s="37">
        <v>17</v>
      </c>
      <c r="L864" t="s">
        <v>52</v>
      </c>
      <c r="M864" s="21">
        <v>121700</v>
      </c>
      <c r="N864" s="21">
        <v>1752480</v>
      </c>
      <c r="O864" s="21">
        <v>292080</v>
      </c>
      <c r="P864">
        <v>4</v>
      </c>
      <c r="Q864" t="s">
        <v>42</v>
      </c>
      <c r="R864" s="37">
        <v>12</v>
      </c>
      <c r="S864" s="37">
        <v>0</v>
      </c>
      <c r="T864" t="s">
        <v>105</v>
      </c>
      <c r="U864" t="s">
        <v>63</v>
      </c>
      <c r="V864" t="s">
        <v>45</v>
      </c>
    </row>
    <row r="865" spans="1:22" ht="15" customHeight="1" x14ac:dyDescent="0.3">
      <c r="A865" t="s">
        <v>1487</v>
      </c>
      <c r="B865" s="20">
        <v>45743</v>
      </c>
      <c r="C865" t="s">
        <v>1488</v>
      </c>
      <c r="D865" t="s">
        <v>48</v>
      </c>
      <c r="E865" s="37">
        <v>38</v>
      </c>
      <c r="F865" t="s">
        <v>49</v>
      </c>
      <c r="G865" t="s">
        <v>50</v>
      </c>
      <c r="H865" t="s">
        <v>66</v>
      </c>
      <c r="I865" t="s">
        <v>60</v>
      </c>
      <c r="J865" t="s">
        <v>149</v>
      </c>
      <c r="K865" s="37">
        <v>26</v>
      </c>
      <c r="L865" t="s">
        <v>52</v>
      </c>
      <c r="M865" s="21">
        <v>165900</v>
      </c>
      <c r="N865" s="21">
        <v>2249604</v>
      </c>
      <c r="O865" s="21">
        <v>258804</v>
      </c>
      <c r="P865">
        <v>3</v>
      </c>
      <c r="Q865" t="s">
        <v>42</v>
      </c>
      <c r="R865" s="37">
        <v>7</v>
      </c>
      <c r="S865" s="37">
        <v>24</v>
      </c>
      <c r="T865" t="s">
        <v>62</v>
      </c>
      <c r="U865" t="s">
        <v>54</v>
      </c>
      <c r="V865" t="s">
        <v>69</v>
      </c>
    </row>
    <row r="866" spans="1:22" ht="15" customHeight="1" x14ac:dyDescent="0.3">
      <c r="A866" t="s">
        <v>1489</v>
      </c>
      <c r="B866" s="20">
        <v>45878</v>
      </c>
      <c r="C866" t="s">
        <v>1490</v>
      </c>
      <c r="D866" t="s">
        <v>35</v>
      </c>
      <c r="E866" s="37">
        <v>53</v>
      </c>
      <c r="F866" t="s">
        <v>57</v>
      </c>
      <c r="G866" t="s">
        <v>58</v>
      </c>
      <c r="H866" t="s">
        <v>74</v>
      </c>
      <c r="I866" t="s">
        <v>60</v>
      </c>
      <c r="J866" t="s">
        <v>152</v>
      </c>
      <c r="K866" s="37">
        <v>23</v>
      </c>
      <c r="L866" t="s">
        <v>41</v>
      </c>
      <c r="M866" s="21">
        <v>129200</v>
      </c>
      <c r="N866" s="21">
        <v>1782959</v>
      </c>
      <c r="O866" s="21">
        <v>232560</v>
      </c>
      <c r="P866">
        <v>4</v>
      </c>
      <c r="Q866" t="s">
        <v>126</v>
      </c>
      <c r="R866" s="37">
        <v>10</v>
      </c>
      <c r="S866" s="37">
        <v>26</v>
      </c>
      <c r="T866" t="s">
        <v>77</v>
      </c>
      <c r="U866" t="s">
        <v>44</v>
      </c>
      <c r="V866" t="s">
        <v>45</v>
      </c>
    </row>
    <row r="867" spans="1:22" ht="15" customHeight="1" x14ac:dyDescent="0.3">
      <c r="A867" t="s">
        <v>1491</v>
      </c>
      <c r="B867" s="20">
        <v>45659</v>
      </c>
      <c r="C867" t="s">
        <v>1246</v>
      </c>
      <c r="D867" t="s">
        <v>35</v>
      </c>
      <c r="E867" s="37">
        <v>54</v>
      </c>
      <c r="F867" t="s">
        <v>49</v>
      </c>
      <c r="G867" t="s">
        <v>50</v>
      </c>
      <c r="H867" t="s">
        <v>38</v>
      </c>
      <c r="I867" t="s">
        <v>39</v>
      </c>
      <c r="J867" t="s">
        <v>40</v>
      </c>
      <c r="K867" s="37">
        <v>23</v>
      </c>
      <c r="L867" t="s">
        <v>52</v>
      </c>
      <c r="M867" s="21">
        <v>30300</v>
      </c>
      <c r="N867" s="21">
        <v>414504</v>
      </c>
      <c r="O867" s="21">
        <v>50904</v>
      </c>
      <c r="P867">
        <v>4</v>
      </c>
      <c r="Q867" t="s">
        <v>126</v>
      </c>
      <c r="R867" s="37">
        <v>8</v>
      </c>
      <c r="S867" s="37">
        <v>20</v>
      </c>
      <c r="T867" t="s">
        <v>53</v>
      </c>
      <c r="U867" t="s">
        <v>44</v>
      </c>
      <c r="V867" t="s">
        <v>45</v>
      </c>
    </row>
    <row r="868" spans="1:22" ht="15" customHeight="1" x14ac:dyDescent="0.3">
      <c r="A868" t="s">
        <v>1492</v>
      </c>
      <c r="B868" s="20">
        <v>45703</v>
      </c>
      <c r="C868" t="s">
        <v>1334</v>
      </c>
      <c r="D868" t="s">
        <v>35</v>
      </c>
      <c r="E868" s="37">
        <v>31</v>
      </c>
      <c r="F868" t="s">
        <v>80</v>
      </c>
      <c r="G868" t="s">
        <v>81</v>
      </c>
      <c r="H868" t="s">
        <v>74</v>
      </c>
      <c r="I868" t="s">
        <v>39</v>
      </c>
      <c r="J868" t="s">
        <v>83</v>
      </c>
      <c r="K868" s="37">
        <v>8</v>
      </c>
      <c r="L868" t="s">
        <v>52</v>
      </c>
      <c r="M868" s="21">
        <v>43500</v>
      </c>
      <c r="N868" s="21">
        <v>595080</v>
      </c>
      <c r="O868" s="21">
        <v>73080</v>
      </c>
      <c r="P868">
        <v>2</v>
      </c>
      <c r="Q868" t="s">
        <v>42</v>
      </c>
      <c r="R868" s="37">
        <v>9</v>
      </c>
      <c r="S868" s="37">
        <v>33</v>
      </c>
      <c r="T868" t="s">
        <v>77</v>
      </c>
      <c r="U868" t="s">
        <v>44</v>
      </c>
      <c r="V868" t="s">
        <v>69</v>
      </c>
    </row>
    <row r="869" spans="1:22" ht="15" customHeight="1" x14ac:dyDescent="0.3">
      <c r="A869" t="s">
        <v>1493</v>
      </c>
      <c r="B869" s="20">
        <v>45758</v>
      </c>
      <c r="C869" t="s">
        <v>561</v>
      </c>
      <c r="D869" t="s">
        <v>48</v>
      </c>
      <c r="E869" s="37">
        <v>52</v>
      </c>
      <c r="F869" t="s">
        <v>86</v>
      </c>
      <c r="G869" t="s">
        <v>87</v>
      </c>
      <c r="H869" t="s">
        <v>66</v>
      </c>
      <c r="I869" t="s">
        <v>82</v>
      </c>
      <c r="J869" t="s">
        <v>93</v>
      </c>
      <c r="K869" s="37">
        <v>29</v>
      </c>
      <c r="L869" t="s">
        <v>41</v>
      </c>
      <c r="M869" s="21">
        <v>70600</v>
      </c>
      <c r="N869" s="21">
        <v>948864</v>
      </c>
      <c r="O869" s="21">
        <v>101664</v>
      </c>
      <c r="P869">
        <v>4</v>
      </c>
      <c r="Q869" t="s">
        <v>42</v>
      </c>
      <c r="R869" s="37">
        <v>19</v>
      </c>
      <c r="S869" s="37">
        <v>34</v>
      </c>
      <c r="T869" t="s">
        <v>129</v>
      </c>
      <c r="U869" t="s">
        <v>44</v>
      </c>
      <c r="V869" t="s">
        <v>69</v>
      </c>
    </row>
    <row r="870" spans="1:22" ht="15" customHeight="1" x14ac:dyDescent="0.3">
      <c r="A870" t="s">
        <v>1494</v>
      </c>
      <c r="B870" s="20">
        <v>45864</v>
      </c>
      <c r="C870" t="s">
        <v>1495</v>
      </c>
      <c r="D870" t="s">
        <v>35</v>
      </c>
      <c r="E870" s="37">
        <v>24</v>
      </c>
      <c r="F870" t="s">
        <v>123</v>
      </c>
      <c r="G870" t="s">
        <v>124</v>
      </c>
      <c r="H870" t="s">
        <v>59</v>
      </c>
      <c r="I870" t="s">
        <v>39</v>
      </c>
      <c r="J870" t="s">
        <v>61</v>
      </c>
      <c r="K870" s="37">
        <v>29</v>
      </c>
      <c r="L870" t="s">
        <v>52</v>
      </c>
      <c r="M870" s="21">
        <v>28700</v>
      </c>
      <c r="N870" s="21">
        <v>375396</v>
      </c>
      <c r="O870" s="21">
        <v>30996</v>
      </c>
      <c r="P870">
        <v>4</v>
      </c>
      <c r="Q870" t="s">
        <v>126</v>
      </c>
      <c r="R870" s="37">
        <v>5</v>
      </c>
      <c r="S870" s="37">
        <v>6</v>
      </c>
      <c r="T870" t="s">
        <v>146</v>
      </c>
      <c r="U870" t="s">
        <v>63</v>
      </c>
      <c r="V870" t="s">
        <v>69</v>
      </c>
    </row>
    <row r="871" spans="1:22" ht="15" customHeight="1" x14ac:dyDescent="0.3">
      <c r="A871" t="s">
        <v>1496</v>
      </c>
      <c r="B871" s="20">
        <v>45846</v>
      </c>
      <c r="C871" t="s">
        <v>1497</v>
      </c>
      <c r="D871" t="s">
        <v>35</v>
      </c>
      <c r="E871" s="37">
        <v>24</v>
      </c>
      <c r="F871" t="s">
        <v>49</v>
      </c>
      <c r="G871" t="s">
        <v>50</v>
      </c>
      <c r="H871" t="s">
        <v>38</v>
      </c>
      <c r="I871" t="s">
        <v>82</v>
      </c>
      <c r="J871" t="s">
        <v>190</v>
      </c>
      <c r="K871" s="37">
        <v>17</v>
      </c>
      <c r="L871" t="s">
        <v>52</v>
      </c>
      <c r="M871" s="21">
        <v>60500</v>
      </c>
      <c r="N871" s="21">
        <v>842160</v>
      </c>
      <c r="O871" s="21">
        <v>116160</v>
      </c>
      <c r="P871">
        <v>3</v>
      </c>
      <c r="Q871" t="s">
        <v>42</v>
      </c>
      <c r="R871" s="37">
        <v>8</v>
      </c>
      <c r="S871" s="37">
        <v>6</v>
      </c>
      <c r="T871" t="s">
        <v>77</v>
      </c>
      <c r="U871" t="s">
        <v>44</v>
      </c>
      <c r="V871" t="s">
        <v>69</v>
      </c>
    </row>
    <row r="872" spans="1:22" ht="15" customHeight="1" x14ac:dyDescent="0.3">
      <c r="A872" t="s">
        <v>1498</v>
      </c>
      <c r="B872" s="20">
        <v>45795</v>
      </c>
      <c r="C872" t="s">
        <v>1499</v>
      </c>
      <c r="D872" t="s">
        <v>35</v>
      </c>
      <c r="E872" s="37">
        <v>29</v>
      </c>
      <c r="F872" t="s">
        <v>86</v>
      </c>
      <c r="G872" t="s">
        <v>87</v>
      </c>
      <c r="H872" t="s">
        <v>118</v>
      </c>
      <c r="I872" t="s">
        <v>39</v>
      </c>
      <c r="J872" t="s">
        <v>219</v>
      </c>
      <c r="K872" s="37">
        <v>19</v>
      </c>
      <c r="L872" t="s">
        <v>52</v>
      </c>
      <c r="M872" s="21">
        <v>31900</v>
      </c>
      <c r="N872" s="21">
        <v>436392</v>
      </c>
      <c r="O872" s="21">
        <v>53592</v>
      </c>
      <c r="P872">
        <v>4</v>
      </c>
      <c r="Q872" t="s">
        <v>42</v>
      </c>
      <c r="R872" s="37">
        <v>11</v>
      </c>
      <c r="S872" s="37">
        <v>11</v>
      </c>
      <c r="T872" t="s">
        <v>175</v>
      </c>
      <c r="U872" t="s">
        <v>44</v>
      </c>
      <c r="V872" t="s">
        <v>45</v>
      </c>
    </row>
    <row r="873" spans="1:22" ht="15" customHeight="1" x14ac:dyDescent="0.3">
      <c r="A873" t="s">
        <v>1500</v>
      </c>
      <c r="B873" s="20">
        <v>45821</v>
      </c>
      <c r="C873" t="s">
        <v>1501</v>
      </c>
      <c r="D873" t="s">
        <v>35</v>
      </c>
      <c r="E873" s="37">
        <v>33</v>
      </c>
      <c r="F873" t="s">
        <v>108</v>
      </c>
      <c r="G873" t="s">
        <v>109</v>
      </c>
      <c r="H873" t="s">
        <v>74</v>
      </c>
      <c r="I873" t="s">
        <v>75</v>
      </c>
      <c r="J873" t="s">
        <v>152</v>
      </c>
      <c r="K873" s="37">
        <v>26</v>
      </c>
      <c r="L873" t="s">
        <v>52</v>
      </c>
      <c r="M873" s="21">
        <v>85500</v>
      </c>
      <c r="N873" s="21">
        <v>1128600</v>
      </c>
      <c r="O873" s="21">
        <v>102600</v>
      </c>
      <c r="P873">
        <v>4</v>
      </c>
      <c r="Q873" t="s">
        <v>42</v>
      </c>
      <c r="R873" s="37">
        <v>4</v>
      </c>
      <c r="S873" s="37">
        <v>35</v>
      </c>
      <c r="T873" t="s">
        <v>43</v>
      </c>
      <c r="U873" t="s">
        <v>63</v>
      </c>
      <c r="V873" t="s">
        <v>45</v>
      </c>
    </row>
    <row r="874" spans="1:22" ht="15" customHeight="1" x14ac:dyDescent="0.3">
      <c r="A874" t="s">
        <v>1502</v>
      </c>
      <c r="B874" s="20">
        <v>45971</v>
      </c>
      <c r="C874" t="s">
        <v>1463</v>
      </c>
      <c r="D874" t="s">
        <v>35</v>
      </c>
      <c r="E874" s="37">
        <v>22</v>
      </c>
      <c r="F874" t="s">
        <v>36</v>
      </c>
      <c r="G874" t="s">
        <v>37</v>
      </c>
      <c r="H874" t="s">
        <v>38</v>
      </c>
      <c r="I874" t="s">
        <v>75</v>
      </c>
      <c r="J874" t="s">
        <v>40</v>
      </c>
      <c r="K874" s="37">
        <v>16</v>
      </c>
      <c r="L874" t="s">
        <v>52</v>
      </c>
      <c r="M874" s="21">
        <v>104200</v>
      </c>
      <c r="N874" s="21">
        <v>1475472</v>
      </c>
      <c r="O874" s="21">
        <v>225072</v>
      </c>
      <c r="P874">
        <v>4</v>
      </c>
      <c r="Q874" t="s">
        <v>42</v>
      </c>
      <c r="R874" s="37">
        <v>11</v>
      </c>
      <c r="S874" s="37">
        <v>23</v>
      </c>
      <c r="T874" t="s">
        <v>94</v>
      </c>
      <c r="U874" t="s">
        <v>44</v>
      </c>
      <c r="V874" t="s">
        <v>69</v>
      </c>
    </row>
    <row r="875" spans="1:22" ht="15" customHeight="1" x14ac:dyDescent="0.3">
      <c r="A875" t="s">
        <v>1503</v>
      </c>
      <c r="B875" s="20">
        <v>45820</v>
      </c>
      <c r="C875" t="s">
        <v>174</v>
      </c>
      <c r="D875" t="s">
        <v>35</v>
      </c>
      <c r="E875" s="37">
        <v>54</v>
      </c>
      <c r="F875" t="s">
        <v>86</v>
      </c>
      <c r="G875" t="s">
        <v>87</v>
      </c>
      <c r="H875" t="s">
        <v>66</v>
      </c>
      <c r="I875" t="s">
        <v>39</v>
      </c>
      <c r="J875" t="s">
        <v>149</v>
      </c>
      <c r="K875" s="37">
        <v>1</v>
      </c>
      <c r="L875" t="s">
        <v>52</v>
      </c>
      <c r="M875" s="21">
        <v>47900</v>
      </c>
      <c r="N875" s="21">
        <v>643776</v>
      </c>
      <c r="O875" s="21">
        <v>68976</v>
      </c>
      <c r="P875">
        <v>1</v>
      </c>
      <c r="Q875" t="s">
        <v>42</v>
      </c>
      <c r="R875" s="37">
        <v>9</v>
      </c>
      <c r="S875" s="37">
        <v>13</v>
      </c>
      <c r="T875" t="s">
        <v>77</v>
      </c>
      <c r="U875" t="s">
        <v>44</v>
      </c>
      <c r="V875" t="s">
        <v>45</v>
      </c>
    </row>
    <row r="876" spans="1:22" ht="15" customHeight="1" x14ac:dyDescent="0.3">
      <c r="A876" t="s">
        <v>1504</v>
      </c>
      <c r="B876" s="20">
        <v>45992</v>
      </c>
      <c r="C876" t="s">
        <v>1505</v>
      </c>
      <c r="D876" t="s">
        <v>48</v>
      </c>
      <c r="E876" s="37">
        <v>53</v>
      </c>
      <c r="F876" t="s">
        <v>97</v>
      </c>
      <c r="G876" t="s">
        <v>98</v>
      </c>
      <c r="H876" t="s">
        <v>118</v>
      </c>
      <c r="I876" t="s">
        <v>60</v>
      </c>
      <c r="J876" t="s">
        <v>137</v>
      </c>
      <c r="K876" s="37">
        <v>29</v>
      </c>
      <c r="L876" t="s">
        <v>52</v>
      </c>
      <c r="M876" s="21">
        <v>127600</v>
      </c>
      <c r="N876" s="21">
        <v>1822128</v>
      </c>
      <c r="O876" s="21">
        <v>290928</v>
      </c>
      <c r="P876">
        <v>3</v>
      </c>
      <c r="Q876" t="s">
        <v>126</v>
      </c>
      <c r="R876" s="37">
        <v>8</v>
      </c>
      <c r="S876" s="37">
        <v>28</v>
      </c>
      <c r="T876" t="s">
        <v>53</v>
      </c>
      <c r="U876" t="s">
        <v>44</v>
      </c>
      <c r="V876" t="s">
        <v>45</v>
      </c>
    </row>
    <row r="877" spans="1:22" ht="15" customHeight="1" x14ac:dyDescent="0.3">
      <c r="A877" t="s">
        <v>1506</v>
      </c>
      <c r="B877" s="20">
        <v>45956</v>
      </c>
      <c r="C877" t="s">
        <v>1507</v>
      </c>
      <c r="D877" t="s">
        <v>35</v>
      </c>
      <c r="E877" s="37">
        <v>34</v>
      </c>
      <c r="F877" t="s">
        <v>86</v>
      </c>
      <c r="G877" t="s">
        <v>87</v>
      </c>
      <c r="H877" t="s">
        <v>66</v>
      </c>
      <c r="I877" t="s">
        <v>82</v>
      </c>
      <c r="J877" t="s">
        <v>67</v>
      </c>
      <c r="K877" s="37">
        <v>4</v>
      </c>
      <c r="L877" t="s">
        <v>52</v>
      </c>
      <c r="M877" s="21">
        <v>66400</v>
      </c>
      <c r="N877" s="21">
        <v>940224</v>
      </c>
      <c r="O877" s="21">
        <v>143424</v>
      </c>
      <c r="P877">
        <v>4</v>
      </c>
      <c r="Q877" t="s">
        <v>42</v>
      </c>
      <c r="R877" s="37">
        <v>1</v>
      </c>
      <c r="S877" s="37">
        <v>30</v>
      </c>
      <c r="T877" t="s">
        <v>77</v>
      </c>
      <c r="U877" t="s">
        <v>44</v>
      </c>
      <c r="V877" t="s">
        <v>69</v>
      </c>
    </row>
    <row r="878" spans="1:22" ht="15" customHeight="1" x14ac:dyDescent="0.3">
      <c r="A878" t="s">
        <v>1508</v>
      </c>
      <c r="B878" s="20">
        <v>45873</v>
      </c>
      <c r="C878" t="s">
        <v>1509</v>
      </c>
      <c r="D878" t="s">
        <v>35</v>
      </c>
      <c r="E878" s="37">
        <v>41</v>
      </c>
      <c r="F878" t="s">
        <v>49</v>
      </c>
      <c r="G878" t="s">
        <v>50</v>
      </c>
      <c r="H878" t="s">
        <v>38</v>
      </c>
      <c r="I878" t="s">
        <v>39</v>
      </c>
      <c r="J878" t="s">
        <v>134</v>
      </c>
      <c r="K878" s="37">
        <v>6</v>
      </c>
      <c r="L878" t="s">
        <v>52</v>
      </c>
      <c r="M878" s="21">
        <v>33100</v>
      </c>
      <c r="N878" s="21">
        <v>472668</v>
      </c>
      <c r="O878" s="21">
        <v>75468</v>
      </c>
      <c r="P878">
        <v>4</v>
      </c>
      <c r="Q878" t="s">
        <v>42</v>
      </c>
      <c r="R878" s="37">
        <v>5</v>
      </c>
      <c r="S878" s="37">
        <v>27</v>
      </c>
      <c r="T878" t="s">
        <v>105</v>
      </c>
      <c r="U878" t="s">
        <v>44</v>
      </c>
      <c r="V878" t="s">
        <v>69</v>
      </c>
    </row>
    <row r="879" spans="1:22" ht="15" customHeight="1" x14ac:dyDescent="0.3">
      <c r="A879" t="s">
        <v>1510</v>
      </c>
      <c r="B879" s="20">
        <v>45675</v>
      </c>
      <c r="C879" t="s">
        <v>1216</v>
      </c>
      <c r="D879" t="s">
        <v>48</v>
      </c>
      <c r="E879" s="37">
        <v>57</v>
      </c>
      <c r="F879" t="s">
        <v>72</v>
      </c>
      <c r="G879" t="s">
        <v>73</v>
      </c>
      <c r="H879" t="s">
        <v>66</v>
      </c>
      <c r="I879" t="s">
        <v>39</v>
      </c>
      <c r="J879" t="s">
        <v>67</v>
      </c>
      <c r="K879" s="37">
        <v>12</v>
      </c>
      <c r="L879" t="s">
        <v>52</v>
      </c>
      <c r="M879" s="21">
        <v>48000</v>
      </c>
      <c r="N879" s="21">
        <v>633600</v>
      </c>
      <c r="O879" s="21">
        <v>57600</v>
      </c>
      <c r="P879">
        <v>3</v>
      </c>
      <c r="Q879" t="s">
        <v>126</v>
      </c>
      <c r="R879" s="37">
        <v>11</v>
      </c>
      <c r="S879" s="37">
        <v>3</v>
      </c>
      <c r="T879" t="s">
        <v>129</v>
      </c>
      <c r="U879" t="s">
        <v>44</v>
      </c>
      <c r="V879" t="s">
        <v>69</v>
      </c>
    </row>
    <row r="880" spans="1:22" ht="15" customHeight="1" x14ac:dyDescent="0.3">
      <c r="A880" t="s">
        <v>1511</v>
      </c>
      <c r="B880" s="20">
        <v>45734</v>
      </c>
      <c r="C880" t="s">
        <v>1512</v>
      </c>
      <c r="D880" t="s">
        <v>35</v>
      </c>
      <c r="E880" s="37">
        <v>55</v>
      </c>
      <c r="F880" t="s">
        <v>80</v>
      </c>
      <c r="G880" t="s">
        <v>81</v>
      </c>
      <c r="H880" t="s">
        <v>74</v>
      </c>
      <c r="I880" t="s">
        <v>75</v>
      </c>
      <c r="J880" t="s">
        <v>76</v>
      </c>
      <c r="K880" s="37">
        <v>12</v>
      </c>
      <c r="L880" t="s">
        <v>52</v>
      </c>
      <c r="M880" s="21">
        <v>88300</v>
      </c>
      <c r="N880" s="21">
        <v>1144368</v>
      </c>
      <c r="O880" s="21">
        <v>84768</v>
      </c>
      <c r="P880">
        <v>3</v>
      </c>
      <c r="Q880" t="s">
        <v>126</v>
      </c>
      <c r="R880" s="37">
        <v>12</v>
      </c>
      <c r="S880" s="37">
        <v>38</v>
      </c>
      <c r="T880" t="s">
        <v>146</v>
      </c>
      <c r="U880" t="s">
        <v>44</v>
      </c>
      <c r="V880" t="s">
        <v>69</v>
      </c>
    </row>
    <row r="881" spans="1:22" ht="15" customHeight="1" x14ac:dyDescent="0.3">
      <c r="A881" t="s">
        <v>1513</v>
      </c>
      <c r="B881" s="20">
        <v>45821</v>
      </c>
      <c r="C881" t="s">
        <v>875</v>
      </c>
      <c r="D881" t="s">
        <v>35</v>
      </c>
      <c r="E881" s="37">
        <v>25</v>
      </c>
      <c r="F881" t="s">
        <v>86</v>
      </c>
      <c r="G881" t="s">
        <v>87</v>
      </c>
      <c r="H881" t="s">
        <v>118</v>
      </c>
      <c r="I881" t="s">
        <v>60</v>
      </c>
      <c r="J881" t="s">
        <v>219</v>
      </c>
      <c r="K881" s="37">
        <v>14</v>
      </c>
      <c r="L881" t="s">
        <v>52</v>
      </c>
      <c r="M881" s="21">
        <v>114300</v>
      </c>
      <c r="N881" s="21">
        <v>1481328</v>
      </c>
      <c r="O881" s="21">
        <v>109728</v>
      </c>
      <c r="P881">
        <v>3</v>
      </c>
      <c r="Q881" t="s">
        <v>42</v>
      </c>
      <c r="R881" s="37">
        <v>0</v>
      </c>
      <c r="S881" s="37">
        <v>1</v>
      </c>
      <c r="T881" t="s">
        <v>43</v>
      </c>
      <c r="U881" t="s">
        <v>54</v>
      </c>
      <c r="V881" t="s">
        <v>69</v>
      </c>
    </row>
    <row r="882" spans="1:22" ht="15" customHeight="1" x14ac:dyDescent="0.3">
      <c r="A882" t="s">
        <v>1514</v>
      </c>
      <c r="B882" s="20">
        <v>45725</v>
      </c>
      <c r="C882" t="s">
        <v>1515</v>
      </c>
      <c r="D882" t="s">
        <v>35</v>
      </c>
      <c r="E882" s="37">
        <v>29</v>
      </c>
      <c r="F882" t="s">
        <v>97</v>
      </c>
      <c r="G882" t="s">
        <v>98</v>
      </c>
      <c r="H882" t="s">
        <v>66</v>
      </c>
      <c r="I882" t="s">
        <v>39</v>
      </c>
      <c r="J882" t="s">
        <v>161</v>
      </c>
      <c r="K882" s="37">
        <v>5</v>
      </c>
      <c r="L882" t="s">
        <v>52</v>
      </c>
      <c r="M882" s="21">
        <v>38000</v>
      </c>
      <c r="N882" s="21">
        <v>542640</v>
      </c>
      <c r="O882" s="21">
        <v>86640</v>
      </c>
      <c r="P882">
        <v>4</v>
      </c>
      <c r="Q882" t="s">
        <v>42</v>
      </c>
      <c r="R882" s="37">
        <v>6</v>
      </c>
      <c r="S882" s="37">
        <v>21</v>
      </c>
      <c r="T882" t="s">
        <v>146</v>
      </c>
      <c r="U882" t="s">
        <v>63</v>
      </c>
      <c r="V882" t="s">
        <v>45</v>
      </c>
    </row>
    <row r="883" spans="1:22" ht="15" customHeight="1" x14ac:dyDescent="0.3">
      <c r="A883" t="s">
        <v>1516</v>
      </c>
      <c r="B883" s="20">
        <v>45730</v>
      </c>
      <c r="C883" t="s">
        <v>608</v>
      </c>
      <c r="D883" t="s">
        <v>35</v>
      </c>
      <c r="E883" s="37">
        <v>53</v>
      </c>
      <c r="F883" t="s">
        <v>57</v>
      </c>
      <c r="G883" t="s">
        <v>58</v>
      </c>
      <c r="H883" t="s">
        <v>66</v>
      </c>
      <c r="I883" t="s">
        <v>75</v>
      </c>
      <c r="J883" t="s">
        <v>67</v>
      </c>
      <c r="K883" s="37">
        <v>6</v>
      </c>
      <c r="L883" t="s">
        <v>41</v>
      </c>
      <c r="M883" s="21">
        <v>83200</v>
      </c>
      <c r="N883" s="21">
        <v>1048320</v>
      </c>
      <c r="O883" s="21">
        <v>49920</v>
      </c>
      <c r="P883">
        <v>4</v>
      </c>
      <c r="Q883" t="s">
        <v>126</v>
      </c>
      <c r="R883" s="37">
        <v>20</v>
      </c>
      <c r="S883" s="37">
        <v>1</v>
      </c>
      <c r="T883" t="s">
        <v>43</v>
      </c>
      <c r="U883" t="s">
        <v>44</v>
      </c>
      <c r="V883" t="s">
        <v>45</v>
      </c>
    </row>
    <row r="884" spans="1:22" ht="15" customHeight="1" x14ac:dyDescent="0.3">
      <c r="A884" t="s">
        <v>1517</v>
      </c>
      <c r="B884" s="20">
        <v>45732</v>
      </c>
      <c r="C884" t="s">
        <v>1518</v>
      </c>
      <c r="D884" t="s">
        <v>48</v>
      </c>
      <c r="E884" s="37">
        <v>53</v>
      </c>
      <c r="F884" t="s">
        <v>91</v>
      </c>
      <c r="G884" t="s">
        <v>92</v>
      </c>
      <c r="H884" t="s">
        <v>118</v>
      </c>
      <c r="I884" t="s">
        <v>75</v>
      </c>
      <c r="J884" t="s">
        <v>219</v>
      </c>
      <c r="K884" s="37">
        <v>12</v>
      </c>
      <c r="L884" t="s">
        <v>120</v>
      </c>
      <c r="M884" s="21">
        <v>84400</v>
      </c>
      <c r="N884" s="21">
        <v>1164720</v>
      </c>
      <c r="O884" s="21">
        <v>151920</v>
      </c>
      <c r="P884">
        <v>2</v>
      </c>
      <c r="Q884" t="s">
        <v>42</v>
      </c>
      <c r="R884" s="37">
        <v>2</v>
      </c>
      <c r="S884" s="37">
        <v>17</v>
      </c>
      <c r="T884" t="s">
        <v>62</v>
      </c>
      <c r="U884" t="s">
        <v>63</v>
      </c>
      <c r="V884" t="s">
        <v>45</v>
      </c>
    </row>
    <row r="885" spans="1:22" ht="15" customHeight="1" x14ac:dyDescent="0.3">
      <c r="A885" t="s">
        <v>1519</v>
      </c>
      <c r="B885" s="20">
        <v>45980</v>
      </c>
      <c r="C885" t="s">
        <v>1455</v>
      </c>
      <c r="D885" t="s">
        <v>48</v>
      </c>
      <c r="E885" s="37">
        <v>45</v>
      </c>
      <c r="F885" t="s">
        <v>123</v>
      </c>
      <c r="G885" t="s">
        <v>124</v>
      </c>
      <c r="H885" t="s">
        <v>74</v>
      </c>
      <c r="I885" t="s">
        <v>82</v>
      </c>
      <c r="J885" t="s">
        <v>115</v>
      </c>
      <c r="K885" s="37">
        <v>6</v>
      </c>
      <c r="L885" t="s">
        <v>52</v>
      </c>
      <c r="M885" s="21">
        <v>57800</v>
      </c>
      <c r="N885" s="21">
        <v>728280</v>
      </c>
      <c r="O885" s="21">
        <v>34680</v>
      </c>
      <c r="P885">
        <v>3</v>
      </c>
      <c r="Q885" t="s">
        <v>42</v>
      </c>
      <c r="R885" s="37">
        <v>3</v>
      </c>
      <c r="S885" s="37">
        <v>13</v>
      </c>
      <c r="T885" t="s">
        <v>146</v>
      </c>
      <c r="U885" t="s">
        <v>44</v>
      </c>
      <c r="V885" t="s">
        <v>45</v>
      </c>
    </row>
    <row r="886" spans="1:22" ht="15" customHeight="1" x14ac:dyDescent="0.3">
      <c r="A886" t="s">
        <v>1520</v>
      </c>
      <c r="B886" s="20">
        <v>45940</v>
      </c>
      <c r="C886" t="s">
        <v>294</v>
      </c>
      <c r="D886" t="s">
        <v>35</v>
      </c>
      <c r="E886" s="37">
        <v>39</v>
      </c>
      <c r="F886" t="s">
        <v>49</v>
      </c>
      <c r="G886" t="s">
        <v>50</v>
      </c>
      <c r="H886" t="s">
        <v>66</v>
      </c>
      <c r="I886" t="s">
        <v>75</v>
      </c>
      <c r="J886" t="s">
        <v>161</v>
      </c>
      <c r="K886" s="37">
        <v>7</v>
      </c>
      <c r="L886" t="s">
        <v>41</v>
      </c>
      <c r="M886" s="21">
        <v>112800</v>
      </c>
      <c r="N886" s="21">
        <v>1488960</v>
      </c>
      <c r="O886" s="21">
        <v>135360</v>
      </c>
      <c r="P886">
        <v>5</v>
      </c>
      <c r="Q886" t="s">
        <v>42</v>
      </c>
      <c r="R886" s="37">
        <v>11</v>
      </c>
      <c r="S886" s="37">
        <v>27</v>
      </c>
      <c r="T886" t="s">
        <v>68</v>
      </c>
      <c r="U886" t="s">
        <v>44</v>
      </c>
      <c r="V886" t="s">
        <v>45</v>
      </c>
    </row>
    <row r="887" spans="1:22" ht="15" customHeight="1" x14ac:dyDescent="0.3">
      <c r="A887" t="s">
        <v>1521</v>
      </c>
      <c r="B887" s="20">
        <v>45957</v>
      </c>
      <c r="C887" t="s">
        <v>394</v>
      </c>
      <c r="D887" t="s">
        <v>35</v>
      </c>
      <c r="E887" s="37">
        <v>56</v>
      </c>
      <c r="F887" t="s">
        <v>86</v>
      </c>
      <c r="G887" t="s">
        <v>87</v>
      </c>
      <c r="H887" t="s">
        <v>38</v>
      </c>
      <c r="I887" t="s">
        <v>39</v>
      </c>
      <c r="J887" t="s">
        <v>40</v>
      </c>
      <c r="K887" s="37">
        <v>27</v>
      </c>
      <c r="L887" t="s">
        <v>52</v>
      </c>
      <c r="M887" s="21">
        <v>30900</v>
      </c>
      <c r="N887" s="21">
        <v>422712</v>
      </c>
      <c r="O887" s="21">
        <v>51912</v>
      </c>
      <c r="P887">
        <v>5</v>
      </c>
      <c r="Q887" t="s">
        <v>42</v>
      </c>
      <c r="R887" s="37">
        <v>5</v>
      </c>
      <c r="S887" s="37">
        <v>24</v>
      </c>
      <c r="T887" t="s">
        <v>146</v>
      </c>
      <c r="U887" t="s">
        <v>44</v>
      </c>
      <c r="V887" t="s">
        <v>45</v>
      </c>
    </row>
    <row r="888" spans="1:22" ht="15" customHeight="1" x14ac:dyDescent="0.3">
      <c r="A888" t="s">
        <v>1522</v>
      </c>
      <c r="B888" s="20">
        <v>45892</v>
      </c>
      <c r="C888" t="s">
        <v>1366</v>
      </c>
      <c r="D888" t="s">
        <v>35</v>
      </c>
      <c r="E888" s="37">
        <v>37</v>
      </c>
      <c r="F888" t="s">
        <v>36</v>
      </c>
      <c r="G888" t="s">
        <v>37</v>
      </c>
      <c r="H888" t="s">
        <v>38</v>
      </c>
      <c r="I888" t="s">
        <v>82</v>
      </c>
      <c r="J888" t="s">
        <v>190</v>
      </c>
      <c r="K888" s="37">
        <v>17</v>
      </c>
      <c r="L888" t="s">
        <v>120</v>
      </c>
      <c r="M888" s="21">
        <v>52900</v>
      </c>
      <c r="N888" s="21">
        <v>723672</v>
      </c>
      <c r="O888" s="21">
        <v>88872</v>
      </c>
      <c r="P888">
        <v>4</v>
      </c>
      <c r="Q888" t="s">
        <v>42</v>
      </c>
      <c r="R888" s="37">
        <v>18</v>
      </c>
      <c r="S888" s="37">
        <v>26</v>
      </c>
      <c r="T888" t="s">
        <v>53</v>
      </c>
      <c r="U888" t="s">
        <v>63</v>
      </c>
      <c r="V888" t="s">
        <v>45</v>
      </c>
    </row>
    <row r="889" spans="1:22" ht="15" customHeight="1" x14ac:dyDescent="0.3">
      <c r="A889" t="s">
        <v>1523</v>
      </c>
      <c r="B889" s="20">
        <v>45917</v>
      </c>
      <c r="C889" t="s">
        <v>606</v>
      </c>
      <c r="D889" t="s">
        <v>35</v>
      </c>
      <c r="E889" s="37">
        <v>53</v>
      </c>
      <c r="F889" t="s">
        <v>49</v>
      </c>
      <c r="G889" t="s">
        <v>50</v>
      </c>
      <c r="H889" t="s">
        <v>38</v>
      </c>
      <c r="I889" t="s">
        <v>39</v>
      </c>
      <c r="J889" t="s">
        <v>110</v>
      </c>
      <c r="K889" s="37">
        <v>9</v>
      </c>
      <c r="L889" t="s">
        <v>52</v>
      </c>
      <c r="M889" s="21">
        <v>34400</v>
      </c>
      <c r="N889" s="21">
        <v>495360</v>
      </c>
      <c r="O889" s="21">
        <v>82560</v>
      </c>
      <c r="P889">
        <v>4</v>
      </c>
      <c r="Q889" t="s">
        <v>42</v>
      </c>
      <c r="R889" s="37">
        <v>19</v>
      </c>
      <c r="S889" s="37">
        <v>16</v>
      </c>
      <c r="T889" t="s">
        <v>94</v>
      </c>
      <c r="U889" t="s">
        <v>44</v>
      </c>
      <c r="V889" t="s">
        <v>45</v>
      </c>
    </row>
    <row r="890" spans="1:22" ht="15" customHeight="1" x14ac:dyDescent="0.3">
      <c r="A890" t="s">
        <v>1524</v>
      </c>
      <c r="B890" s="20">
        <v>45671</v>
      </c>
      <c r="C890" t="s">
        <v>800</v>
      </c>
      <c r="D890" t="s">
        <v>35</v>
      </c>
      <c r="E890" s="37">
        <v>25</v>
      </c>
      <c r="F890" t="s">
        <v>72</v>
      </c>
      <c r="G890" t="s">
        <v>73</v>
      </c>
      <c r="H890" t="s">
        <v>118</v>
      </c>
      <c r="I890" t="s">
        <v>82</v>
      </c>
      <c r="J890" t="s">
        <v>219</v>
      </c>
      <c r="K890" s="37">
        <v>25</v>
      </c>
      <c r="L890" t="s">
        <v>52</v>
      </c>
      <c r="M890" s="21">
        <v>60000</v>
      </c>
      <c r="N890" s="21">
        <v>856800</v>
      </c>
      <c r="O890" s="21">
        <v>136800</v>
      </c>
      <c r="P890">
        <v>5</v>
      </c>
      <c r="Q890" t="s">
        <v>126</v>
      </c>
      <c r="R890" s="37">
        <v>13</v>
      </c>
      <c r="S890" s="37">
        <v>26</v>
      </c>
      <c r="T890" t="s">
        <v>129</v>
      </c>
      <c r="U890" t="s">
        <v>44</v>
      </c>
      <c r="V890" t="s">
        <v>69</v>
      </c>
    </row>
    <row r="891" spans="1:22" ht="15" customHeight="1" x14ac:dyDescent="0.3">
      <c r="A891" t="s">
        <v>1525</v>
      </c>
      <c r="B891" s="20">
        <v>45980</v>
      </c>
      <c r="C891" t="s">
        <v>1417</v>
      </c>
      <c r="D891" t="s">
        <v>48</v>
      </c>
      <c r="E891" s="37">
        <v>42</v>
      </c>
      <c r="F891" t="s">
        <v>80</v>
      </c>
      <c r="G891" t="s">
        <v>81</v>
      </c>
      <c r="H891" t="s">
        <v>118</v>
      </c>
      <c r="I891" t="s">
        <v>82</v>
      </c>
      <c r="J891" t="s">
        <v>119</v>
      </c>
      <c r="K891" s="37">
        <v>29</v>
      </c>
      <c r="L891" t="s">
        <v>52</v>
      </c>
      <c r="M891" s="21">
        <v>51800</v>
      </c>
      <c r="N891" s="21">
        <v>733488</v>
      </c>
      <c r="O891" s="21">
        <v>111888</v>
      </c>
      <c r="P891">
        <v>5</v>
      </c>
      <c r="Q891" t="s">
        <v>42</v>
      </c>
      <c r="R891" s="37">
        <v>17</v>
      </c>
      <c r="S891" s="37">
        <v>36</v>
      </c>
      <c r="T891" t="s">
        <v>62</v>
      </c>
      <c r="U891" t="s">
        <v>63</v>
      </c>
      <c r="V891" t="s">
        <v>69</v>
      </c>
    </row>
    <row r="892" spans="1:22" ht="15" customHeight="1" x14ac:dyDescent="0.3">
      <c r="A892" t="s">
        <v>1526</v>
      </c>
      <c r="B892" s="20">
        <v>45906</v>
      </c>
      <c r="C892" t="s">
        <v>573</v>
      </c>
      <c r="D892" t="s">
        <v>35</v>
      </c>
      <c r="E892" s="37">
        <v>46</v>
      </c>
      <c r="F892" t="s">
        <v>123</v>
      </c>
      <c r="G892" t="s">
        <v>124</v>
      </c>
      <c r="H892" t="s">
        <v>59</v>
      </c>
      <c r="I892" t="s">
        <v>75</v>
      </c>
      <c r="J892" t="s">
        <v>141</v>
      </c>
      <c r="K892" s="37">
        <v>9</v>
      </c>
      <c r="L892" t="s">
        <v>41</v>
      </c>
      <c r="M892" s="21">
        <v>86300</v>
      </c>
      <c r="N892" s="21">
        <v>1118448</v>
      </c>
      <c r="O892" s="21">
        <v>82848</v>
      </c>
      <c r="P892">
        <v>3</v>
      </c>
      <c r="Q892" t="s">
        <v>42</v>
      </c>
      <c r="R892" s="37">
        <v>20</v>
      </c>
      <c r="S892" s="37">
        <v>20</v>
      </c>
      <c r="T892" t="s">
        <v>77</v>
      </c>
      <c r="U892" t="s">
        <v>54</v>
      </c>
      <c r="V892" t="s">
        <v>45</v>
      </c>
    </row>
    <row r="893" spans="1:22" ht="15" customHeight="1" x14ac:dyDescent="0.3">
      <c r="A893" t="s">
        <v>1527</v>
      </c>
      <c r="B893" s="20">
        <v>45804</v>
      </c>
      <c r="C893" t="s">
        <v>1349</v>
      </c>
      <c r="D893" t="s">
        <v>48</v>
      </c>
      <c r="E893" s="37">
        <v>38</v>
      </c>
      <c r="F893" t="s">
        <v>91</v>
      </c>
      <c r="G893" t="s">
        <v>92</v>
      </c>
      <c r="H893" t="s">
        <v>38</v>
      </c>
      <c r="I893" t="s">
        <v>82</v>
      </c>
      <c r="J893" t="s">
        <v>134</v>
      </c>
      <c r="K893" s="37">
        <v>11</v>
      </c>
      <c r="L893" t="s">
        <v>52</v>
      </c>
      <c r="M893" s="21">
        <v>66100</v>
      </c>
      <c r="N893" s="21">
        <v>912179</v>
      </c>
      <c r="O893" s="21">
        <v>118980</v>
      </c>
      <c r="P893">
        <v>3</v>
      </c>
      <c r="Q893" t="s">
        <v>126</v>
      </c>
      <c r="R893" s="37">
        <v>9</v>
      </c>
      <c r="S893" s="37">
        <v>40</v>
      </c>
      <c r="T893" t="s">
        <v>129</v>
      </c>
      <c r="U893" t="s">
        <v>63</v>
      </c>
      <c r="V893" t="s">
        <v>69</v>
      </c>
    </row>
    <row r="894" spans="1:22" ht="15" customHeight="1" x14ac:dyDescent="0.3">
      <c r="A894" t="s">
        <v>1528</v>
      </c>
      <c r="B894" s="20">
        <v>46016</v>
      </c>
      <c r="C894" t="s">
        <v>1529</v>
      </c>
      <c r="D894" t="s">
        <v>48</v>
      </c>
      <c r="E894" s="37">
        <v>54</v>
      </c>
      <c r="F894" t="s">
        <v>36</v>
      </c>
      <c r="G894" t="s">
        <v>37</v>
      </c>
      <c r="H894" t="s">
        <v>66</v>
      </c>
      <c r="I894" t="s">
        <v>39</v>
      </c>
      <c r="J894" t="s">
        <v>170</v>
      </c>
      <c r="K894" s="37">
        <v>10</v>
      </c>
      <c r="L894" t="s">
        <v>52</v>
      </c>
      <c r="M894" s="21">
        <v>46600</v>
      </c>
      <c r="N894" s="21">
        <v>603936</v>
      </c>
      <c r="O894" s="21">
        <v>44736</v>
      </c>
      <c r="P894">
        <v>5</v>
      </c>
      <c r="Q894" t="s">
        <v>42</v>
      </c>
      <c r="R894" s="37">
        <v>7</v>
      </c>
      <c r="S894" s="37">
        <v>34</v>
      </c>
      <c r="T894" t="s">
        <v>53</v>
      </c>
      <c r="U894" t="s">
        <v>44</v>
      </c>
      <c r="V894" t="s">
        <v>45</v>
      </c>
    </row>
    <row r="895" spans="1:22" ht="15" customHeight="1" x14ac:dyDescent="0.3">
      <c r="A895" t="s">
        <v>1530</v>
      </c>
      <c r="B895" s="20">
        <v>45718</v>
      </c>
      <c r="C895" t="s">
        <v>1081</v>
      </c>
      <c r="D895" t="s">
        <v>35</v>
      </c>
      <c r="E895" s="37">
        <v>31</v>
      </c>
      <c r="F895" t="s">
        <v>57</v>
      </c>
      <c r="G895" t="s">
        <v>58</v>
      </c>
      <c r="H895" t="s">
        <v>38</v>
      </c>
      <c r="I895" t="s">
        <v>75</v>
      </c>
      <c r="J895" t="s">
        <v>99</v>
      </c>
      <c r="K895" s="37">
        <v>22</v>
      </c>
      <c r="L895" t="s">
        <v>52</v>
      </c>
      <c r="M895" s="21">
        <v>93200</v>
      </c>
      <c r="N895" s="21">
        <v>1274976</v>
      </c>
      <c r="O895" s="21">
        <v>156576</v>
      </c>
      <c r="P895">
        <v>3</v>
      </c>
      <c r="Q895" t="s">
        <v>42</v>
      </c>
      <c r="R895" s="37">
        <v>12</v>
      </c>
      <c r="S895" s="37">
        <v>16</v>
      </c>
      <c r="T895" t="s">
        <v>62</v>
      </c>
      <c r="U895" t="s">
        <v>44</v>
      </c>
      <c r="V895" t="s">
        <v>69</v>
      </c>
    </row>
    <row r="896" spans="1:22" ht="15" customHeight="1" x14ac:dyDescent="0.3">
      <c r="A896" t="s">
        <v>1531</v>
      </c>
      <c r="B896" s="20">
        <v>45676</v>
      </c>
      <c r="C896" t="s">
        <v>1532</v>
      </c>
      <c r="D896" t="s">
        <v>48</v>
      </c>
      <c r="E896" s="37">
        <v>41</v>
      </c>
      <c r="F896" t="s">
        <v>97</v>
      </c>
      <c r="G896" t="s">
        <v>98</v>
      </c>
      <c r="H896" t="s">
        <v>66</v>
      </c>
      <c r="I896" t="s">
        <v>39</v>
      </c>
      <c r="J896" t="s">
        <v>93</v>
      </c>
      <c r="K896" s="37">
        <v>3</v>
      </c>
      <c r="L896" t="s">
        <v>52</v>
      </c>
      <c r="M896" s="21">
        <v>46000</v>
      </c>
      <c r="N896" s="21">
        <v>623759</v>
      </c>
      <c r="O896" s="21">
        <v>71760</v>
      </c>
      <c r="P896">
        <v>4</v>
      </c>
      <c r="Q896" t="s">
        <v>42</v>
      </c>
      <c r="R896" s="37">
        <v>4</v>
      </c>
      <c r="S896" s="37">
        <v>36</v>
      </c>
      <c r="T896" t="s">
        <v>77</v>
      </c>
      <c r="U896" t="s">
        <v>54</v>
      </c>
      <c r="V896" t="s">
        <v>69</v>
      </c>
    </row>
    <row r="897" spans="1:22" ht="15" customHeight="1" x14ac:dyDescent="0.3">
      <c r="A897" t="s">
        <v>1533</v>
      </c>
      <c r="B897" s="20">
        <v>45737</v>
      </c>
      <c r="C897" t="s">
        <v>1534</v>
      </c>
      <c r="D897" t="s">
        <v>48</v>
      </c>
      <c r="E897" s="37">
        <v>26</v>
      </c>
      <c r="F897" t="s">
        <v>86</v>
      </c>
      <c r="G897" t="s">
        <v>87</v>
      </c>
      <c r="H897" t="s">
        <v>38</v>
      </c>
      <c r="I897" t="s">
        <v>51</v>
      </c>
      <c r="J897" t="s">
        <v>99</v>
      </c>
      <c r="K897" s="37">
        <v>4</v>
      </c>
      <c r="L897" t="s">
        <v>52</v>
      </c>
      <c r="M897" s="21">
        <v>180200</v>
      </c>
      <c r="N897" s="21">
        <v>2508384</v>
      </c>
      <c r="O897" s="21">
        <v>345984</v>
      </c>
      <c r="P897">
        <v>3</v>
      </c>
      <c r="Q897" t="s">
        <v>42</v>
      </c>
      <c r="R897" s="37">
        <v>19</v>
      </c>
      <c r="S897" s="37">
        <v>30</v>
      </c>
      <c r="T897" t="s">
        <v>68</v>
      </c>
      <c r="U897" t="s">
        <v>63</v>
      </c>
      <c r="V897" t="s">
        <v>69</v>
      </c>
    </row>
    <row r="898" spans="1:22" ht="15" customHeight="1" x14ac:dyDescent="0.3">
      <c r="A898" t="s">
        <v>1535</v>
      </c>
      <c r="B898" s="20">
        <v>45874</v>
      </c>
      <c r="C898" t="s">
        <v>1536</v>
      </c>
      <c r="D898" t="s">
        <v>35</v>
      </c>
      <c r="E898" s="37">
        <v>55</v>
      </c>
      <c r="F898" t="s">
        <v>72</v>
      </c>
      <c r="G898" t="s">
        <v>73</v>
      </c>
      <c r="H898" t="s">
        <v>66</v>
      </c>
      <c r="I898" t="s">
        <v>60</v>
      </c>
      <c r="J898" t="s">
        <v>93</v>
      </c>
      <c r="K898" s="37">
        <v>25</v>
      </c>
      <c r="L898" t="s">
        <v>52</v>
      </c>
      <c r="M898" s="21">
        <v>158800</v>
      </c>
      <c r="N898" s="21">
        <v>2058048</v>
      </c>
      <c r="O898" s="21">
        <v>152448</v>
      </c>
      <c r="P898">
        <v>4</v>
      </c>
      <c r="Q898" t="s">
        <v>42</v>
      </c>
      <c r="R898" s="37">
        <v>11</v>
      </c>
      <c r="S898" s="37">
        <v>34</v>
      </c>
      <c r="T898" t="s">
        <v>146</v>
      </c>
      <c r="U898" t="s">
        <v>63</v>
      </c>
      <c r="V898" t="s">
        <v>45</v>
      </c>
    </row>
    <row r="899" spans="1:22" ht="15" customHeight="1" x14ac:dyDescent="0.3">
      <c r="A899" t="s">
        <v>1537</v>
      </c>
      <c r="B899" s="20">
        <v>45754</v>
      </c>
      <c r="C899" t="s">
        <v>1538</v>
      </c>
      <c r="D899" t="s">
        <v>48</v>
      </c>
      <c r="E899" s="37">
        <v>57</v>
      </c>
      <c r="F899" t="s">
        <v>91</v>
      </c>
      <c r="G899" t="s">
        <v>92</v>
      </c>
      <c r="H899" t="s">
        <v>38</v>
      </c>
      <c r="I899" t="s">
        <v>75</v>
      </c>
      <c r="J899" t="s">
        <v>190</v>
      </c>
      <c r="K899" s="37">
        <v>27</v>
      </c>
      <c r="L899" t="s">
        <v>52</v>
      </c>
      <c r="M899" s="21">
        <v>102900</v>
      </c>
      <c r="N899" s="21">
        <v>1308888</v>
      </c>
      <c r="O899" s="21">
        <v>74088</v>
      </c>
      <c r="P899">
        <v>3</v>
      </c>
      <c r="Q899" t="s">
        <v>42</v>
      </c>
      <c r="R899" s="37">
        <v>8</v>
      </c>
      <c r="S899" s="37">
        <v>33</v>
      </c>
      <c r="T899" t="s">
        <v>94</v>
      </c>
      <c r="U899" t="s">
        <v>44</v>
      </c>
      <c r="V899" t="s">
        <v>45</v>
      </c>
    </row>
    <row r="900" spans="1:22" ht="15" customHeight="1" x14ac:dyDescent="0.3">
      <c r="A900" t="s">
        <v>1539</v>
      </c>
      <c r="B900" s="20">
        <v>45720</v>
      </c>
      <c r="C900" t="s">
        <v>1104</v>
      </c>
      <c r="D900" t="s">
        <v>35</v>
      </c>
      <c r="E900" s="37">
        <v>44</v>
      </c>
      <c r="F900" t="s">
        <v>97</v>
      </c>
      <c r="G900" t="s">
        <v>98</v>
      </c>
      <c r="H900" t="s">
        <v>38</v>
      </c>
      <c r="I900" t="s">
        <v>75</v>
      </c>
      <c r="J900" t="s">
        <v>134</v>
      </c>
      <c r="K900" s="37">
        <v>4</v>
      </c>
      <c r="L900" t="s">
        <v>52</v>
      </c>
      <c r="M900" s="21">
        <v>101500</v>
      </c>
      <c r="N900" s="21">
        <v>1437240</v>
      </c>
      <c r="O900" s="21">
        <v>219240</v>
      </c>
      <c r="P900">
        <v>3</v>
      </c>
      <c r="Q900" t="s">
        <v>42</v>
      </c>
      <c r="R900" s="37">
        <v>20</v>
      </c>
      <c r="S900" s="37">
        <v>23</v>
      </c>
      <c r="T900" t="s">
        <v>146</v>
      </c>
      <c r="U900" t="s">
        <v>44</v>
      </c>
      <c r="V900" t="s">
        <v>45</v>
      </c>
    </row>
    <row r="901" spans="1:22" ht="15" customHeight="1" x14ac:dyDescent="0.3">
      <c r="A901" t="s">
        <v>1540</v>
      </c>
      <c r="B901" s="20">
        <v>45704</v>
      </c>
      <c r="C901" t="s">
        <v>1541</v>
      </c>
      <c r="D901" t="s">
        <v>48</v>
      </c>
      <c r="E901" s="37">
        <v>30</v>
      </c>
      <c r="F901" t="s">
        <v>72</v>
      </c>
      <c r="G901" t="s">
        <v>73</v>
      </c>
      <c r="H901" t="s">
        <v>118</v>
      </c>
      <c r="I901" t="s">
        <v>39</v>
      </c>
      <c r="J901" t="s">
        <v>182</v>
      </c>
      <c r="K901" s="37">
        <v>3</v>
      </c>
      <c r="L901" t="s">
        <v>41</v>
      </c>
      <c r="M901" s="21">
        <v>37600</v>
      </c>
      <c r="N901" s="21">
        <v>473760</v>
      </c>
      <c r="O901" s="21">
        <v>22560</v>
      </c>
      <c r="P901">
        <v>3</v>
      </c>
      <c r="Q901" t="s">
        <v>42</v>
      </c>
      <c r="R901" s="37">
        <v>3</v>
      </c>
      <c r="S901" s="37">
        <v>4</v>
      </c>
      <c r="T901" t="s">
        <v>175</v>
      </c>
      <c r="U901" t="s">
        <v>63</v>
      </c>
      <c r="V901" t="s">
        <v>69</v>
      </c>
    </row>
    <row r="902" spans="1:22" ht="15" customHeight="1" x14ac:dyDescent="0.3">
      <c r="A902" t="s">
        <v>1542</v>
      </c>
      <c r="B902" s="20">
        <v>45937</v>
      </c>
      <c r="C902" t="s">
        <v>1543</v>
      </c>
      <c r="D902" t="s">
        <v>48</v>
      </c>
      <c r="E902" s="37">
        <v>36</v>
      </c>
      <c r="F902" t="s">
        <v>72</v>
      </c>
      <c r="G902" t="s">
        <v>73</v>
      </c>
      <c r="H902" t="s">
        <v>74</v>
      </c>
      <c r="I902" t="s">
        <v>82</v>
      </c>
      <c r="J902" t="s">
        <v>152</v>
      </c>
      <c r="K902" s="37">
        <v>6</v>
      </c>
      <c r="L902" t="s">
        <v>52</v>
      </c>
      <c r="M902" s="21">
        <v>50800</v>
      </c>
      <c r="N902" s="21">
        <v>688847</v>
      </c>
      <c r="O902" s="21">
        <v>79248</v>
      </c>
      <c r="P902">
        <v>2</v>
      </c>
      <c r="Q902" t="s">
        <v>126</v>
      </c>
      <c r="R902" s="37">
        <v>2</v>
      </c>
      <c r="S902" s="37">
        <v>16</v>
      </c>
      <c r="T902" t="s">
        <v>77</v>
      </c>
      <c r="U902" t="s">
        <v>44</v>
      </c>
      <c r="V902" t="s">
        <v>45</v>
      </c>
    </row>
    <row r="903" spans="1:22" ht="15" customHeight="1" x14ac:dyDescent="0.3">
      <c r="A903" t="s">
        <v>1544</v>
      </c>
      <c r="B903" s="20">
        <v>45668</v>
      </c>
      <c r="C903" t="s">
        <v>1545</v>
      </c>
      <c r="D903" t="s">
        <v>35</v>
      </c>
      <c r="E903" s="37">
        <v>51</v>
      </c>
      <c r="F903" t="s">
        <v>108</v>
      </c>
      <c r="G903" t="s">
        <v>109</v>
      </c>
      <c r="H903" t="s">
        <v>66</v>
      </c>
      <c r="I903" t="s">
        <v>39</v>
      </c>
      <c r="J903" t="s">
        <v>93</v>
      </c>
      <c r="K903" s="37">
        <v>20</v>
      </c>
      <c r="L903" t="s">
        <v>52</v>
      </c>
      <c r="M903" s="21">
        <v>38300</v>
      </c>
      <c r="N903" s="21">
        <v>510156</v>
      </c>
      <c r="O903" s="21">
        <v>50556</v>
      </c>
      <c r="P903">
        <v>2</v>
      </c>
      <c r="Q903" t="s">
        <v>42</v>
      </c>
      <c r="R903" s="37">
        <v>7</v>
      </c>
      <c r="S903" s="37">
        <v>25</v>
      </c>
      <c r="T903" t="s">
        <v>68</v>
      </c>
      <c r="U903" t="s">
        <v>44</v>
      </c>
      <c r="V903" t="s">
        <v>69</v>
      </c>
    </row>
    <row r="904" spans="1:22" ht="15" customHeight="1" x14ac:dyDescent="0.3">
      <c r="A904" t="s">
        <v>1546</v>
      </c>
      <c r="B904" s="20">
        <v>45783</v>
      </c>
      <c r="C904" t="s">
        <v>292</v>
      </c>
      <c r="D904" t="s">
        <v>35</v>
      </c>
      <c r="E904" s="37">
        <v>34</v>
      </c>
      <c r="F904" t="s">
        <v>86</v>
      </c>
      <c r="G904" t="s">
        <v>87</v>
      </c>
      <c r="H904" t="s">
        <v>38</v>
      </c>
      <c r="I904" t="s">
        <v>82</v>
      </c>
      <c r="J904" t="s">
        <v>190</v>
      </c>
      <c r="K904" s="37">
        <v>26</v>
      </c>
      <c r="L904" t="s">
        <v>52</v>
      </c>
      <c r="M904" s="21">
        <v>62900</v>
      </c>
      <c r="N904" s="21">
        <v>852923</v>
      </c>
      <c r="O904" s="21">
        <v>98124</v>
      </c>
      <c r="P904">
        <v>3</v>
      </c>
      <c r="Q904" t="s">
        <v>42</v>
      </c>
      <c r="R904" s="37">
        <v>9</v>
      </c>
      <c r="S904" s="37">
        <v>26</v>
      </c>
      <c r="T904" t="s">
        <v>43</v>
      </c>
      <c r="U904" t="s">
        <v>44</v>
      </c>
      <c r="V904" t="s">
        <v>69</v>
      </c>
    </row>
    <row r="905" spans="1:22" ht="15" customHeight="1" x14ac:dyDescent="0.3">
      <c r="A905" t="s">
        <v>1547</v>
      </c>
      <c r="B905" s="20">
        <v>45675</v>
      </c>
      <c r="C905" t="s">
        <v>294</v>
      </c>
      <c r="D905" t="s">
        <v>35</v>
      </c>
      <c r="E905" s="37">
        <v>43</v>
      </c>
      <c r="F905" t="s">
        <v>123</v>
      </c>
      <c r="G905" t="s">
        <v>124</v>
      </c>
      <c r="H905" t="s">
        <v>38</v>
      </c>
      <c r="I905" t="s">
        <v>82</v>
      </c>
      <c r="J905" t="s">
        <v>40</v>
      </c>
      <c r="K905" s="37">
        <v>14</v>
      </c>
      <c r="L905" t="s">
        <v>41</v>
      </c>
      <c r="M905" s="21">
        <v>52000</v>
      </c>
      <c r="N905" s="21">
        <v>673920</v>
      </c>
      <c r="O905" s="21">
        <v>49920</v>
      </c>
      <c r="P905">
        <v>4</v>
      </c>
      <c r="Q905" t="s">
        <v>42</v>
      </c>
      <c r="R905" s="37">
        <v>14</v>
      </c>
      <c r="S905" s="37">
        <v>12</v>
      </c>
      <c r="T905" t="s">
        <v>129</v>
      </c>
      <c r="U905" t="s">
        <v>63</v>
      </c>
      <c r="V905" t="s">
        <v>45</v>
      </c>
    </row>
    <row r="906" spans="1:22" ht="15" customHeight="1" x14ac:dyDescent="0.3">
      <c r="A906" t="s">
        <v>1548</v>
      </c>
      <c r="B906" s="20">
        <v>45913</v>
      </c>
      <c r="C906" t="s">
        <v>1125</v>
      </c>
      <c r="D906" t="s">
        <v>35</v>
      </c>
      <c r="E906" s="37">
        <v>48</v>
      </c>
      <c r="F906" t="s">
        <v>123</v>
      </c>
      <c r="G906" t="s">
        <v>124</v>
      </c>
      <c r="H906" t="s">
        <v>74</v>
      </c>
      <c r="I906" t="s">
        <v>82</v>
      </c>
      <c r="J906" t="s">
        <v>152</v>
      </c>
      <c r="K906" s="37">
        <v>16</v>
      </c>
      <c r="L906" t="s">
        <v>52</v>
      </c>
      <c r="M906" s="21">
        <v>52300</v>
      </c>
      <c r="N906" s="21">
        <v>740568</v>
      </c>
      <c r="O906" s="21">
        <v>112968</v>
      </c>
      <c r="P906">
        <v>3</v>
      </c>
      <c r="Q906" t="s">
        <v>126</v>
      </c>
      <c r="R906" s="37">
        <v>10</v>
      </c>
      <c r="S906" s="37">
        <v>0</v>
      </c>
      <c r="T906" t="s">
        <v>175</v>
      </c>
      <c r="U906" t="s">
        <v>44</v>
      </c>
      <c r="V906" t="s">
        <v>45</v>
      </c>
    </row>
    <row r="907" spans="1:22" ht="15" customHeight="1" x14ac:dyDescent="0.3">
      <c r="A907" t="s">
        <v>1549</v>
      </c>
      <c r="B907" s="20">
        <v>45809</v>
      </c>
      <c r="C907" t="s">
        <v>573</v>
      </c>
      <c r="D907" t="s">
        <v>35</v>
      </c>
      <c r="E907" s="37">
        <v>43</v>
      </c>
      <c r="F907" t="s">
        <v>57</v>
      </c>
      <c r="G907" t="s">
        <v>58</v>
      </c>
      <c r="H907" t="s">
        <v>118</v>
      </c>
      <c r="I907" t="s">
        <v>39</v>
      </c>
      <c r="J907" t="s">
        <v>219</v>
      </c>
      <c r="K907" s="37">
        <v>19</v>
      </c>
      <c r="L907" t="s">
        <v>52</v>
      </c>
      <c r="M907" s="21">
        <v>34900</v>
      </c>
      <c r="N907" s="21">
        <v>494184</v>
      </c>
      <c r="O907" s="21">
        <v>75384</v>
      </c>
      <c r="P907">
        <v>3</v>
      </c>
      <c r="Q907" t="s">
        <v>126</v>
      </c>
      <c r="R907" s="37">
        <v>14</v>
      </c>
      <c r="S907" s="37">
        <v>5</v>
      </c>
      <c r="T907" t="s">
        <v>53</v>
      </c>
      <c r="U907" t="s">
        <v>54</v>
      </c>
      <c r="V907" t="s">
        <v>69</v>
      </c>
    </row>
    <row r="908" spans="1:22" ht="15" customHeight="1" x14ac:dyDescent="0.3">
      <c r="A908" t="s">
        <v>1550</v>
      </c>
      <c r="B908" s="20">
        <v>46006</v>
      </c>
      <c r="C908" t="s">
        <v>1551</v>
      </c>
      <c r="D908" t="s">
        <v>35</v>
      </c>
      <c r="E908" s="37">
        <v>26</v>
      </c>
      <c r="F908" t="s">
        <v>49</v>
      </c>
      <c r="G908" t="s">
        <v>50</v>
      </c>
      <c r="H908" t="s">
        <v>118</v>
      </c>
      <c r="I908" t="s">
        <v>75</v>
      </c>
      <c r="J908" t="s">
        <v>119</v>
      </c>
      <c r="K908" s="37">
        <v>19</v>
      </c>
      <c r="L908" t="s">
        <v>52</v>
      </c>
      <c r="M908" s="21">
        <v>73400</v>
      </c>
      <c r="N908" s="21">
        <v>1030535</v>
      </c>
      <c r="O908" s="21">
        <v>149736</v>
      </c>
      <c r="P908">
        <v>4</v>
      </c>
      <c r="Q908" t="s">
        <v>42</v>
      </c>
      <c r="R908" s="37">
        <v>11</v>
      </c>
      <c r="S908" s="37">
        <v>13</v>
      </c>
      <c r="T908" t="s">
        <v>94</v>
      </c>
      <c r="U908" t="s">
        <v>44</v>
      </c>
      <c r="V908" t="s">
        <v>45</v>
      </c>
    </row>
    <row r="909" spans="1:22" ht="15" customHeight="1" x14ac:dyDescent="0.3">
      <c r="A909" t="s">
        <v>1552</v>
      </c>
      <c r="B909" s="20">
        <v>45979</v>
      </c>
      <c r="C909" t="s">
        <v>554</v>
      </c>
      <c r="D909" t="s">
        <v>48</v>
      </c>
      <c r="E909" s="37">
        <v>28</v>
      </c>
      <c r="F909" t="s">
        <v>86</v>
      </c>
      <c r="G909" t="s">
        <v>87</v>
      </c>
      <c r="H909" t="s">
        <v>66</v>
      </c>
      <c r="I909" t="s">
        <v>75</v>
      </c>
      <c r="J909" t="s">
        <v>149</v>
      </c>
      <c r="K909" s="37">
        <v>22</v>
      </c>
      <c r="L909" t="s">
        <v>52</v>
      </c>
      <c r="M909" s="21">
        <v>95900</v>
      </c>
      <c r="N909" s="21">
        <v>1277388</v>
      </c>
      <c r="O909" s="21">
        <v>126588</v>
      </c>
      <c r="P909">
        <v>4</v>
      </c>
      <c r="Q909" t="s">
        <v>42</v>
      </c>
      <c r="R909" s="37">
        <v>18</v>
      </c>
      <c r="S909" s="37">
        <v>37</v>
      </c>
      <c r="T909" t="s">
        <v>53</v>
      </c>
      <c r="U909" t="s">
        <v>44</v>
      </c>
      <c r="V909" t="s">
        <v>69</v>
      </c>
    </row>
    <row r="910" spans="1:22" ht="15" customHeight="1" x14ac:dyDescent="0.3">
      <c r="A910" t="s">
        <v>1553</v>
      </c>
      <c r="B910" s="20">
        <v>45767</v>
      </c>
      <c r="C910" t="s">
        <v>768</v>
      </c>
      <c r="D910" t="s">
        <v>35</v>
      </c>
      <c r="E910" s="37">
        <v>44</v>
      </c>
      <c r="F910" t="s">
        <v>36</v>
      </c>
      <c r="G910" t="s">
        <v>37</v>
      </c>
      <c r="H910" t="s">
        <v>59</v>
      </c>
      <c r="I910" t="s">
        <v>51</v>
      </c>
      <c r="J910" t="s">
        <v>104</v>
      </c>
      <c r="K910" s="37">
        <v>16</v>
      </c>
      <c r="L910" t="s">
        <v>120</v>
      </c>
      <c r="M910" s="21">
        <v>214400</v>
      </c>
      <c r="N910" s="21">
        <v>2958720</v>
      </c>
      <c r="O910" s="21">
        <v>385920</v>
      </c>
      <c r="P910">
        <v>3</v>
      </c>
      <c r="Q910" t="s">
        <v>42</v>
      </c>
      <c r="R910" s="37">
        <v>15</v>
      </c>
      <c r="S910" s="37">
        <v>17</v>
      </c>
      <c r="T910" t="s">
        <v>43</v>
      </c>
      <c r="U910" t="s">
        <v>63</v>
      </c>
      <c r="V910" t="s">
        <v>69</v>
      </c>
    </row>
    <row r="911" spans="1:22" ht="15" customHeight="1" x14ac:dyDescent="0.3">
      <c r="A911" t="s">
        <v>1554</v>
      </c>
      <c r="B911" s="20">
        <v>45790</v>
      </c>
      <c r="C911" t="s">
        <v>821</v>
      </c>
      <c r="D911" t="s">
        <v>35</v>
      </c>
      <c r="E911" s="37">
        <v>22</v>
      </c>
      <c r="F911" t="s">
        <v>86</v>
      </c>
      <c r="G911" t="s">
        <v>87</v>
      </c>
      <c r="H911" t="s">
        <v>38</v>
      </c>
      <c r="I911" t="s">
        <v>60</v>
      </c>
      <c r="J911" t="s">
        <v>110</v>
      </c>
      <c r="K911" s="37">
        <v>17</v>
      </c>
      <c r="L911" t="s">
        <v>52</v>
      </c>
      <c r="M911" s="21">
        <v>134300</v>
      </c>
      <c r="N911" s="21">
        <v>1837224</v>
      </c>
      <c r="O911" s="21">
        <v>225624</v>
      </c>
      <c r="P911">
        <v>3</v>
      </c>
      <c r="Q911" t="s">
        <v>42</v>
      </c>
      <c r="R911" s="37">
        <v>7</v>
      </c>
      <c r="S911" s="37">
        <v>21</v>
      </c>
      <c r="T911" t="s">
        <v>68</v>
      </c>
      <c r="U911" t="s">
        <v>44</v>
      </c>
      <c r="V911" t="s">
        <v>69</v>
      </c>
    </row>
    <row r="912" spans="1:22" ht="15" customHeight="1" x14ac:dyDescent="0.3">
      <c r="A912" t="s">
        <v>1555</v>
      </c>
      <c r="B912" s="20">
        <v>45850</v>
      </c>
      <c r="C912" t="s">
        <v>1556</v>
      </c>
      <c r="D912" t="s">
        <v>48</v>
      </c>
      <c r="E912" s="37">
        <v>34</v>
      </c>
      <c r="F912" t="s">
        <v>97</v>
      </c>
      <c r="G912" t="s">
        <v>98</v>
      </c>
      <c r="H912" t="s">
        <v>66</v>
      </c>
      <c r="I912" t="s">
        <v>75</v>
      </c>
      <c r="J912" t="s">
        <v>170</v>
      </c>
      <c r="K912" s="37">
        <v>15</v>
      </c>
      <c r="L912" t="s">
        <v>120</v>
      </c>
      <c r="M912" s="21">
        <v>112400</v>
      </c>
      <c r="N912" s="21">
        <v>1537632</v>
      </c>
      <c r="O912" s="21">
        <v>188832</v>
      </c>
      <c r="P912">
        <v>3</v>
      </c>
      <c r="Q912" t="s">
        <v>42</v>
      </c>
      <c r="R912" s="37">
        <v>16</v>
      </c>
      <c r="S912" s="37">
        <v>29</v>
      </c>
      <c r="T912" t="s">
        <v>94</v>
      </c>
      <c r="U912" t="s">
        <v>44</v>
      </c>
      <c r="V912" t="s">
        <v>45</v>
      </c>
    </row>
    <row r="913" spans="1:22" ht="15" customHeight="1" x14ac:dyDescent="0.3">
      <c r="A913" t="s">
        <v>1557</v>
      </c>
      <c r="B913" s="20">
        <v>45878</v>
      </c>
      <c r="C913" t="s">
        <v>665</v>
      </c>
      <c r="D913" t="s">
        <v>35</v>
      </c>
      <c r="E913" s="37">
        <v>51</v>
      </c>
      <c r="F913" t="s">
        <v>123</v>
      </c>
      <c r="G913" t="s">
        <v>124</v>
      </c>
      <c r="H913" t="s">
        <v>66</v>
      </c>
      <c r="I913" t="s">
        <v>51</v>
      </c>
      <c r="J913" t="s">
        <v>161</v>
      </c>
      <c r="K913" s="37">
        <v>22</v>
      </c>
      <c r="L913" t="s">
        <v>52</v>
      </c>
      <c r="M913" s="21">
        <v>214100</v>
      </c>
      <c r="N913" s="21">
        <v>2749044</v>
      </c>
      <c r="O913" s="21">
        <v>179844</v>
      </c>
      <c r="P913">
        <v>3</v>
      </c>
      <c r="Q913" t="s">
        <v>126</v>
      </c>
      <c r="R913" s="37">
        <v>4</v>
      </c>
      <c r="S913" s="37">
        <v>6</v>
      </c>
      <c r="T913" t="s">
        <v>146</v>
      </c>
      <c r="U913" t="s">
        <v>63</v>
      </c>
      <c r="V913" t="s">
        <v>69</v>
      </c>
    </row>
    <row r="914" spans="1:22" ht="15" customHeight="1" x14ac:dyDescent="0.3">
      <c r="A914" t="s">
        <v>1558</v>
      </c>
      <c r="B914" s="20">
        <v>45786</v>
      </c>
      <c r="C914" t="s">
        <v>1559</v>
      </c>
      <c r="D914" t="s">
        <v>35</v>
      </c>
      <c r="E914" s="37">
        <v>34</v>
      </c>
      <c r="F914" t="s">
        <v>49</v>
      </c>
      <c r="G914" t="s">
        <v>50</v>
      </c>
      <c r="H914" t="s">
        <v>66</v>
      </c>
      <c r="I914" t="s">
        <v>60</v>
      </c>
      <c r="J914" t="s">
        <v>93</v>
      </c>
      <c r="K914" s="37">
        <v>23</v>
      </c>
      <c r="L914" t="s">
        <v>41</v>
      </c>
      <c r="M914" s="21">
        <v>129500</v>
      </c>
      <c r="N914" s="21">
        <v>1724940</v>
      </c>
      <c r="O914" s="21">
        <v>170940</v>
      </c>
      <c r="P914">
        <v>5</v>
      </c>
      <c r="Q914" t="s">
        <v>42</v>
      </c>
      <c r="R914" s="37">
        <v>0</v>
      </c>
      <c r="S914" s="37">
        <v>5</v>
      </c>
      <c r="T914" t="s">
        <v>175</v>
      </c>
      <c r="U914" t="s">
        <v>44</v>
      </c>
      <c r="V914" t="s">
        <v>45</v>
      </c>
    </row>
    <row r="915" spans="1:22" ht="15" customHeight="1" x14ac:dyDescent="0.3">
      <c r="A915" t="s">
        <v>1560</v>
      </c>
      <c r="B915" s="20">
        <v>45720</v>
      </c>
      <c r="C915" t="s">
        <v>112</v>
      </c>
      <c r="D915" t="s">
        <v>35</v>
      </c>
      <c r="E915" s="37">
        <v>43</v>
      </c>
      <c r="F915" t="s">
        <v>57</v>
      </c>
      <c r="G915" t="s">
        <v>58</v>
      </c>
      <c r="H915" t="s">
        <v>59</v>
      </c>
      <c r="I915" t="s">
        <v>75</v>
      </c>
      <c r="J915" t="s">
        <v>104</v>
      </c>
      <c r="K915" s="37">
        <v>1</v>
      </c>
      <c r="L915" t="s">
        <v>41</v>
      </c>
      <c r="M915" s="21">
        <v>71500</v>
      </c>
      <c r="N915" s="21">
        <v>935220</v>
      </c>
      <c r="O915" s="21">
        <v>77220</v>
      </c>
      <c r="P915">
        <v>2</v>
      </c>
      <c r="Q915" t="s">
        <v>42</v>
      </c>
      <c r="R915" s="37">
        <v>10</v>
      </c>
      <c r="S915" s="37">
        <v>35</v>
      </c>
      <c r="T915" t="s">
        <v>146</v>
      </c>
      <c r="U915" t="s">
        <v>63</v>
      </c>
      <c r="V915" t="s">
        <v>45</v>
      </c>
    </row>
    <row r="916" spans="1:22" ht="15" customHeight="1" x14ac:dyDescent="0.3">
      <c r="A916" t="s">
        <v>1561</v>
      </c>
      <c r="B916" s="20">
        <v>45995</v>
      </c>
      <c r="C916" t="s">
        <v>674</v>
      </c>
      <c r="D916" t="s">
        <v>35</v>
      </c>
      <c r="E916" s="37">
        <v>42</v>
      </c>
      <c r="F916" t="s">
        <v>49</v>
      </c>
      <c r="G916" t="s">
        <v>50</v>
      </c>
      <c r="H916" t="s">
        <v>38</v>
      </c>
      <c r="I916" t="s">
        <v>39</v>
      </c>
      <c r="J916" t="s">
        <v>40</v>
      </c>
      <c r="K916" s="37">
        <v>2</v>
      </c>
      <c r="L916" t="s">
        <v>52</v>
      </c>
      <c r="M916" s="21">
        <v>37400</v>
      </c>
      <c r="N916" s="21">
        <v>511632</v>
      </c>
      <c r="O916" s="21">
        <v>62832</v>
      </c>
      <c r="P916">
        <v>5</v>
      </c>
      <c r="Q916" t="s">
        <v>42</v>
      </c>
      <c r="R916" s="37">
        <v>6</v>
      </c>
      <c r="S916" s="37">
        <v>23</v>
      </c>
      <c r="T916" t="s">
        <v>43</v>
      </c>
      <c r="U916" t="s">
        <v>63</v>
      </c>
      <c r="V916" t="s">
        <v>69</v>
      </c>
    </row>
    <row r="917" spans="1:22" ht="15" customHeight="1" x14ac:dyDescent="0.3">
      <c r="A917" t="s">
        <v>1562</v>
      </c>
      <c r="B917" s="20">
        <v>45728</v>
      </c>
      <c r="C917" t="s">
        <v>528</v>
      </c>
      <c r="D917" t="s">
        <v>35</v>
      </c>
      <c r="E917" s="37">
        <v>49</v>
      </c>
      <c r="F917" t="s">
        <v>91</v>
      </c>
      <c r="G917" t="s">
        <v>92</v>
      </c>
      <c r="H917" t="s">
        <v>59</v>
      </c>
      <c r="I917" t="s">
        <v>75</v>
      </c>
      <c r="J917" t="s">
        <v>104</v>
      </c>
      <c r="K917" s="37">
        <v>30</v>
      </c>
      <c r="L917" t="s">
        <v>52</v>
      </c>
      <c r="M917" s="21">
        <v>74400</v>
      </c>
      <c r="N917" s="21">
        <v>955296</v>
      </c>
      <c r="O917" s="21">
        <v>62496</v>
      </c>
      <c r="P917">
        <v>3</v>
      </c>
      <c r="Q917" t="s">
        <v>42</v>
      </c>
      <c r="R917" s="37">
        <v>8</v>
      </c>
      <c r="S917" s="37">
        <v>24</v>
      </c>
      <c r="T917" t="s">
        <v>77</v>
      </c>
      <c r="U917" t="s">
        <v>63</v>
      </c>
      <c r="V917" t="s">
        <v>45</v>
      </c>
    </row>
    <row r="918" spans="1:22" ht="15" customHeight="1" x14ac:dyDescent="0.3">
      <c r="A918" t="s">
        <v>1563</v>
      </c>
      <c r="B918" s="20">
        <v>45820</v>
      </c>
      <c r="C918" t="s">
        <v>1564</v>
      </c>
      <c r="D918" t="s">
        <v>35</v>
      </c>
      <c r="E918" s="37">
        <v>31</v>
      </c>
      <c r="F918" t="s">
        <v>80</v>
      </c>
      <c r="G918" t="s">
        <v>81</v>
      </c>
      <c r="H918" t="s">
        <v>118</v>
      </c>
      <c r="I918" t="s">
        <v>82</v>
      </c>
      <c r="J918" t="s">
        <v>250</v>
      </c>
      <c r="K918" s="37">
        <v>0</v>
      </c>
      <c r="L918" t="s">
        <v>52</v>
      </c>
      <c r="M918" s="21">
        <v>51600</v>
      </c>
      <c r="N918" s="21">
        <v>724464</v>
      </c>
      <c r="O918" s="21">
        <v>105264</v>
      </c>
      <c r="P918">
        <v>4</v>
      </c>
      <c r="Q918" t="s">
        <v>42</v>
      </c>
      <c r="R918" s="37">
        <v>20</v>
      </c>
      <c r="S918" s="37">
        <v>21</v>
      </c>
      <c r="T918" t="s">
        <v>129</v>
      </c>
      <c r="U918" t="s">
        <v>63</v>
      </c>
      <c r="V918" t="s">
        <v>45</v>
      </c>
    </row>
    <row r="919" spans="1:22" ht="15" customHeight="1" x14ac:dyDescent="0.3">
      <c r="A919" t="s">
        <v>1565</v>
      </c>
      <c r="B919" s="20">
        <v>45714</v>
      </c>
      <c r="C919" t="s">
        <v>1415</v>
      </c>
      <c r="D919" t="s">
        <v>35</v>
      </c>
      <c r="E919" s="37">
        <v>37</v>
      </c>
      <c r="F919" t="s">
        <v>108</v>
      </c>
      <c r="G919" t="s">
        <v>109</v>
      </c>
      <c r="H919" t="s">
        <v>38</v>
      </c>
      <c r="I919" t="s">
        <v>39</v>
      </c>
      <c r="J919" t="s">
        <v>190</v>
      </c>
      <c r="K919" s="37">
        <v>7</v>
      </c>
      <c r="L919" t="s">
        <v>120</v>
      </c>
      <c r="M919" s="21">
        <v>41900</v>
      </c>
      <c r="N919" s="21">
        <v>568164</v>
      </c>
      <c r="O919" s="21">
        <v>65364</v>
      </c>
      <c r="P919">
        <v>4</v>
      </c>
      <c r="Q919" t="s">
        <v>126</v>
      </c>
      <c r="R919" s="37">
        <v>8</v>
      </c>
      <c r="S919" s="37">
        <v>35</v>
      </c>
      <c r="T919" t="s">
        <v>105</v>
      </c>
      <c r="U919" t="s">
        <v>44</v>
      </c>
      <c r="V919" t="s">
        <v>45</v>
      </c>
    </row>
    <row r="920" spans="1:22" ht="15" customHeight="1" x14ac:dyDescent="0.3">
      <c r="A920" t="s">
        <v>1566</v>
      </c>
      <c r="B920" s="20">
        <v>45839</v>
      </c>
      <c r="C920" t="s">
        <v>692</v>
      </c>
      <c r="D920" t="s">
        <v>48</v>
      </c>
      <c r="E920" s="37">
        <v>23</v>
      </c>
      <c r="F920" t="s">
        <v>86</v>
      </c>
      <c r="G920" t="s">
        <v>87</v>
      </c>
      <c r="H920" t="s">
        <v>74</v>
      </c>
      <c r="I920" t="s">
        <v>82</v>
      </c>
      <c r="J920" t="s">
        <v>115</v>
      </c>
      <c r="K920" s="37">
        <v>10</v>
      </c>
      <c r="L920" t="s">
        <v>52</v>
      </c>
      <c r="M920" s="21">
        <v>74200</v>
      </c>
      <c r="N920" s="21">
        <v>1032863</v>
      </c>
      <c r="O920" s="21">
        <v>142464</v>
      </c>
      <c r="P920">
        <v>4</v>
      </c>
      <c r="Q920" t="s">
        <v>42</v>
      </c>
      <c r="R920" s="37">
        <v>5</v>
      </c>
      <c r="S920" s="37">
        <v>33</v>
      </c>
      <c r="T920" t="s">
        <v>62</v>
      </c>
      <c r="U920" t="s">
        <v>63</v>
      </c>
      <c r="V920" t="s">
        <v>69</v>
      </c>
    </row>
    <row r="921" spans="1:22" ht="15" customHeight="1" x14ac:dyDescent="0.3">
      <c r="A921" t="s">
        <v>1567</v>
      </c>
      <c r="B921" s="20">
        <v>45924</v>
      </c>
      <c r="C921" t="s">
        <v>870</v>
      </c>
      <c r="D921" t="s">
        <v>35</v>
      </c>
      <c r="E921" s="37">
        <v>39</v>
      </c>
      <c r="F921" t="s">
        <v>123</v>
      </c>
      <c r="G921" t="s">
        <v>124</v>
      </c>
      <c r="H921" t="s">
        <v>38</v>
      </c>
      <c r="I921" t="s">
        <v>39</v>
      </c>
      <c r="J921" t="s">
        <v>40</v>
      </c>
      <c r="K921" s="37">
        <v>10</v>
      </c>
      <c r="L921" t="s">
        <v>52</v>
      </c>
      <c r="M921" s="21">
        <v>37300</v>
      </c>
      <c r="N921" s="21">
        <v>501312</v>
      </c>
      <c r="O921" s="21">
        <v>53712</v>
      </c>
      <c r="P921">
        <v>4</v>
      </c>
      <c r="Q921" t="s">
        <v>42</v>
      </c>
      <c r="R921" s="37">
        <v>9</v>
      </c>
      <c r="S921" s="37">
        <v>27</v>
      </c>
      <c r="T921" t="s">
        <v>105</v>
      </c>
      <c r="U921" t="s">
        <v>63</v>
      </c>
      <c r="V921" t="s">
        <v>45</v>
      </c>
    </row>
    <row r="922" spans="1:22" ht="15" customHeight="1" x14ac:dyDescent="0.3">
      <c r="A922" t="s">
        <v>1568</v>
      </c>
      <c r="B922" s="20">
        <v>45707</v>
      </c>
      <c r="C922" t="s">
        <v>184</v>
      </c>
      <c r="D922" t="s">
        <v>35</v>
      </c>
      <c r="E922" s="37">
        <v>46</v>
      </c>
      <c r="F922" t="s">
        <v>123</v>
      </c>
      <c r="G922" t="s">
        <v>124</v>
      </c>
      <c r="H922" t="s">
        <v>66</v>
      </c>
      <c r="I922" t="s">
        <v>82</v>
      </c>
      <c r="J922" t="s">
        <v>161</v>
      </c>
      <c r="K922" s="37">
        <v>21</v>
      </c>
      <c r="L922" t="s">
        <v>52</v>
      </c>
      <c r="M922" s="21">
        <v>72000</v>
      </c>
      <c r="N922" s="21">
        <v>959040</v>
      </c>
      <c r="O922" s="21">
        <v>95040</v>
      </c>
      <c r="P922">
        <v>4</v>
      </c>
      <c r="Q922" t="s">
        <v>42</v>
      </c>
      <c r="R922" s="37">
        <v>13</v>
      </c>
      <c r="S922" s="37">
        <v>28</v>
      </c>
      <c r="T922" t="s">
        <v>62</v>
      </c>
      <c r="U922" t="s">
        <v>54</v>
      </c>
      <c r="V922" t="s">
        <v>45</v>
      </c>
    </row>
    <row r="923" spans="1:22" ht="15" customHeight="1" x14ac:dyDescent="0.3">
      <c r="A923" t="s">
        <v>1569</v>
      </c>
      <c r="B923" s="20">
        <v>45983</v>
      </c>
      <c r="C923" t="s">
        <v>1570</v>
      </c>
      <c r="D923" t="s">
        <v>35</v>
      </c>
      <c r="E923" s="37">
        <v>54</v>
      </c>
      <c r="F923" t="s">
        <v>97</v>
      </c>
      <c r="G923" t="s">
        <v>98</v>
      </c>
      <c r="H923" t="s">
        <v>66</v>
      </c>
      <c r="I923" t="s">
        <v>39</v>
      </c>
      <c r="J923" t="s">
        <v>93</v>
      </c>
      <c r="K923" s="37">
        <v>28</v>
      </c>
      <c r="L923" t="s">
        <v>120</v>
      </c>
      <c r="M923" s="21">
        <v>37100</v>
      </c>
      <c r="N923" s="21">
        <v>520883</v>
      </c>
      <c r="O923" s="21">
        <v>75684</v>
      </c>
      <c r="P923">
        <v>4</v>
      </c>
      <c r="Q923" t="s">
        <v>42</v>
      </c>
      <c r="R923" s="37">
        <v>11</v>
      </c>
      <c r="S923" s="37">
        <v>21</v>
      </c>
      <c r="T923" t="s">
        <v>175</v>
      </c>
      <c r="U923" t="s">
        <v>63</v>
      </c>
      <c r="V923" t="s">
        <v>69</v>
      </c>
    </row>
    <row r="924" spans="1:22" ht="15" customHeight="1" x14ac:dyDescent="0.3">
      <c r="A924" t="s">
        <v>1571</v>
      </c>
      <c r="B924" s="20">
        <v>45819</v>
      </c>
      <c r="C924" t="s">
        <v>1043</v>
      </c>
      <c r="D924" t="s">
        <v>48</v>
      </c>
      <c r="E924" s="37">
        <v>34</v>
      </c>
      <c r="F924" t="s">
        <v>49</v>
      </c>
      <c r="G924" t="s">
        <v>50</v>
      </c>
      <c r="H924" t="s">
        <v>74</v>
      </c>
      <c r="I924" t="s">
        <v>82</v>
      </c>
      <c r="J924" t="s">
        <v>367</v>
      </c>
      <c r="K924" s="37">
        <v>22</v>
      </c>
      <c r="L924" t="s">
        <v>41</v>
      </c>
      <c r="M924" s="21">
        <v>69200</v>
      </c>
      <c r="N924" s="21">
        <v>988176</v>
      </c>
      <c r="O924" s="21">
        <v>157776</v>
      </c>
      <c r="P924">
        <v>3</v>
      </c>
      <c r="Q924" t="s">
        <v>42</v>
      </c>
      <c r="R924" s="37">
        <v>15</v>
      </c>
      <c r="S924" s="37">
        <v>11</v>
      </c>
      <c r="T924" t="s">
        <v>175</v>
      </c>
      <c r="U924" t="s">
        <v>54</v>
      </c>
      <c r="V924" t="s">
        <v>45</v>
      </c>
    </row>
    <row r="925" spans="1:22" ht="15" customHeight="1" x14ac:dyDescent="0.3">
      <c r="A925" t="s">
        <v>1572</v>
      </c>
      <c r="B925" s="20">
        <v>45678</v>
      </c>
      <c r="C925" t="s">
        <v>362</v>
      </c>
      <c r="D925" t="s">
        <v>35</v>
      </c>
      <c r="E925" s="37">
        <v>44</v>
      </c>
      <c r="F925" t="s">
        <v>57</v>
      </c>
      <c r="G925" t="s">
        <v>58</v>
      </c>
      <c r="H925" t="s">
        <v>38</v>
      </c>
      <c r="I925" t="s">
        <v>51</v>
      </c>
      <c r="J925" t="s">
        <v>190</v>
      </c>
      <c r="K925" s="37">
        <v>18</v>
      </c>
      <c r="L925" t="s">
        <v>52</v>
      </c>
      <c r="M925" s="21">
        <v>183700</v>
      </c>
      <c r="N925" s="21">
        <v>2623236</v>
      </c>
      <c r="O925" s="21">
        <v>418836</v>
      </c>
      <c r="P925">
        <v>3</v>
      </c>
      <c r="Q925" t="s">
        <v>42</v>
      </c>
      <c r="R925" s="37">
        <v>6</v>
      </c>
      <c r="S925" s="37">
        <v>40</v>
      </c>
      <c r="T925" t="s">
        <v>62</v>
      </c>
      <c r="U925" t="s">
        <v>63</v>
      </c>
      <c r="V925" t="s">
        <v>69</v>
      </c>
    </row>
    <row r="926" spans="1:22" ht="15" customHeight="1" x14ac:dyDescent="0.3">
      <c r="A926" t="s">
        <v>1573</v>
      </c>
      <c r="B926" s="20">
        <v>45817</v>
      </c>
      <c r="C926" t="s">
        <v>956</v>
      </c>
      <c r="D926" t="s">
        <v>48</v>
      </c>
      <c r="E926" s="37">
        <v>24</v>
      </c>
      <c r="F926" t="s">
        <v>91</v>
      </c>
      <c r="G926" t="s">
        <v>92</v>
      </c>
      <c r="H926" t="s">
        <v>74</v>
      </c>
      <c r="I926" t="s">
        <v>82</v>
      </c>
      <c r="J926" t="s">
        <v>83</v>
      </c>
      <c r="K926" s="37">
        <v>29</v>
      </c>
      <c r="L926" t="s">
        <v>52</v>
      </c>
      <c r="M926" s="21">
        <v>60200</v>
      </c>
      <c r="N926" s="21">
        <v>859656</v>
      </c>
      <c r="O926" s="21">
        <v>137256</v>
      </c>
      <c r="P926">
        <v>3</v>
      </c>
      <c r="Q926" t="s">
        <v>42</v>
      </c>
      <c r="R926" s="37">
        <v>16</v>
      </c>
      <c r="S926" s="37">
        <v>6</v>
      </c>
      <c r="T926" t="s">
        <v>129</v>
      </c>
      <c r="U926" t="s">
        <v>63</v>
      </c>
      <c r="V926" t="s">
        <v>45</v>
      </c>
    </row>
    <row r="927" spans="1:22" ht="15" customHeight="1" x14ac:dyDescent="0.3">
      <c r="A927" t="s">
        <v>1574</v>
      </c>
      <c r="B927" s="20">
        <v>46000</v>
      </c>
      <c r="C927" t="s">
        <v>1575</v>
      </c>
      <c r="D927" t="s">
        <v>35</v>
      </c>
      <c r="E927" s="37">
        <v>57</v>
      </c>
      <c r="F927" t="s">
        <v>123</v>
      </c>
      <c r="G927" t="s">
        <v>124</v>
      </c>
      <c r="H927" t="s">
        <v>38</v>
      </c>
      <c r="I927" t="s">
        <v>82</v>
      </c>
      <c r="J927" t="s">
        <v>134</v>
      </c>
      <c r="K927" s="37">
        <v>29</v>
      </c>
      <c r="L927" t="s">
        <v>52</v>
      </c>
      <c r="M927" s="21">
        <v>49900</v>
      </c>
      <c r="N927" s="21">
        <v>646704</v>
      </c>
      <c r="O927" s="21">
        <v>47904</v>
      </c>
      <c r="P927">
        <v>2</v>
      </c>
      <c r="Q927" t="s">
        <v>42</v>
      </c>
      <c r="R927" s="37">
        <v>17</v>
      </c>
      <c r="S927" s="37">
        <v>16</v>
      </c>
      <c r="T927" t="s">
        <v>68</v>
      </c>
      <c r="U927" t="s">
        <v>138</v>
      </c>
      <c r="V927" t="s">
        <v>45</v>
      </c>
    </row>
    <row r="928" spans="1:22" ht="15" customHeight="1" x14ac:dyDescent="0.3">
      <c r="A928" t="s">
        <v>1576</v>
      </c>
      <c r="B928" s="20">
        <v>45789</v>
      </c>
      <c r="C928" t="s">
        <v>1577</v>
      </c>
      <c r="D928" t="s">
        <v>48</v>
      </c>
      <c r="E928" s="37">
        <v>24</v>
      </c>
      <c r="F928" t="s">
        <v>80</v>
      </c>
      <c r="G928" t="s">
        <v>81</v>
      </c>
      <c r="H928" t="s">
        <v>66</v>
      </c>
      <c r="I928" t="s">
        <v>51</v>
      </c>
      <c r="J928" t="s">
        <v>149</v>
      </c>
      <c r="K928" s="37">
        <v>28</v>
      </c>
      <c r="L928" t="s">
        <v>41</v>
      </c>
      <c r="M928" s="21">
        <v>278400</v>
      </c>
      <c r="N928" s="21">
        <v>3775103</v>
      </c>
      <c r="O928" s="21">
        <v>434304</v>
      </c>
      <c r="P928">
        <v>4</v>
      </c>
      <c r="Q928" t="s">
        <v>42</v>
      </c>
      <c r="R928" s="37">
        <v>15</v>
      </c>
      <c r="S928" s="37">
        <v>31</v>
      </c>
      <c r="T928" t="s">
        <v>105</v>
      </c>
      <c r="U928" t="s">
        <v>138</v>
      </c>
      <c r="V928" t="s">
        <v>69</v>
      </c>
    </row>
    <row r="929" spans="1:22" ht="15" customHeight="1" x14ac:dyDescent="0.3">
      <c r="A929" t="s">
        <v>1578</v>
      </c>
      <c r="B929" s="20">
        <v>45902</v>
      </c>
      <c r="C929" t="s">
        <v>1579</v>
      </c>
      <c r="D929" t="s">
        <v>35</v>
      </c>
      <c r="E929" s="37">
        <v>42</v>
      </c>
      <c r="F929" t="s">
        <v>72</v>
      </c>
      <c r="G929" t="s">
        <v>73</v>
      </c>
      <c r="H929" t="s">
        <v>38</v>
      </c>
      <c r="I929" t="s">
        <v>75</v>
      </c>
      <c r="J929" t="s">
        <v>110</v>
      </c>
      <c r="K929" s="37">
        <v>25</v>
      </c>
      <c r="L929" t="s">
        <v>52</v>
      </c>
      <c r="M929" s="21">
        <v>73200</v>
      </c>
      <c r="N929" s="21">
        <v>1001376</v>
      </c>
      <c r="O929" s="21">
        <v>122976</v>
      </c>
      <c r="P929">
        <v>5</v>
      </c>
      <c r="Q929" t="s">
        <v>42</v>
      </c>
      <c r="R929" s="37">
        <v>8</v>
      </c>
      <c r="S929" s="37">
        <v>34</v>
      </c>
      <c r="T929" t="s">
        <v>94</v>
      </c>
      <c r="U929" t="s">
        <v>44</v>
      </c>
      <c r="V929" t="s">
        <v>69</v>
      </c>
    </row>
    <row r="930" spans="1:22" ht="15" customHeight="1" x14ac:dyDescent="0.3">
      <c r="A930" t="s">
        <v>1580</v>
      </c>
      <c r="B930" s="20">
        <v>45717</v>
      </c>
      <c r="C930" t="s">
        <v>777</v>
      </c>
      <c r="D930" t="s">
        <v>48</v>
      </c>
      <c r="E930" s="37">
        <v>26</v>
      </c>
      <c r="F930" t="s">
        <v>49</v>
      </c>
      <c r="G930" t="s">
        <v>50</v>
      </c>
      <c r="H930" t="s">
        <v>74</v>
      </c>
      <c r="I930" t="s">
        <v>75</v>
      </c>
      <c r="J930" t="s">
        <v>76</v>
      </c>
      <c r="K930" s="37">
        <v>15</v>
      </c>
      <c r="L930" t="s">
        <v>52</v>
      </c>
      <c r="M930" s="21">
        <v>110500</v>
      </c>
      <c r="N930" s="21">
        <v>1498379</v>
      </c>
      <c r="O930" s="21">
        <v>172380</v>
      </c>
      <c r="P930">
        <v>5</v>
      </c>
      <c r="Q930" t="s">
        <v>42</v>
      </c>
      <c r="R930" s="37">
        <v>15</v>
      </c>
      <c r="S930" s="37">
        <v>24</v>
      </c>
      <c r="T930" t="s">
        <v>62</v>
      </c>
      <c r="U930" t="s">
        <v>44</v>
      </c>
      <c r="V930" t="s">
        <v>45</v>
      </c>
    </row>
    <row r="931" spans="1:22" ht="15" customHeight="1" x14ac:dyDescent="0.3">
      <c r="A931" t="s">
        <v>1581</v>
      </c>
      <c r="B931" s="20">
        <v>45963</v>
      </c>
      <c r="C931" t="s">
        <v>1134</v>
      </c>
      <c r="D931" t="s">
        <v>48</v>
      </c>
      <c r="E931" s="37">
        <v>46</v>
      </c>
      <c r="F931" t="s">
        <v>97</v>
      </c>
      <c r="G931" t="s">
        <v>98</v>
      </c>
      <c r="H931" t="s">
        <v>118</v>
      </c>
      <c r="I931" t="s">
        <v>51</v>
      </c>
      <c r="J931" t="s">
        <v>119</v>
      </c>
      <c r="K931" s="37">
        <v>23</v>
      </c>
      <c r="L931" t="s">
        <v>41</v>
      </c>
      <c r="M931" s="21">
        <v>210200</v>
      </c>
      <c r="N931" s="21">
        <v>2925984</v>
      </c>
      <c r="O931" s="21">
        <v>403584</v>
      </c>
      <c r="P931">
        <v>2</v>
      </c>
      <c r="Q931" t="s">
        <v>42</v>
      </c>
      <c r="R931" s="37">
        <v>6</v>
      </c>
      <c r="S931" s="37">
        <v>22</v>
      </c>
      <c r="T931" t="s">
        <v>94</v>
      </c>
      <c r="U931" t="s">
        <v>54</v>
      </c>
      <c r="V931" t="s">
        <v>69</v>
      </c>
    </row>
    <row r="932" spans="1:22" ht="15" customHeight="1" x14ac:dyDescent="0.3">
      <c r="A932" t="s">
        <v>1582</v>
      </c>
      <c r="B932" s="20">
        <v>45825</v>
      </c>
      <c r="C932" t="s">
        <v>1208</v>
      </c>
      <c r="D932" t="s">
        <v>35</v>
      </c>
      <c r="E932" s="37">
        <v>37</v>
      </c>
      <c r="F932" t="s">
        <v>108</v>
      </c>
      <c r="G932" t="s">
        <v>109</v>
      </c>
      <c r="H932" t="s">
        <v>38</v>
      </c>
      <c r="I932" t="s">
        <v>82</v>
      </c>
      <c r="J932" t="s">
        <v>40</v>
      </c>
      <c r="K932" s="37">
        <v>19</v>
      </c>
      <c r="L932" t="s">
        <v>52</v>
      </c>
      <c r="M932" s="21">
        <v>63300</v>
      </c>
      <c r="N932" s="21">
        <v>827964</v>
      </c>
      <c r="O932" s="21">
        <v>68364</v>
      </c>
      <c r="P932">
        <v>3</v>
      </c>
      <c r="Q932" t="s">
        <v>42</v>
      </c>
      <c r="R932" s="37">
        <v>6</v>
      </c>
      <c r="S932" s="37">
        <v>9</v>
      </c>
      <c r="T932" t="s">
        <v>146</v>
      </c>
      <c r="U932" t="s">
        <v>63</v>
      </c>
      <c r="V932" t="s">
        <v>45</v>
      </c>
    </row>
    <row r="933" spans="1:22" ht="15" customHeight="1" x14ac:dyDescent="0.3">
      <c r="A933" t="s">
        <v>1583</v>
      </c>
      <c r="B933" s="20">
        <v>45771</v>
      </c>
      <c r="C933" t="s">
        <v>214</v>
      </c>
      <c r="D933" t="s">
        <v>48</v>
      </c>
      <c r="E933" s="37">
        <v>55</v>
      </c>
      <c r="F933" t="s">
        <v>108</v>
      </c>
      <c r="G933" t="s">
        <v>109</v>
      </c>
      <c r="H933" t="s">
        <v>59</v>
      </c>
      <c r="I933" t="s">
        <v>60</v>
      </c>
      <c r="J933" t="s">
        <v>88</v>
      </c>
      <c r="K933" s="37">
        <v>28</v>
      </c>
      <c r="L933" t="s">
        <v>52</v>
      </c>
      <c r="M933" s="21">
        <v>129600</v>
      </c>
      <c r="N933" s="21">
        <v>1695168</v>
      </c>
      <c r="O933" s="21">
        <v>139968</v>
      </c>
      <c r="P933">
        <v>5</v>
      </c>
      <c r="Q933" t="s">
        <v>42</v>
      </c>
      <c r="R933" s="37">
        <v>12</v>
      </c>
      <c r="S933" s="37">
        <v>34</v>
      </c>
      <c r="T933" t="s">
        <v>146</v>
      </c>
      <c r="U933" t="s">
        <v>138</v>
      </c>
      <c r="V933" t="s">
        <v>45</v>
      </c>
    </row>
    <row r="934" spans="1:22" ht="15" customHeight="1" x14ac:dyDescent="0.3">
      <c r="A934" t="s">
        <v>1584</v>
      </c>
      <c r="B934" s="20">
        <v>45810</v>
      </c>
      <c r="C934" t="s">
        <v>1585</v>
      </c>
      <c r="D934" t="s">
        <v>48</v>
      </c>
      <c r="E934" s="37">
        <v>39</v>
      </c>
      <c r="F934" t="s">
        <v>57</v>
      </c>
      <c r="G934" t="s">
        <v>58</v>
      </c>
      <c r="H934" t="s">
        <v>74</v>
      </c>
      <c r="I934" t="s">
        <v>39</v>
      </c>
      <c r="J934" t="s">
        <v>83</v>
      </c>
      <c r="K934" s="37">
        <v>15</v>
      </c>
      <c r="L934" t="s">
        <v>52</v>
      </c>
      <c r="M934" s="21">
        <v>45500</v>
      </c>
      <c r="N934" s="21">
        <v>611520</v>
      </c>
      <c r="O934" s="21">
        <v>65520</v>
      </c>
      <c r="P934">
        <v>5</v>
      </c>
      <c r="Q934" t="s">
        <v>42</v>
      </c>
      <c r="R934" s="37">
        <v>7</v>
      </c>
      <c r="S934" s="37">
        <v>25</v>
      </c>
      <c r="T934" t="s">
        <v>105</v>
      </c>
      <c r="U934" t="s">
        <v>44</v>
      </c>
      <c r="V934" t="s">
        <v>69</v>
      </c>
    </row>
    <row r="935" spans="1:22" ht="15" customHeight="1" x14ac:dyDescent="0.3">
      <c r="A935" t="s">
        <v>1586</v>
      </c>
      <c r="B935" s="20">
        <v>45921</v>
      </c>
      <c r="C935" t="s">
        <v>743</v>
      </c>
      <c r="D935" t="s">
        <v>35</v>
      </c>
      <c r="E935" s="37">
        <v>43</v>
      </c>
      <c r="F935" t="s">
        <v>57</v>
      </c>
      <c r="G935" t="s">
        <v>58</v>
      </c>
      <c r="H935" t="s">
        <v>38</v>
      </c>
      <c r="I935" t="s">
        <v>82</v>
      </c>
      <c r="J935" t="s">
        <v>134</v>
      </c>
      <c r="K935" s="37">
        <v>10</v>
      </c>
      <c r="L935" t="s">
        <v>52</v>
      </c>
      <c r="M935" s="21">
        <v>60400</v>
      </c>
      <c r="N935" s="21">
        <v>775536</v>
      </c>
      <c r="O935" s="21">
        <v>50736</v>
      </c>
      <c r="P935">
        <v>5</v>
      </c>
      <c r="Q935" t="s">
        <v>42</v>
      </c>
      <c r="R935" s="37">
        <v>11</v>
      </c>
      <c r="S935" s="37">
        <v>24</v>
      </c>
      <c r="T935" t="s">
        <v>68</v>
      </c>
      <c r="U935" t="s">
        <v>44</v>
      </c>
      <c r="V935" t="s">
        <v>45</v>
      </c>
    </row>
    <row r="936" spans="1:22" ht="15" customHeight="1" x14ac:dyDescent="0.3">
      <c r="A936" t="s">
        <v>1587</v>
      </c>
      <c r="B936" s="20">
        <v>46015</v>
      </c>
      <c r="C936" t="s">
        <v>1532</v>
      </c>
      <c r="D936" t="s">
        <v>48</v>
      </c>
      <c r="E936" s="37">
        <v>42</v>
      </c>
      <c r="F936" t="s">
        <v>86</v>
      </c>
      <c r="G936" t="s">
        <v>87</v>
      </c>
      <c r="H936" t="s">
        <v>118</v>
      </c>
      <c r="I936" t="s">
        <v>51</v>
      </c>
      <c r="J936" t="s">
        <v>250</v>
      </c>
      <c r="K936" s="37">
        <v>1</v>
      </c>
      <c r="L936" t="s">
        <v>52</v>
      </c>
      <c r="M936" s="21">
        <v>185700</v>
      </c>
      <c r="N936" s="21">
        <v>2629512</v>
      </c>
      <c r="O936" s="21">
        <v>401112</v>
      </c>
      <c r="P936">
        <v>5</v>
      </c>
      <c r="Q936" t="s">
        <v>42</v>
      </c>
      <c r="R936" s="37">
        <v>14</v>
      </c>
      <c r="S936" s="37">
        <v>38</v>
      </c>
      <c r="T936" t="s">
        <v>105</v>
      </c>
      <c r="U936" t="s">
        <v>63</v>
      </c>
      <c r="V936" t="s">
        <v>45</v>
      </c>
    </row>
    <row r="937" spans="1:22" ht="15" customHeight="1" x14ac:dyDescent="0.3">
      <c r="A937" t="s">
        <v>1588</v>
      </c>
      <c r="B937" s="20">
        <v>45916</v>
      </c>
      <c r="C937" t="s">
        <v>1257</v>
      </c>
      <c r="D937" t="s">
        <v>35</v>
      </c>
      <c r="E937" s="37">
        <v>42</v>
      </c>
      <c r="F937" t="s">
        <v>80</v>
      </c>
      <c r="G937" t="s">
        <v>81</v>
      </c>
      <c r="H937" t="s">
        <v>74</v>
      </c>
      <c r="I937" t="s">
        <v>75</v>
      </c>
      <c r="J937" t="s">
        <v>76</v>
      </c>
      <c r="K937" s="37">
        <v>26</v>
      </c>
      <c r="L937" t="s">
        <v>52</v>
      </c>
      <c r="M937" s="21">
        <v>108300</v>
      </c>
      <c r="N937" s="21">
        <v>1455552</v>
      </c>
      <c r="O937" s="21">
        <v>155952</v>
      </c>
      <c r="P937">
        <v>3</v>
      </c>
      <c r="Q937" t="s">
        <v>42</v>
      </c>
      <c r="R937" s="37">
        <v>15</v>
      </c>
      <c r="S937" s="37">
        <v>9</v>
      </c>
      <c r="T937" t="s">
        <v>53</v>
      </c>
      <c r="U937" t="s">
        <v>44</v>
      </c>
      <c r="V937" t="s">
        <v>45</v>
      </c>
    </row>
    <row r="938" spans="1:22" ht="15" customHeight="1" x14ac:dyDescent="0.3">
      <c r="A938" t="s">
        <v>1589</v>
      </c>
      <c r="B938" s="20">
        <v>45979</v>
      </c>
      <c r="C938" t="s">
        <v>1590</v>
      </c>
      <c r="D938" t="s">
        <v>35</v>
      </c>
      <c r="E938" s="37">
        <v>28</v>
      </c>
      <c r="F938" t="s">
        <v>86</v>
      </c>
      <c r="G938" t="s">
        <v>87</v>
      </c>
      <c r="H938" t="s">
        <v>59</v>
      </c>
      <c r="I938" t="s">
        <v>39</v>
      </c>
      <c r="J938" t="s">
        <v>104</v>
      </c>
      <c r="K938" s="37">
        <v>2</v>
      </c>
      <c r="L938" t="s">
        <v>52</v>
      </c>
      <c r="M938" s="21">
        <v>27700</v>
      </c>
      <c r="N938" s="21">
        <v>352344</v>
      </c>
      <c r="O938" s="21">
        <v>19944</v>
      </c>
      <c r="P938">
        <v>5</v>
      </c>
      <c r="Q938" t="s">
        <v>42</v>
      </c>
      <c r="R938" s="37">
        <v>9</v>
      </c>
      <c r="S938" s="37">
        <v>22</v>
      </c>
      <c r="T938" t="s">
        <v>53</v>
      </c>
      <c r="U938" t="s">
        <v>44</v>
      </c>
      <c r="V938" t="s">
        <v>45</v>
      </c>
    </row>
    <row r="939" spans="1:22" ht="15" customHeight="1" x14ac:dyDescent="0.3">
      <c r="A939" t="s">
        <v>1591</v>
      </c>
      <c r="B939" s="20">
        <v>45774</v>
      </c>
      <c r="C939" t="s">
        <v>348</v>
      </c>
      <c r="D939" t="s">
        <v>48</v>
      </c>
      <c r="E939" s="37">
        <v>33</v>
      </c>
      <c r="F939" t="s">
        <v>123</v>
      </c>
      <c r="G939" t="s">
        <v>124</v>
      </c>
      <c r="H939" t="s">
        <v>59</v>
      </c>
      <c r="I939" t="s">
        <v>82</v>
      </c>
      <c r="J939" t="s">
        <v>141</v>
      </c>
      <c r="K939" s="37">
        <v>8</v>
      </c>
      <c r="L939" t="s">
        <v>52</v>
      </c>
      <c r="M939" s="21">
        <v>59500</v>
      </c>
      <c r="N939" s="21">
        <v>792540</v>
      </c>
      <c r="O939" s="21">
        <v>78540</v>
      </c>
      <c r="P939">
        <v>2</v>
      </c>
      <c r="Q939" t="s">
        <v>42</v>
      </c>
      <c r="R939" s="37">
        <v>6</v>
      </c>
      <c r="S939" s="37">
        <v>9</v>
      </c>
      <c r="T939" t="s">
        <v>43</v>
      </c>
      <c r="U939" t="s">
        <v>44</v>
      </c>
      <c r="V939" t="s">
        <v>45</v>
      </c>
    </row>
    <row r="940" spans="1:22" ht="15" customHeight="1" x14ac:dyDescent="0.3">
      <c r="A940" t="s">
        <v>1592</v>
      </c>
      <c r="B940" s="20">
        <v>45875</v>
      </c>
      <c r="C940" t="s">
        <v>449</v>
      </c>
      <c r="D940" t="s">
        <v>35</v>
      </c>
      <c r="E940" s="37">
        <v>55</v>
      </c>
      <c r="F940" t="s">
        <v>123</v>
      </c>
      <c r="G940" t="s">
        <v>124</v>
      </c>
      <c r="H940" t="s">
        <v>66</v>
      </c>
      <c r="I940" t="s">
        <v>39</v>
      </c>
      <c r="J940" t="s">
        <v>93</v>
      </c>
      <c r="K940" s="37">
        <v>28</v>
      </c>
      <c r="L940" t="s">
        <v>52</v>
      </c>
      <c r="M940" s="21">
        <v>44000</v>
      </c>
      <c r="N940" s="21">
        <v>570240</v>
      </c>
      <c r="O940" s="21">
        <v>42240</v>
      </c>
      <c r="P940">
        <v>4</v>
      </c>
      <c r="Q940" t="s">
        <v>42</v>
      </c>
      <c r="R940" s="37">
        <v>10</v>
      </c>
      <c r="S940" s="37">
        <v>12</v>
      </c>
      <c r="T940" t="s">
        <v>68</v>
      </c>
      <c r="U940" t="s">
        <v>138</v>
      </c>
      <c r="V940" t="s">
        <v>69</v>
      </c>
    </row>
    <row r="941" spans="1:22" ht="15" customHeight="1" x14ac:dyDescent="0.3">
      <c r="A941" t="s">
        <v>1593</v>
      </c>
      <c r="B941" s="20">
        <v>45670</v>
      </c>
      <c r="C941" t="s">
        <v>1106</v>
      </c>
      <c r="D941" t="s">
        <v>48</v>
      </c>
      <c r="E941" s="37">
        <v>28</v>
      </c>
      <c r="F941" t="s">
        <v>97</v>
      </c>
      <c r="G941" t="s">
        <v>98</v>
      </c>
      <c r="H941" t="s">
        <v>38</v>
      </c>
      <c r="I941" t="s">
        <v>75</v>
      </c>
      <c r="J941" t="s">
        <v>110</v>
      </c>
      <c r="K941" s="37">
        <v>18</v>
      </c>
      <c r="L941" t="s">
        <v>52</v>
      </c>
      <c r="M941" s="21">
        <v>75300</v>
      </c>
      <c r="N941" s="21">
        <v>984924</v>
      </c>
      <c r="O941" s="21">
        <v>81324</v>
      </c>
      <c r="P941">
        <v>3</v>
      </c>
      <c r="Q941" t="s">
        <v>42</v>
      </c>
      <c r="R941" s="37">
        <v>7</v>
      </c>
      <c r="S941" s="37">
        <v>31</v>
      </c>
      <c r="T941" t="s">
        <v>175</v>
      </c>
      <c r="U941" t="s">
        <v>63</v>
      </c>
      <c r="V941" t="s">
        <v>69</v>
      </c>
    </row>
    <row r="942" spans="1:22" ht="15" customHeight="1" x14ac:dyDescent="0.3">
      <c r="A942" t="s">
        <v>1594</v>
      </c>
      <c r="B942" s="20">
        <v>45736</v>
      </c>
      <c r="C942" t="s">
        <v>516</v>
      </c>
      <c r="D942" t="s">
        <v>48</v>
      </c>
      <c r="E942" s="37">
        <v>31</v>
      </c>
      <c r="F942" t="s">
        <v>91</v>
      </c>
      <c r="G942" t="s">
        <v>92</v>
      </c>
      <c r="H942" t="s">
        <v>66</v>
      </c>
      <c r="I942" t="s">
        <v>82</v>
      </c>
      <c r="J942" t="s">
        <v>67</v>
      </c>
      <c r="K942" s="37">
        <v>13</v>
      </c>
      <c r="L942" t="s">
        <v>52</v>
      </c>
      <c r="M942" s="21">
        <v>53700</v>
      </c>
      <c r="N942" s="21">
        <v>683064</v>
      </c>
      <c r="O942" s="21">
        <v>38664</v>
      </c>
      <c r="P942">
        <v>2</v>
      </c>
      <c r="Q942" t="s">
        <v>42</v>
      </c>
      <c r="R942" s="37">
        <v>2</v>
      </c>
      <c r="S942" s="37">
        <v>28</v>
      </c>
      <c r="T942" t="s">
        <v>53</v>
      </c>
      <c r="U942" t="s">
        <v>44</v>
      </c>
      <c r="V942" t="s">
        <v>45</v>
      </c>
    </row>
    <row r="943" spans="1:22" ht="15" customHeight="1" x14ac:dyDescent="0.3">
      <c r="A943" t="s">
        <v>1595</v>
      </c>
      <c r="B943" s="20">
        <v>45846</v>
      </c>
      <c r="C943" t="s">
        <v>1596</v>
      </c>
      <c r="D943" t="s">
        <v>35</v>
      </c>
      <c r="E943" s="37">
        <v>51</v>
      </c>
      <c r="F943" t="s">
        <v>91</v>
      </c>
      <c r="G943" t="s">
        <v>92</v>
      </c>
      <c r="H943" t="s">
        <v>118</v>
      </c>
      <c r="I943" t="s">
        <v>75</v>
      </c>
      <c r="J943" t="s">
        <v>137</v>
      </c>
      <c r="K943" s="37">
        <v>28</v>
      </c>
      <c r="L943" t="s">
        <v>52</v>
      </c>
      <c r="M943" s="21">
        <v>69100</v>
      </c>
      <c r="N943" s="21">
        <v>936995</v>
      </c>
      <c r="O943" s="21">
        <v>107796</v>
      </c>
      <c r="P943">
        <v>4</v>
      </c>
      <c r="Q943" t="s">
        <v>126</v>
      </c>
      <c r="R943" s="37">
        <v>4</v>
      </c>
      <c r="S943" s="37">
        <v>18</v>
      </c>
      <c r="T943" t="s">
        <v>105</v>
      </c>
      <c r="U943" t="s">
        <v>44</v>
      </c>
      <c r="V943" t="s">
        <v>45</v>
      </c>
    </row>
    <row r="944" spans="1:22" ht="15" customHeight="1" x14ac:dyDescent="0.3">
      <c r="A944" t="s">
        <v>1597</v>
      </c>
      <c r="B944" s="20">
        <v>45740</v>
      </c>
      <c r="C944" t="s">
        <v>1598</v>
      </c>
      <c r="D944" t="s">
        <v>48</v>
      </c>
      <c r="E944" s="37">
        <v>50</v>
      </c>
      <c r="F944" t="s">
        <v>86</v>
      </c>
      <c r="G944" t="s">
        <v>87</v>
      </c>
      <c r="H944" t="s">
        <v>38</v>
      </c>
      <c r="I944" t="s">
        <v>39</v>
      </c>
      <c r="J944" t="s">
        <v>190</v>
      </c>
      <c r="K944" s="37">
        <v>30</v>
      </c>
      <c r="L944" t="s">
        <v>52</v>
      </c>
      <c r="M944" s="21">
        <v>33200</v>
      </c>
      <c r="N944" s="21">
        <v>454176</v>
      </c>
      <c r="O944" s="21">
        <v>55776</v>
      </c>
      <c r="P944">
        <v>4</v>
      </c>
      <c r="Q944" t="s">
        <v>126</v>
      </c>
      <c r="R944" s="37">
        <v>19</v>
      </c>
      <c r="S944" s="37">
        <v>15</v>
      </c>
      <c r="T944" t="s">
        <v>62</v>
      </c>
      <c r="U944" t="s">
        <v>138</v>
      </c>
      <c r="V944" t="s">
        <v>45</v>
      </c>
    </row>
    <row r="945" spans="1:22" ht="15" customHeight="1" x14ac:dyDescent="0.3">
      <c r="A945" t="s">
        <v>1599</v>
      </c>
      <c r="B945" s="20">
        <v>45972</v>
      </c>
      <c r="C945" t="s">
        <v>753</v>
      </c>
      <c r="D945" t="s">
        <v>35</v>
      </c>
      <c r="E945" s="37">
        <v>40</v>
      </c>
      <c r="F945" t="s">
        <v>123</v>
      </c>
      <c r="G945" t="s">
        <v>124</v>
      </c>
      <c r="H945" t="s">
        <v>38</v>
      </c>
      <c r="I945" t="s">
        <v>39</v>
      </c>
      <c r="J945" t="s">
        <v>134</v>
      </c>
      <c r="K945" s="37">
        <v>30</v>
      </c>
      <c r="L945" t="s">
        <v>52</v>
      </c>
      <c r="M945" s="21">
        <v>31400</v>
      </c>
      <c r="N945" s="21">
        <v>437087</v>
      </c>
      <c r="O945" s="21">
        <v>60288</v>
      </c>
      <c r="P945">
        <v>3</v>
      </c>
      <c r="Q945" t="s">
        <v>42</v>
      </c>
      <c r="R945" s="37">
        <v>19</v>
      </c>
      <c r="S945" s="37">
        <v>23</v>
      </c>
      <c r="T945" t="s">
        <v>43</v>
      </c>
      <c r="U945" t="s">
        <v>63</v>
      </c>
      <c r="V945" t="s">
        <v>69</v>
      </c>
    </row>
    <row r="946" spans="1:22" ht="15" customHeight="1" x14ac:dyDescent="0.3">
      <c r="A946" t="s">
        <v>1600</v>
      </c>
      <c r="B946" s="20">
        <v>46007</v>
      </c>
      <c r="C946" t="s">
        <v>1415</v>
      </c>
      <c r="D946" t="s">
        <v>35</v>
      </c>
      <c r="E946" s="37">
        <v>45</v>
      </c>
      <c r="F946" t="s">
        <v>57</v>
      </c>
      <c r="G946" t="s">
        <v>58</v>
      </c>
      <c r="H946" t="s">
        <v>38</v>
      </c>
      <c r="I946" t="s">
        <v>51</v>
      </c>
      <c r="J946" t="s">
        <v>99</v>
      </c>
      <c r="K946" s="37">
        <v>19</v>
      </c>
      <c r="L946" t="s">
        <v>52</v>
      </c>
      <c r="M946" s="21">
        <v>237200</v>
      </c>
      <c r="N946" s="21">
        <v>3330288</v>
      </c>
      <c r="O946" s="21">
        <v>483888</v>
      </c>
      <c r="P946">
        <v>4</v>
      </c>
      <c r="Q946" t="s">
        <v>42</v>
      </c>
      <c r="R946" s="37">
        <v>2</v>
      </c>
      <c r="S946" s="37">
        <v>37</v>
      </c>
      <c r="T946" t="s">
        <v>77</v>
      </c>
      <c r="U946" t="s">
        <v>44</v>
      </c>
      <c r="V946" t="s">
        <v>45</v>
      </c>
    </row>
    <row r="947" spans="1:22" ht="15" customHeight="1" x14ac:dyDescent="0.3">
      <c r="A947" t="s">
        <v>1601</v>
      </c>
      <c r="B947" s="20">
        <v>45949</v>
      </c>
      <c r="C947" t="s">
        <v>988</v>
      </c>
      <c r="D947" t="s">
        <v>35</v>
      </c>
      <c r="E947" s="37">
        <v>42</v>
      </c>
      <c r="F947" t="s">
        <v>97</v>
      </c>
      <c r="G947" t="s">
        <v>98</v>
      </c>
      <c r="H947" t="s">
        <v>38</v>
      </c>
      <c r="I947" t="s">
        <v>51</v>
      </c>
      <c r="J947" t="s">
        <v>40</v>
      </c>
      <c r="K947" s="37">
        <v>30</v>
      </c>
      <c r="L947" t="s">
        <v>52</v>
      </c>
      <c r="M947" s="21">
        <v>210300</v>
      </c>
      <c r="N947" s="21">
        <v>2927376</v>
      </c>
      <c r="O947" s="21">
        <v>403776</v>
      </c>
      <c r="P947">
        <v>3</v>
      </c>
      <c r="Q947" t="s">
        <v>42</v>
      </c>
      <c r="R947" s="37">
        <v>14</v>
      </c>
      <c r="S947" s="37">
        <v>11</v>
      </c>
      <c r="T947" t="s">
        <v>94</v>
      </c>
      <c r="U947" t="s">
        <v>44</v>
      </c>
      <c r="V947" t="s">
        <v>69</v>
      </c>
    </row>
    <row r="948" spans="1:22" ht="15" customHeight="1" x14ac:dyDescent="0.3">
      <c r="A948" t="s">
        <v>1602</v>
      </c>
      <c r="B948" s="20">
        <v>45742</v>
      </c>
      <c r="C948" t="s">
        <v>1603</v>
      </c>
      <c r="D948" t="s">
        <v>48</v>
      </c>
      <c r="E948" s="37">
        <v>53</v>
      </c>
      <c r="F948" t="s">
        <v>80</v>
      </c>
      <c r="G948" t="s">
        <v>81</v>
      </c>
      <c r="H948" t="s">
        <v>74</v>
      </c>
      <c r="I948" t="s">
        <v>39</v>
      </c>
      <c r="J948" t="s">
        <v>83</v>
      </c>
      <c r="K948" s="37">
        <v>9</v>
      </c>
      <c r="L948" t="s">
        <v>52</v>
      </c>
      <c r="M948" s="21">
        <v>32100</v>
      </c>
      <c r="N948" s="21">
        <v>416016</v>
      </c>
      <c r="O948" s="21">
        <v>30816</v>
      </c>
      <c r="P948">
        <v>1</v>
      </c>
      <c r="Q948" t="s">
        <v>42</v>
      </c>
      <c r="R948" s="37">
        <v>18</v>
      </c>
      <c r="S948" s="37">
        <v>18</v>
      </c>
      <c r="T948" t="s">
        <v>62</v>
      </c>
      <c r="U948" t="s">
        <v>44</v>
      </c>
      <c r="V948" t="s">
        <v>69</v>
      </c>
    </row>
    <row r="949" spans="1:22" ht="15" customHeight="1" x14ac:dyDescent="0.3">
      <c r="A949" t="s">
        <v>1604</v>
      </c>
      <c r="B949" s="20">
        <v>45918</v>
      </c>
      <c r="C949" t="s">
        <v>1028</v>
      </c>
      <c r="D949" t="s">
        <v>48</v>
      </c>
      <c r="E949" s="37">
        <v>49</v>
      </c>
      <c r="F949" t="s">
        <v>80</v>
      </c>
      <c r="G949" t="s">
        <v>81</v>
      </c>
      <c r="H949" t="s">
        <v>66</v>
      </c>
      <c r="I949" t="s">
        <v>39</v>
      </c>
      <c r="J949" t="s">
        <v>93</v>
      </c>
      <c r="K949" s="37">
        <v>16</v>
      </c>
      <c r="L949" t="s">
        <v>52</v>
      </c>
      <c r="M949" s="21">
        <v>41800</v>
      </c>
      <c r="N949" s="21">
        <v>531696</v>
      </c>
      <c r="O949" s="21">
        <v>30096</v>
      </c>
      <c r="P949">
        <v>2</v>
      </c>
      <c r="Q949" t="s">
        <v>42</v>
      </c>
      <c r="R949" s="37">
        <v>4</v>
      </c>
      <c r="S949" s="37">
        <v>28</v>
      </c>
      <c r="T949" t="s">
        <v>43</v>
      </c>
      <c r="U949" t="s">
        <v>44</v>
      </c>
      <c r="V949" t="s">
        <v>69</v>
      </c>
    </row>
    <row r="950" spans="1:22" ht="15" customHeight="1" x14ac:dyDescent="0.3">
      <c r="A950" t="s">
        <v>1605</v>
      </c>
      <c r="B950" s="20">
        <v>45933</v>
      </c>
      <c r="C950" t="s">
        <v>1036</v>
      </c>
      <c r="D950" t="s">
        <v>48</v>
      </c>
      <c r="E950" s="37">
        <v>49</v>
      </c>
      <c r="F950" t="s">
        <v>80</v>
      </c>
      <c r="G950" t="s">
        <v>81</v>
      </c>
      <c r="H950" t="s">
        <v>118</v>
      </c>
      <c r="I950" t="s">
        <v>82</v>
      </c>
      <c r="J950" t="s">
        <v>219</v>
      </c>
      <c r="K950" s="37">
        <v>20</v>
      </c>
      <c r="L950" t="s">
        <v>41</v>
      </c>
      <c r="M950" s="21">
        <v>53800</v>
      </c>
      <c r="N950" s="21">
        <v>690792</v>
      </c>
      <c r="O950" s="21">
        <v>45192</v>
      </c>
      <c r="P950">
        <v>3</v>
      </c>
      <c r="Q950" t="s">
        <v>126</v>
      </c>
      <c r="R950" s="37">
        <v>6</v>
      </c>
      <c r="S950" s="37">
        <v>2</v>
      </c>
      <c r="T950" t="s">
        <v>62</v>
      </c>
      <c r="U950" t="s">
        <v>44</v>
      </c>
      <c r="V950" t="s">
        <v>45</v>
      </c>
    </row>
    <row r="951" spans="1:22" ht="15" customHeight="1" x14ac:dyDescent="0.3">
      <c r="A951" t="s">
        <v>1606</v>
      </c>
      <c r="B951" s="20">
        <v>45860</v>
      </c>
      <c r="C951" t="s">
        <v>249</v>
      </c>
      <c r="D951" t="s">
        <v>35</v>
      </c>
      <c r="E951" s="37">
        <v>51</v>
      </c>
      <c r="F951" t="s">
        <v>86</v>
      </c>
      <c r="G951" t="s">
        <v>87</v>
      </c>
      <c r="H951" t="s">
        <v>38</v>
      </c>
      <c r="I951" t="s">
        <v>82</v>
      </c>
      <c r="J951" t="s">
        <v>134</v>
      </c>
      <c r="K951" s="37">
        <v>6</v>
      </c>
      <c r="L951" t="s">
        <v>120</v>
      </c>
      <c r="M951" s="21">
        <v>60000</v>
      </c>
      <c r="N951" s="21">
        <v>856800</v>
      </c>
      <c r="O951" s="21">
        <v>136800</v>
      </c>
      <c r="P951">
        <v>3</v>
      </c>
      <c r="Q951" t="s">
        <v>42</v>
      </c>
      <c r="R951" s="37">
        <v>12</v>
      </c>
      <c r="S951" s="37">
        <v>16</v>
      </c>
      <c r="T951" t="s">
        <v>68</v>
      </c>
      <c r="U951" t="s">
        <v>63</v>
      </c>
      <c r="V951" t="s">
        <v>45</v>
      </c>
    </row>
    <row r="952" spans="1:22" ht="15" customHeight="1" x14ac:dyDescent="0.3">
      <c r="A952" t="s">
        <v>1607</v>
      </c>
      <c r="B952" s="20">
        <v>45780</v>
      </c>
      <c r="C952" t="s">
        <v>821</v>
      </c>
      <c r="D952" t="s">
        <v>35</v>
      </c>
      <c r="E952" s="37">
        <v>31</v>
      </c>
      <c r="F952" t="s">
        <v>108</v>
      </c>
      <c r="G952" t="s">
        <v>109</v>
      </c>
      <c r="H952" t="s">
        <v>38</v>
      </c>
      <c r="I952" t="s">
        <v>39</v>
      </c>
      <c r="J952" t="s">
        <v>134</v>
      </c>
      <c r="K952" s="37">
        <v>2</v>
      </c>
      <c r="L952" t="s">
        <v>52</v>
      </c>
      <c r="M952" s="21">
        <v>29800</v>
      </c>
      <c r="N952" s="21">
        <v>418392</v>
      </c>
      <c r="O952" s="21">
        <v>60792</v>
      </c>
      <c r="P952">
        <v>4</v>
      </c>
      <c r="Q952" t="s">
        <v>42</v>
      </c>
      <c r="R952" s="37">
        <v>5</v>
      </c>
      <c r="S952" s="37">
        <v>13</v>
      </c>
      <c r="T952" t="s">
        <v>94</v>
      </c>
      <c r="U952" t="s">
        <v>63</v>
      </c>
      <c r="V952" t="s">
        <v>45</v>
      </c>
    </row>
    <row r="953" spans="1:22" ht="15" customHeight="1" x14ac:dyDescent="0.3">
      <c r="A953" t="s">
        <v>1608</v>
      </c>
      <c r="B953" s="20">
        <v>45932</v>
      </c>
      <c r="C953" t="s">
        <v>821</v>
      </c>
      <c r="D953" t="s">
        <v>35</v>
      </c>
      <c r="E953" s="37">
        <v>22</v>
      </c>
      <c r="F953" t="s">
        <v>123</v>
      </c>
      <c r="G953" t="s">
        <v>124</v>
      </c>
      <c r="H953" t="s">
        <v>66</v>
      </c>
      <c r="I953" t="s">
        <v>75</v>
      </c>
      <c r="J953" t="s">
        <v>93</v>
      </c>
      <c r="K953" s="37">
        <v>22</v>
      </c>
      <c r="L953" t="s">
        <v>52</v>
      </c>
      <c r="M953" s="21">
        <v>108000</v>
      </c>
      <c r="N953" s="21">
        <v>1373760</v>
      </c>
      <c r="O953" s="21">
        <v>77760</v>
      </c>
      <c r="P953">
        <v>3</v>
      </c>
      <c r="Q953" t="s">
        <v>42</v>
      </c>
      <c r="R953" s="37">
        <v>15</v>
      </c>
      <c r="S953" s="37">
        <v>15</v>
      </c>
      <c r="T953" t="s">
        <v>77</v>
      </c>
      <c r="U953" t="s">
        <v>54</v>
      </c>
      <c r="V953" t="s">
        <v>45</v>
      </c>
    </row>
    <row r="954" spans="1:22" ht="15" customHeight="1" x14ac:dyDescent="0.3">
      <c r="A954" t="s">
        <v>1609</v>
      </c>
      <c r="B954" s="20">
        <v>45948</v>
      </c>
      <c r="C954" t="s">
        <v>112</v>
      </c>
      <c r="D954" t="s">
        <v>35</v>
      </c>
      <c r="E954" s="37">
        <v>48</v>
      </c>
      <c r="F954" t="s">
        <v>57</v>
      </c>
      <c r="G954" t="s">
        <v>58</v>
      </c>
      <c r="H954" t="s">
        <v>38</v>
      </c>
      <c r="I954" t="s">
        <v>39</v>
      </c>
      <c r="J954" t="s">
        <v>99</v>
      </c>
      <c r="K954" s="37">
        <v>5</v>
      </c>
      <c r="L954" t="s">
        <v>52</v>
      </c>
      <c r="M954" s="21">
        <v>35200</v>
      </c>
      <c r="N954" s="21">
        <v>494207</v>
      </c>
      <c r="O954" s="21">
        <v>71808</v>
      </c>
      <c r="P954">
        <v>3</v>
      </c>
      <c r="Q954" t="s">
        <v>42</v>
      </c>
      <c r="R954" s="37">
        <v>19</v>
      </c>
      <c r="S954" s="37">
        <v>6</v>
      </c>
      <c r="T954" t="s">
        <v>77</v>
      </c>
      <c r="U954" t="s">
        <v>54</v>
      </c>
      <c r="V954" t="s">
        <v>69</v>
      </c>
    </row>
    <row r="955" spans="1:22" ht="15" customHeight="1" x14ac:dyDescent="0.3">
      <c r="A955" t="s">
        <v>1610</v>
      </c>
      <c r="B955" s="20">
        <v>45809</v>
      </c>
      <c r="C955" t="s">
        <v>566</v>
      </c>
      <c r="D955" t="s">
        <v>35</v>
      </c>
      <c r="E955" s="37">
        <v>26</v>
      </c>
      <c r="F955" t="s">
        <v>123</v>
      </c>
      <c r="G955" t="s">
        <v>124</v>
      </c>
      <c r="H955" t="s">
        <v>59</v>
      </c>
      <c r="I955" t="s">
        <v>60</v>
      </c>
      <c r="J955" t="s">
        <v>141</v>
      </c>
      <c r="K955" s="37">
        <v>16</v>
      </c>
      <c r="L955" t="s">
        <v>52</v>
      </c>
      <c r="M955" s="21">
        <v>119200</v>
      </c>
      <c r="N955" s="21">
        <v>1602048</v>
      </c>
      <c r="O955" s="21">
        <v>171648</v>
      </c>
      <c r="P955">
        <v>3</v>
      </c>
      <c r="Q955" t="s">
        <v>42</v>
      </c>
      <c r="R955" s="37">
        <v>9</v>
      </c>
      <c r="S955" s="37">
        <v>29</v>
      </c>
      <c r="T955" t="s">
        <v>105</v>
      </c>
      <c r="U955" t="s">
        <v>63</v>
      </c>
      <c r="V955" t="s">
        <v>69</v>
      </c>
    </row>
    <row r="956" spans="1:22" ht="15" customHeight="1" x14ac:dyDescent="0.3">
      <c r="A956" t="s">
        <v>1611</v>
      </c>
      <c r="B956" s="20">
        <v>45809</v>
      </c>
      <c r="C956" t="s">
        <v>1612</v>
      </c>
      <c r="D956" t="s">
        <v>35</v>
      </c>
      <c r="E956" s="37">
        <v>33</v>
      </c>
      <c r="F956" t="s">
        <v>57</v>
      </c>
      <c r="G956" t="s">
        <v>58</v>
      </c>
      <c r="H956" t="s">
        <v>66</v>
      </c>
      <c r="I956" t="s">
        <v>82</v>
      </c>
      <c r="J956" t="s">
        <v>161</v>
      </c>
      <c r="K956" s="37">
        <v>17</v>
      </c>
      <c r="L956" t="s">
        <v>52</v>
      </c>
      <c r="M956" s="21">
        <v>76400</v>
      </c>
      <c r="N956" s="21">
        <v>1017648</v>
      </c>
      <c r="O956" s="21">
        <v>100848</v>
      </c>
      <c r="P956">
        <v>3</v>
      </c>
      <c r="Q956" t="s">
        <v>126</v>
      </c>
      <c r="R956" s="37">
        <v>10</v>
      </c>
      <c r="S956" s="37">
        <v>4</v>
      </c>
      <c r="T956" t="s">
        <v>62</v>
      </c>
      <c r="U956" t="s">
        <v>63</v>
      </c>
      <c r="V956" t="s">
        <v>45</v>
      </c>
    </row>
    <row r="957" spans="1:22" ht="15" customHeight="1" x14ac:dyDescent="0.3">
      <c r="A957" t="s">
        <v>1613</v>
      </c>
      <c r="B957" s="20">
        <v>45700</v>
      </c>
      <c r="C957" t="s">
        <v>473</v>
      </c>
      <c r="D957" t="s">
        <v>35</v>
      </c>
      <c r="E957" s="37">
        <v>45</v>
      </c>
      <c r="F957" t="s">
        <v>49</v>
      </c>
      <c r="G957" t="s">
        <v>50</v>
      </c>
      <c r="H957" t="s">
        <v>38</v>
      </c>
      <c r="I957" t="s">
        <v>82</v>
      </c>
      <c r="J957" t="s">
        <v>190</v>
      </c>
      <c r="K957" s="37">
        <v>15</v>
      </c>
      <c r="L957" t="s">
        <v>52</v>
      </c>
      <c r="M957" s="21">
        <v>52500</v>
      </c>
      <c r="N957" s="21">
        <v>730800</v>
      </c>
      <c r="O957" s="21">
        <v>100800</v>
      </c>
      <c r="P957">
        <v>3</v>
      </c>
      <c r="Q957" t="s">
        <v>42</v>
      </c>
      <c r="R957" s="37">
        <v>13</v>
      </c>
      <c r="S957" s="37">
        <v>20</v>
      </c>
      <c r="T957" t="s">
        <v>105</v>
      </c>
      <c r="U957" t="s">
        <v>63</v>
      </c>
      <c r="V957" t="s">
        <v>69</v>
      </c>
    </row>
    <row r="958" spans="1:22" ht="15" customHeight="1" x14ac:dyDescent="0.3">
      <c r="A958" t="s">
        <v>1614</v>
      </c>
      <c r="B958" s="20">
        <v>45678</v>
      </c>
      <c r="C958" t="s">
        <v>1615</v>
      </c>
      <c r="D958" t="s">
        <v>48</v>
      </c>
      <c r="E958" s="37">
        <v>30</v>
      </c>
      <c r="F958" t="s">
        <v>80</v>
      </c>
      <c r="G958" t="s">
        <v>81</v>
      </c>
      <c r="H958" t="s">
        <v>59</v>
      </c>
      <c r="I958" t="s">
        <v>39</v>
      </c>
      <c r="J958" t="s">
        <v>125</v>
      </c>
      <c r="K958" s="37">
        <v>25</v>
      </c>
      <c r="L958" t="s">
        <v>52</v>
      </c>
      <c r="M958" s="21">
        <v>29300</v>
      </c>
      <c r="N958" s="21">
        <v>383244</v>
      </c>
      <c r="O958" s="21">
        <v>31644</v>
      </c>
      <c r="P958">
        <v>3</v>
      </c>
      <c r="Q958" t="s">
        <v>42</v>
      </c>
      <c r="R958" s="37">
        <v>15</v>
      </c>
      <c r="S958" s="37">
        <v>31</v>
      </c>
      <c r="T958" t="s">
        <v>68</v>
      </c>
      <c r="U958" t="s">
        <v>44</v>
      </c>
      <c r="V958" t="s">
        <v>45</v>
      </c>
    </row>
    <row r="959" spans="1:22" ht="15" customHeight="1" x14ac:dyDescent="0.3">
      <c r="A959" t="s">
        <v>1616</v>
      </c>
      <c r="B959" s="20">
        <v>45860</v>
      </c>
      <c r="C959" t="s">
        <v>1010</v>
      </c>
      <c r="D959" t="s">
        <v>35</v>
      </c>
      <c r="E959" s="37">
        <v>50</v>
      </c>
      <c r="F959" t="s">
        <v>108</v>
      </c>
      <c r="G959" t="s">
        <v>109</v>
      </c>
      <c r="H959" t="s">
        <v>38</v>
      </c>
      <c r="I959" t="s">
        <v>75</v>
      </c>
      <c r="J959" t="s">
        <v>99</v>
      </c>
      <c r="K959" s="37">
        <v>27</v>
      </c>
      <c r="L959" t="s">
        <v>52</v>
      </c>
      <c r="M959" s="21">
        <v>100200</v>
      </c>
      <c r="N959" s="21">
        <v>1286568</v>
      </c>
      <c r="O959" s="21">
        <v>84168</v>
      </c>
      <c r="P959">
        <v>5</v>
      </c>
      <c r="Q959" t="s">
        <v>42</v>
      </c>
      <c r="R959" s="37">
        <v>0</v>
      </c>
      <c r="S959" s="37">
        <v>21</v>
      </c>
      <c r="T959" t="s">
        <v>43</v>
      </c>
      <c r="U959" t="s">
        <v>44</v>
      </c>
      <c r="V959" t="s">
        <v>69</v>
      </c>
    </row>
    <row r="960" spans="1:22" ht="15" customHeight="1" x14ac:dyDescent="0.3">
      <c r="A960" t="s">
        <v>1617</v>
      </c>
      <c r="B960" s="20">
        <v>45893</v>
      </c>
      <c r="C960" t="s">
        <v>1334</v>
      </c>
      <c r="D960" t="s">
        <v>35</v>
      </c>
      <c r="E960" s="37">
        <v>28</v>
      </c>
      <c r="F960" t="s">
        <v>36</v>
      </c>
      <c r="G960" t="s">
        <v>37</v>
      </c>
      <c r="H960" t="s">
        <v>74</v>
      </c>
      <c r="I960" t="s">
        <v>75</v>
      </c>
      <c r="J960" t="s">
        <v>367</v>
      </c>
      <c r="K960" s="37">
        <v>6</v>
      </c>
      <c r="L960" t="s">
        <v>52</v>
      </c>
      <c r="M960" s="21">
        <v>86600</v>
      </c>
      <c r="N960" s="21">
        <v>1205472</v>
      </c>
      <c r="O960" s="21">
        <v>166272</v>
      </c>
      <c r="P960">
        <v>5</v>
      </c>
      <c r="Q960" t="s">
        <v>42</v>
      </c>
      <c r="R960" s="37">
        <v>18</v>
      </c>
      <c r="S960" s="37">
        <v>20</v>
      </c>
      <c r="T960" t="s">
        <v>43</v>
      </c>
      <c r="U960" t="s">
        <v>44</v>
      </c>
      <c r="V960" t="s">
        <v>69</v>
      </c>
    </row>
    <row r="961" spans="1:22" ht="15" customHeight="1" x14ac:dyDescent="0.3">
      <c r="A961" t="s">
        <v>1618</v>
      </c>
      <c r="B961" s="20">
        <v>45800</v>
      </c>
      <c r="C961" t="s">
        <v>1619</v>
      </c>
      <c r="D961" t="s">
        <v>35</v>
      </c>
      <c r="E961" s="37">
        <v>55</v>
      </c>
      <c r="F961" t="s">
        <v>80</v>
      </c>
      <c r="G961" t="s">
        <v>81</v>
      </c>
      <c r="H961" t="s">
        <v>74</v>
      </c>
      <c r="I961" t="s">
        <v>75</v>
      </c>
      <c r="J961" t="s">
        <v>76</v>
      </c>
      <c r="K961" s="37">
        <v>29</v>
      </c>
      <c r="L961" t="s">
        <v>52</v>
      </c>
      <c r="M961" s="21">
        <v>82000</v>
      </c>
      <c r="N961" s="21">
        <v>1102080</v>
      </c>
      <c r="O961" s="21">
        <v>118080</v>
      </c>
      <c r="P961">
        <v>3</v>
      </c>
      <c r="Q961" t="s">
        <v>42</v>
      </c>
      <c r="R961" s="37">
        <v>9</v>
      </c>
      <c r="S961" s="37">
        <v>34</v>
      </c>
      <c r="T961" t="s">
        <v>94</v>
      </c>
      <c r="U961" t="s">
        <v>44</v>
      </c>
      <c r="V961" t="s">
        <v>45</v>
      </c>
    </row>
    <row r="962" spans="1:22" ht="15" customHeight="1" x14ac:dyDescent="0.3">
      <c r="A962" t="s">
        <v>1620</v>
      </c>
      <c r="B962" s="20">
        <v>45972</v>
      </c>
      <c r="C962" t="s">
        <v>376</v>
      </c>
      <c r="D962" t="s">
        <v>48</v>
      </c>
      <c r="E962" s="37">
        <v>39</v>
      </c>
      <c r="F962" t="s">
        <v>49</v>
      </c>
      <c r="G962" t="s">
        <v>50</v>
      </c>
      <c r="H962" t="s">
        <v>38</v>
      </c>
      <c r="I962" t="s">
        <v>60</v>
      </c>
      <c r="J962" t="s">
        <v>99</v>
      </c>
      <c r="K962" s="37">
        <v>13</v>
      </c>
      <c r="L962" t="s">
        <v>52</v>
      </c>
      <c r="M962" s="21">
        <v>118100</v>
      </c>
      <c r="N962" s="21">
        <v>1488060</v>
      </c>
      <c r="O962" s="21">
        <v>70860</v>
      </c>
      <c r="P962">
        <v>5</v>
      </c>
      <c r="Q962" t="s">
        <v>42</v>
      </c>
      <c r="R962" s="37">
        <v>6</v>
      </c>
      <c r="S962" s="37">
        <v>38</v>
      </c>
      <c r="T962" t="s">
        <v>129</v>
      </c>
      <c r="U962" t="s">
        <v>44</v>
      </c>
      <c r="V962" t="s">
        <v>45</v>
      </c>
    </row>
    <row r="963" spans="1:22" ht="15" customHeight="1" x14ac:dyDescent="0.3">
      <c r="A963" t="s">
        <v>1621</v>
      </c>
      <c r="B963" s="20">
        <v>45858</v>
      </c>
      <c r="C963" t="s">
        <v>210</v>
      </c>
      <c r="D963" t="s">
        <v>35</v>
      </c>
      <c r="E963" s="37">
        <v>53</v>
      </c>
      <c r="F963" t="s">
        <v>80</v>
      </c>
      <c r="G963" t="s">
        <v>81</v>
      </c>
      <c r="H963" t="s">
        <v>74</v>
      </c>
      <c r="I963" t="s">
        <v>51</v>
      </c>
      <c r="J963" t="s">
        <v>152</v>
      </c>
      <c r="K963" s="37">
        <v>23</v>
      </c>
      <c r="L963" t="s">
        <v>41</v>
      </c>
      <c r="M963" s="21">
        <v>236200</v>
      </c>
      <c r="N963" s="21">
        <v>3174528</v>
      </c>
      <c r="O963" s="21">
        <v>340128</v>
      </c>
      <c r="P963">
        <v>3</v>
      </c>
      <c r="Q963" t="s">
        <v>42</v>
      </c>
      <c r="R963" s="37">
        <v>15</v>
      </c>
      <c r="S963" s="37">
        <v>35</v>
      </c>
      <c r="T963" t="s">
        <v>94</v>
      </c>
      <c r="U963" t="s">
        <v>44</v>
      </c>
      <c r="V963" t="s">
        <v>69</v>
      </c>
    </row>
    <row r="964" spans="1:22" ht="15" customHeight="1" x14ac:dyDescent="0.3">
      <c r="A964" t="s">
        <v>1622</v>
      </c>
      <c r="B964" s="20">
        <v>45730</v>
      </c>
      <c r="C964" t="s">
        <v>1623</v>
      </c>
      <c r="D964" t="s">
        <v>35</v>
      </c>
      <c r="E964" s="37">
        <v>31</v>
      </c>
      <c r="F964" t="s">
        <v>108</v>
      </c>
      <c r="G964" t="s">
        <v>109</v>
      </c>
      <c r="H964" t="s">
        <v>118</v>
      </c>
      <c r="I964" t="s">
        <v>82</v>
      </c>
      <c r="J964" t="s">
        <v>219</v>
      </c>
      <c r="K964" s="37">
        <v>13</v>
      </c>
      <c r="L964" t="s">
        <v>52</v>
      </c>
      <c r="M964" s="21">
        <v>47400</v>
      </c>
      <c r="N964" s="21">
        <v>614304</v>
      </c>
      <c r="O964" s="21">
        <v>45504</v>
      </c>
      <c r="P964">
        <v>4</v>
      </c>
      <c r="Q964" t="s">
        <v>126</v>
      </c>
      <c r="R964" s="37">
        <v>19</v>
      </c>
      <c r="S964" s="37">
        <v>39</v>
      </c>
      <c r="T964" t="s">
        <v>94</v>
      </c>
      <c r="U964" t="s">
        <v>44</v>
      </c>
      <c r="V964" t="s">
        <v>69</v>
      </c>
    </row>
    <row r="965" spans="1:22" ht="15" customHeight="1" x14ac:dyDescent="0.3">
      <c r="A965" t="s">
        <v>1624</v>
      </c>
      <c r="B965" s="20">
        <v>45809</v>
      </c>
      <c r="C965" t="s">
        <v>1625</v>
      </c>
      <c r="D965" t="s">
        <v>35</v>
      </c>
      <c r="E965" s="37">
        <v>37</v>
      </c>
      <c r="F965" t="s">
        <v>91</v>
      </c>
      <c r="G965" t="s">
        <v>92</v>
      </c>
      <c r="H965" t="s">
        <v>38</v>
      </c>
      <c r="I965" t="s">
        <v>39</v>
      </c>
      <c r="J965" t="s">
        <v>134</v>
      </c>
      <c r="K965" s="37">
        <v>20</v>
      </c>
      <c r="L965" t="s">
        <v>52</v>
      </c>
      <c r="M965" s="21">
        <v>34400</v>
      </c>
      <c r="N965" s="21">
        <v>478847</v>
      </c>
      <c r="O965" s="21">
        <v>66048</v>
      </c>
      <c r="P965">
        <v>4</v>
      </c>
      <c r="Q965" t="s">
        <v>42</v>
      </c>
      <c r="R965" s="37">
        <v>1</v>
      </c>
      <c r="S965" s="37">
        <v>32</v>
      </c>
      <c r="T965" t="s">
        <v>175</v>
      </c>
      <c r="U965" t="s">
        <v>44</v>
      </c>
      <c r="V965" t="s">
        <v>69</v>
      </c>
    </row>
    <row r="966" spans="1:22" ht="15" customHeight="1" x14ac:dyDescent="0.3">
      <c r="A966" t="s">
        <v>1626</v>
      </c>
      <c r="B966" s="20">
        <v>45884</v>
      </c>
      <c r="C966" t="s">
        <v>194</v>
      </c>
      <c r="D966" t="s">
        <v>48</v>
      </c>
      <c r="E966" s="37">
        <v>39</v>
      </c>
      <c r="F966" t="s">
        <v>72</v>
      </c>
      <c r="G966" t="s">
        <v>73</v>
      </c>
      <c r="H966" t="s">
        <v>118</v>
      </c>
      <c r="I966" t="s">
        <v>39</v>
      </c>
      <c r="J966" t="s">
        <v>182</v>
      </c>
      <c r="K966" s="37">
        <v>14</v>
      </c>
      <c r="L966" t="s">
        <v>52</v>
      </c>
      <c r="M966" s="21">
        <v>34600</v>
      </c>
      <c r="N966" s="21">
        <v>473328</v>
      </c>
      <c r="O966" s="21">
        <v>58128</v>
      </c>
      <c r="P966">
        <v>4</v>
      </c>
      <c r="Q966" t="s">
        <v>42</v>
      </c>
      <c r="R966" s="37">
        <v>16</v>
      </c>
      <c r="S966" s="37">
        <v>31</v>
      </c>
      <c r="T966" t="s">
        <v>175</v>
      </c>
      <c r="U966" t="s">
        <v>63</v>
      </c>
      <c r="V966" t="s">
        <v>45</v>
      </c>
    </row>
    <row r="967" spans="1:22" ht="15" customHeight="1" x14ac:dyDescent="0.3">
      <c r="A967" t="s">
        <v>1627</v>
      </c>
      <c r="B967" s="20">
        <v>45853</v>
      </c>
      <c r="C967" t="s">
        <v>1628</v>
      </c>
      <c r="D967" t="s">
        <v>48</v>
      </c>
      <c r="E967" s="37">
        <v>55</v>
      </c>
      <c r="F967" t="s">
        <v>72</v>
      </c>
      <c r="G967" t="s">
        <v>73</v>
      </c>
      <c r="H967" t="s">
        <v>66</v>
      </c>
      <c r="I967" t="s">
        <v>39</v>
      </c>
      <c r="J967" t="s">
        <v>67</v>
      </c>
      <c r="K967" s="37">
        <v>19</v>
      </c>
      <c r="L967" t="s">
        <v>52</v>
      </c>
      <c r="M967" s="21">
        <v>49300</v>
      </c>
      <c r="N967" s="21">
        <v>686256</v>
      </c>
      <c r="O967" s="21">
        <v>94656</v>
      </c>
      <c r="P967">
        <v>4</v>
      </c>
      <c r="Q967" t="s">
        <v>42</v>
      </c>
      <c r="R967" s="37">
        <v>17</v>
      </c>
      <c r="S967" s="37">
        <v>13</v>
      </c>
      <c r="T967" t="s">
        <v>129</v>
      </c>
      <c r="U967" t="s">
        <v>44</v>
      </c>
      <c r="V967" t="s">
        <v>69</v>
      </c>
    </row>
    <row r="968" spans="1:22" ht="15" customHeight="1" x14ac:dyDescent="0.3">
      <c r="A968" t="s">
        <v>1629</v>
      </c>
      <c r="B968" s="20">
        <v>45793</v>
      </c>
      <c r="C968" t="s">
        <v>1630</v>
      </c>
      <c r="D968" t="s">
        <v>48</v>
      </c>
      <c r="E968" s="37">
        <v>32</v>
      </c>
      <c r="F968" t="s">
        <v>86</v>
      </c>
      <c r="G968" t="s">
        <v>87</v>
      </c>
      <c r="H968" t="s">
        <v>118</v>
      </c>
      <c r="I968" t="s">
        <v>60</v>
      </c>
      <c r="J968" t="s">
        <v>250</v>
      </c>
      <c r="K968" s="37">
        <v>3</v>
      </c>
      <c r="L968" t="s">
        <v>52</v>
      </c>
      <c r="M968" s="21">
        <v>116500</v>
      </c>
      <c r="N968" s="21">
        <v>1607699</v>
      </c>
      <c r="O968" s="21">
        <v>209700</v>
      </c>
      <c r="P968">
        <v>4</v>
      </c>
      <c r="Q968" t="s">
        <v>42</v>
      </c>
      <c r="R968" s="37">
        <v>7</v>
      </c>
      <c r="S968" s="37">
        <v>22</v>
      </c>
      <c r="T968" t="s">
        <v>68</v>
      </c>
      <c r="U968" t="s">
        <v>54</v>
      </c>
      <c r="V968" t="s">
        <v>69</v>
      </c>
    </row>
    <row r="969" spans="1:22" ht="15" customHeight="1" x14ac:dyDescent="0.3">
      <c r="A969" t="s">
        <v>1631</v>
      </c>
      <c r="B969" s="20">
        <v>45827</v>
      </c>
      <c r="C969" t="s">
        <v>1331</v>
      </c>
      <c r="D969" t="s">
        <v>48</v>
      </c>
      <c r="E969" s="37">
        <v>53</v>
      </c>
      <c r="F969" t="s">
        <v>97</v>
      </c>
      <c r="G969" t="s">
        <v>98</v>
      </c>
      <c r="H969" t="s">
        <v>74</v>
      </c>
      <c r="I969" t="s">
        <v>75</v>
      </c>
      <c r="J969" t="s">
        <v>76</v>
      </c>
      <c r="K969" s="37">
        <v>16</v>
      </c>
      <c r="L969" t="s">
        <v>41</v>
      </c>
      <c r="M969" s="21">
        <v>98000</v>
      </c>
      <c r="N969" s="21">
        <v>1305360</v>
      </c>
      <c r="O969" s="21">
        <v>129360</v>
      </c>
      <c r="P969">
        <v>2</v>
      </c>
      <c r="Q969" t="s">
        <v>42</v>
      </c>
      <c r="R969" s="37">
        <v>12</v>
      </c>
      <c r="S969" s="37">
        <v>10</v>
      </c>
      <c r="T969" t="s">
        <v>129</v>
      </c>
      <c r="U969" t="s">
        <v>44</v>
      </c>
      <c r="V969" t="s">
        <v>45</v>
      </c>
    </row>
    <row r="970" spans="1:22" ht="15" customHeight="1" x14ac:dyDescent="0.3">
      <c r="A970" t="s">
        <v>1632</v>
      </c>
      <c r="B970" s="20">
        <v>45948</v>
      </c>
      <c r="C970" t="s">
        <v>1291</v>
      </c>
      <c r="D970" t="s">
        <v>35</v>
      </c>
      <c r="E970" s="37">
        <v>26</v>
      </c>
      <c r="F970" t="s">
        <v>72</v>
      </c>
      <c r="G970" t="s">
        <v>73</v>
      </c>
      <c r="H970" t="s">
        <v>66</v>
      </c>
      <c r="I970" t="s">
        <v>39</v>
      </c>
      <c r="J970" t="s">
        <v>149</v>
      </c>
      <c r="K970" s="37">
        <v>8</v>
      </c>
      <c r="L970" t="s">
        <v>52</v>
      </c>
      <c r="M970" s="21">
        <v>45100</v>
      </c>
      <c r="N970" s="21">
        <v>644028</v>
      </c>
      <c r="O970" s="21">
        <v>102828</v>
      </c>
      <c r="P970">
        <v>5</v>
      </c>
      <c r="Q970" t="s">
        <v>126</v>
      </c>
      <c r="R970" s="37">
        <v>0</v>
      </c>
      <c r="S970" s="37">
        <v>34</v>
      </c>
      <c r="T970" t="s">
        <v>129</v>
      </c>
      <c r="U970" t="s">
        <v>63</v>
      </c>
      <c r="V970" t="s">
        <v>69</v>
      </c>
    </row>
    <row r="971" spans="1:22" ht="15" customHeight="1" x14ac:dyDescent="0.3">
      <c r="A971" t="s">
        <v>1633</v>
      </c>
      <c r="B971" s="20">
        <v>45773</v>
      </c>
      <c r="C971" t="s">
        <v>1079</v>
      </c>
      <c r="D971" t="s">
        <v>35</v>
      </c>
      <c r="E971" s="37">
        <v>56</v>
      </c>
      <c r="F971" t="s">
        <v>86</v>
      </c>
      <c r="G971" t="s">
        <v>87</v>
      </c>
      <c r="H971" t="s">
        <v>38</v>
      </c>
      <c r="I971" t="s">
        <v>75</v>
      </c>
      <c r="J971" t="s">
        <v>190</v>
      </c>
      <c r="K971" s="37">
        <v>12</v>
      </c>
      <c r="L971" t="s">
        <v>41</v>
      </c>
      <c r="M971" s="21">
        <v>77800</v>
      </c>
      <c r="N971" s="21">
        <v>1110984</v>
      </c>
      <c r="O971" s="21">
        <v>177384</v>
      </c>
      <c r="P971">
        <v>5</v>
      </c>
      <c r="Q971" t="s">
        <v>42</v>
      </c>
      <c r="R971" s="37">
        <v>16</v>
      </c>
      <c r="S971" s="37">
        <v>40</v>
      </c>
      <c r="T971" t="s">
        <v>129</v>
      </c>
      <c r="U971" t="s">
        <v>44</v>
      </c>
      <c r="V971" t="s">
        <v>45</v>
      </c>
    </row>
    <row r="972" spans="1:22" ht="15" customHeight="1" x14ac:dyDescent="0.3">
      <c r="A972" t="s">
        <v>1634</v>
      </c>
      <c r="B972" s="20">
        <v>45947</v>
      </c>
      <c r="C972" t="s">
        <v>890</v>
      </c>
      <c r="D972" t="s">
        <v>35</v>
      </c>
      <c r="E972" s="37">
        <v>56</v>
      </c>
      <c r="F972" t="s">
        <v>91</v>
      </c>
      <c r="G972" t="s">
        <v>92</v>
      </c>
      <c r="H972" t="s">
        <v>74</v>
      </c>
      <c r="I972" t="s">
        <v>39</v>
      </c>
      <c r="J972" t="s">
        <v>367</v>
      </c>
      <c r="K972" s="37">
        <v>25</v>
      </c>
      <c r="L972" t="s">
        <v>52</v>
      </c>
      <c r="M972" s="21">
        <v>43200</v>
      </c>
      <c r="N972" s="21">
        <v>580608</v>
      </c>
      <c r="O972" s="21">
        <v>62208</v>
      </c>
      <c r="P972">
        <v>5</v>
      </c>
      <c r="Q972" t="s">
        <v>42</v>
      </c>
      <c r="R972" s="37">
        <v>2</v>
      </c>
      <c r="S972" s="37">
        <v>26</v>
      </c>
      <c r="T972" t="s">
        <v>175</v>
      </c>
      <c r="U972" t="s">
        <v>44</v>
      </c>
      <c r="V972" t="s">
        <v>45</v>
      </c>
    </row>
    <row r="973" spans="1:22" ht="15" customHeight="1" x14ac:dyDescent="0.3">
      <c r="A973" t="s">
        <v>1635</v>
      </c>
      <c r="B973" s="20">
        <v>45817</v>
      </c>
      <c r="C973" t="s">
        <v>1636</v>
      </c>
      <c r="D973" t="s">
        <v>48</v>
      </c>
      <c r="E973" s="37">
        <v>35</v>
      </c>
      <c r="F973" t="s">
        <v>49</v>
      </c>
      <c r="G973" t="s">
        <v>50</v>
      </c>
      <c r="H973" t="s">
        <v>59</v>
      </c>
      <c r="I973" t="s">
        <v>75</v>
      </c>
      <c r="J973" t="s">
        <v>88</v>
      </c>
      <c r="K973" s="37">
        <v>9</v>
      </c>
      <c r="L973" t="s">
        <v>120</v>
      </c>
      <c r="M973" s="21">
        <v>95400</v>
      </c>
      <c r="N973" s="21">
        <v>1236384</v>
      </c>
      <c r="O973" s="21">
        <v>91584</v>
      </c>
      <c r="P973">
        <v>3</v>
      </c>
      <c r="Q973" t="s">
        <v>42</v>
      </c>
      <c r="R973" s="37">
        <v>11</v>
      </c>
      <c r="S973" s="37">
        <v>29</v>
      </c>
      <c r="T973" t="s">
        <v>94</v>
      </c>
      <c r="U973" t="s">
        <v>63</v>
      </c>
      <c r="V973" t="s">
        <v>45</v>
      </c>
    </row>
    <row r="974" spans="1:22" ht="15" customHeight="1" x14ac:dyDescent="0.3">
      <c r="A974" t="s">
        <v>1637</v>
      </c>
      <c r="B974" s="20">
        <v>45865</v>
      </c>
      <c r="C974" t="s">
        <v>837</v>
      </c>
      <c r="D974" t="s">
        <v>48</v>
      </c>
      <c r="E974" s="37">
        <v>40</v>
      </c>
      <c r="F974" t="s">
        <v>86</v>
      </c>
      <c r="G974" t="s">
        <v>87</v>
      </c>
      <c r="H974" t="s">
        <v>38</v>
      </c>
      <c r="I974" t="s">
        <v>82</v>
      </c>
      <c r="J974" t="s">
        <v>134</v>
      </c>
      <c r="K974" s="37">
        <v>18</v>
      </c>
      <c r="L974" t="s">
        <v>52</v>
      </c>
      <c r="M974" s="21">
        <v>58200</v>
      </c>
      <c r="N974" s="21">
        <v>768240</v>
      </c>
      <c r="O974" s="21">
        <v>69840</v>
      </c>
      <c r="P974">
        <v>2</v>
      </c>
      <c r="Q974" t="s">
        <v>42</v>
      </c>
      <c r="R974" s="37">
        <v>11</v>
      </c>
      <c r="S974" s="37">
        <v>32</v>
      </c>
      <c r="T974" t="s">
        <v>105</v>
      </c>
      <c r="U974" t="s">
        <v>54</v>
      </c>
      <c r="V974" t="s">
        <v>69</v>
      </c>
    </row>
    <row r="975" spans="1:22" ht="15" customHeight="1" x14ac:dyDescent="0.3">
      <c r="A975" t="s">
        <v>1638</v>
      </c>
      <c r="B975" s="20">
        <v>45911</v>
      </c>
      <c r="C975" t="s">
        <v>1399</v>
      </c>
      <c r="D975" t="s">
        <v>35</v>
      </c>
      <c r="E975" s="37">
        <v>39</v>
      </c>
      <c r="F975" t="s">
        <v>108</v>
      </c>
      <c r="G975" t="s">
        <v>109</v>
      </c>
      <c r="H975" t="s">
        <v>38</v>
      </c>
      <c r="I975" t="s">
        <v>75</v>
      </c>
      <c r="J975" t="s">
        <v>110</v>
      </c>
      <c r="K975" s="37">
        <v>11</v>
      </c>
      <c r="L975" t="s">
        <v>52</v>
      </c>
      <c r="M975" s="21">
        <v>79000</v>
      </c>
      <c r="N975" s="21">
        <v>1128120</v>
      </c>
      <c r="O975" s="21">
        <v>180120</v>
      </c>
      <c r="P975">
        <v>2</v>
      </c>
      <c r="Q975" t="s">
        <v>42</v>
      </c>
      <c r="R975" s="37">
        <v>17</v>
      </c>
      <c r="S975" s="37">
        <v>14</v>
      </c>
      <c r="T975" t="s">
        <v>175</v>
      </c>
      <c r="U975" t="s">
        <v>44</v>
      </c>
      <c r="V975" t="s">
        <v>45</v>
      </c>
    </row>
    <row r="976" spans="1:22" ht="15" customHeight="1" x14ac:dyDescent="0.3">
      <c r="A976" t="s">
        <v>1639</v>
      </c>
      <c r="B976" s="20">
        <v>45767</v>
      </c>
      <c r="C976" t="s">
        <v>1156</v>
      </c>
      <c r="D976" t="s">
        <v>35</v>
      </c>
      <c r="E976" s="37">
        <v>52</v>
      </c>
      <c r="F976" t="s">
        <v>36</v>
      </c>
      <c r="G976" t="s">
        <v>37</v>
      </c>
      <c r="H976" t="s">
        <v>38</v>
      </c>
      <c r="I976" t="s">
        <v>82</v>
      </c>
      <c r="J976" t="s">
        <v>110</v>
      </c>
      <c r="K976" s="37">
        <v>20</v>
      </c>
      <c r="L976" t="s">
        <v>52</v>
      </c>
      <c r="M976" s="21">
        <v>48600</v>
      </c>
      <c r="N976" s="21">
        <v>664848</v>
      </c>
      <c r="O976" s="21">
        <v>81648</v>
      </c>
      <c r="P976">
        <v>3</v>
      </c>
      <c r="Q976" t="s">
        <v>42</v>
      </c>
      <c r="R976" s="37">
        <v>10</v>
      </c>
      <c r="S976" s="37">
        <v>4</v>
      </c>
      <c r="T976" t="s">
        <v>62</v>
      </c>
      <c r="U976" t="s">
        <v>44</v>
      </c>
      <c r="V976" t="s">
        <v>45</v>
      </c>
    </row>
    <row r="977" spans="1:22" ht="15" customHeight="1" x14ac:dyDescent="0.3">
      <c r="A977" t="s">
        <v>1640</v>
      </c>
      <c r="B977" s="20">
        <v>45969</v>
      </c>
      <c r="C977" t="s">
        <v>323</v>
      </c>
      <c r="D977" t="s">
        <v>35</v>
      </c>
      <c r="E977" s="37">
        <v>49</v>
      </c>
      <c r="F977" t="s">
        <v>49</v>
      </c>
      <c r="G977" t="s">
        <v>50</v>
      </c>
      <c r="H977" t="s">
        <v>38</v>
      </c>
      <c r="I977" t="s">
        <v>39</v>
      </c>
      <c r="J977" t="s">
        <v>110</v>
      </c>
      <c r="K977" s="37">
        <v>21</v>
      </c>
      <c r="L977" t="s">
        <v>52</v>
      </c>
      <c r="M977" s="21">
        <v>31400</v>
      </c>
      <c r="N977" s="21">
        <v>440856</v>
      </c>
      <c r="O977" s="21">
        <v>64056</v>
      </c>
      <c r="P977">
        <v>4</v>
      </c>
      <c r="Q977" t="s">
        <v>42</v>
      </c>
      <c r="R977" s="37">
        <v>11</v>
      </c>
      <c r="S977" s="37">
        <v>35</v>
      </c>
      <c r="T977" t="s">
        <v>129</v>
      </c>
      <c r="U977" t="s">
        <v>44</v>
      </c>
      <c r="V977" t="s">
        <v>45</v>
      </c>
    </row>
    <row r="978" spans="1:22" ht="15" customHeight="1" x14ac:dyDescent="0.3">
      <c r="A978" t="s">
        <v>1641</v>
      </c>
      <c r="B978" s="20">
        <v>45784</v>
      </c>
      <c r="C978" t="s">
        <v>951</v>
      </c>
      <c r="D978" t="s">
        <v>35</v>
      </c>
      <c r="E978" s="37">
        <v>36</v>
      </c>
      <c r="F978" t="s">
        <v>57</v>
      </c>
      <c r="G978" t="s">
        <v>58</v>
      </c>
      <c r="H978" t="s">
        <v>74</v>
      </c>
      <c r="I978" t="s">
        <v>60</v>
      </c>
      <c r="J978" t="s">
        <v>367</v>
      </c>
      <c r="K978" s="37">
        <v>13</v>
      </c>
      <c r="L978" t="s">
        <v>52</v>
      </c>
      <c r="M978" s="21">
        <v>135900</v>
      </c>
      <c r="N978" s="21">
        <v>1908036</v>
      </c>
      <c r="O978" s="21">
        <v>277236</v>
      </c>
      <c r="P978">
        <v>5</v>
      </c>
      <c r="Q978" t="s">
        <v>42</v>
      </c>
      <c r="R978" s="37">
        <v>1</v>
      </c>
      <c r="S978" s="37">
        <v>27</v>
      </c>
      <c r="T978" t="s">
        <v>175</v>
      </c>
      <c r="U978" t="s">
        <v>63</v>
      </c>
      <c r="V978" t="s">
        <v>69</v>
      </c>
    </row>
    <row r="979" spans="1:22" ht="15" customHeight="1" x14ac:dyDescent="0.3">
      <c r="A979" t="s">
        <v>1642</v>
      </c>
      <c r="B979" s="20">
        <v>45978</v>
      </c>
      <c r="C979" t="s">
        <v>1643</v>
      </c>
      <c r="D979" t="s">
        <v>35</v>
      </c>
      <c r="E979" s="37">
        <v>32</v>
      </c>
      <c r="F979" t="s">
        <v>108</v>
      </c>
      <c r="G979" t="s">
        <v>109</v>
      </c>
      <c r="H979" t="s">
        <v>66</v>
      </c>
      <c r="I979" t="s">
        <v>39</v>
      </c>
      <c r="J979" t="s">
        <v>93</v>
      </c>
      <c r="K979" s="37">
        <v>14</v>
      </c>
      <c r="L979" t="s">
        <v>52</v>
      </c>
      <c r="M979" s="21">
        <v>39700</v>
      </c>
      <c r="N979" s="21">
        <v>538332</v>
      </c>
      <c r="O979" s="21">
        <v>61932</v>
      </c>
      <c r="P979">
        <v>4</v>
      </c>
      <c r="Q979" t="s">
        <v>42</v>
      </c>
      <c r="R979" s="37">
        <v>19</v>
      </c>
      <c r="S979" s="37">
        <v>5</v>
      </c>
      <c r="T979" t="s">
        <v>68</v>
      </c>
      <c r="U979" t="s">
        <v>44</v>
      </c>
      <c r="V979" t="s">
        <v>45</v>
      </c>
    </row>
    <row r="980" spans="1:22" ht="15" customHeight="1" x14ac:dyDescent="0.3">
      <c r="A980" t="s">
        <v>1644</v>
      </c>
      <c r="B980" s="20">
        <v>45749</v>
      </c>
      <c r="C980" t="s">
        <v>1645</v>
      </c>
      <c r="D980" t="s">
        <v>48</v>
      </c>
      <c r="E980" s="37">
        <v>49</v>
      </c>
      <c r="F980" t="s">
        <v>108</v>
      </c>
      <c r="G980" t="s">
        <v>109</v>
      </c>
      <c r="H980" t="s">
        <v>38</v>
      </c>
      <c r="I980" t="s">
        <v>82</v>
      </c>
      <c r="J980" t="s">
        <v>110</v>
      </c>
      <c r="K980" s="37">
        <v>27</v>
      </c>
      <c r="L980" t="s">
        <v>52</v>
      </c>
      <c r="M980" s="21">
        <v>59300</v>
      </c>
      <c r="N980" s="21">
        <v>789876</v>
      </c>
      <c r="O980" s="21">
        <v>78276</v>
      </c>
      <c r="P980">
        <v>2</v>
      </c>
      <c r="Q980" t="s">
        <v>42</v>
      </c>
      <c r="R980" s="37">
        <v>8</v>
      </c>
      <c r="S980" s="37">
        <v>30</v>
      </c>
      <c r="T980" t="s">
        <v>43</v>
      </c>
      <c r="U980" t="s">
        <v>63</v>
      </c>
      <c r="V980" t="s">
        <v>69</v>
      </c>
    </row>
    <row r="981" spans="1:22" ht="15" customHeight="1" x14ac:dyDescent="0.3">
      <c r="A981" t="s">
        <v>1646</v>
      </c>
      <c r="B981" s="20">
        <v>45903</v>
      </c>
      <c r="C981" t="s">
        <v>145</v>
      </c>
      <c r="D981" t="s">
        <v>48</v>
      </c>
      <c r="E981" s="37">
        <v>57</v>
      </c>
      <c r="F981" t="s">
        <v>49</v>
      </c>
      <c r="G981" t="s">
        <v>50</v>
      </c>
      <c r="H981" t="s">
        <v>66</v>
      </c>
      <c r="I981" t="s">
        <v>75</v>
      </c>
      <c r="J981" t="s">
        <v>149</v>
      </c>
      <c r="K981" s="37">
        <v>29</v>
      </c>
      <c r="L981" t="s">
        <v>52</v>
      </c>
      <c r="M981" s="21">
        <v>118800</v>
      </c>
      <c r="N981" s="21">
        <v>1553904</v>
      </c>
      <c r="O981" s="21">
        <v>128304</v>
      </c>
      <c r="P981">
        <v>2</v>
      </c>
      <c r="Q981" t="s">
        <v>42</v>
      </c>
      <c r="R981" s="37">
        <v>9</v>
      </c>
      <c r="S981" s="37">
        <v>20</v>
      </c>
      <c r="T981" t="s">
        <v>68</v>
      </c>
      <c r="U981" t="s">
        <v>63</v>
      </c>
      <c r="V981" t="s">
        <v>45</v>
      </c>
    </row>
    <row r="982" spans="1:22" ht="15" customHeight="1" x14ac:dyDescent="0.3">
      <c r="A982" t="s">
        <v>1647</v>
      </c>
      <c r="B982" s="20">
        <v>45903</v>
      </c>
      <c r="C982" t="s">
        <v>1648</v>
      </c>
      <c r="D982" t="s">
        <v>35</v>
      </c>
      <c r="E982" s="37">
        <v>56</v>
      </c>
      <c r="F982" t="s">
        <v>49</v>
      </c>
      <c r="G982" t="s">
        <v>50</v>
      </c>
      <c r="H982" t="s">
        <v>66</v>
      </c>
      <c r="I982" t="s">
        <v>60</v>
      </c>
      <c r="J982" t="s">
        <v>149</v>
      </c>
      <c r="K982" s="37">
        <v>7</v>
      </c>
      <c r="L982" t="s">
        <v>41</v>
      </c>
      <c r="M982" s="21">
        <v>137400</v>
      </c>
      <c r="N982" s="21">
        <v>1780704</v>
      </c>
      <c r="O982" s="21">
        <v>131904</v>
      </c>
      <c r="P982">
        <v>4</v>
      </c>
      <c r="Q982" t="s">
        <v>42</v>
      </c>
      <c r="R982" s="37">
        <v>5</v>
      </c>
      <c r="S982" s="37">
        <v>20</v>
      </c>
      <c r="T982" t="s">
        <v>53</v>
      </c>
      <c r="U982" t="s">
        <v>63</v>
      </c>
      <c r="V982" t="s">
        <v>45</v>
      </c>
    </row>
    <row r="983" spans="1:22" ht="15" customHeight="1" x14ac:dyDescent="0.3">
      <c r="A983" t="s">
        <v>1649</v>
      </c>
      <c r="B983" s="20">
        <v>45792</v>
      </c>
      <c r="C983" t="s">
        <v>366</v>
      </c>
      <c r="D983" t="s">
        <v>35</v>
      </c>
      <c r="E983" s="37">
        <v>48</v>
      </c>
      <c r="F983" t="s">
        <v>49</v>
      </c>
      <c r="G983" t="s">
        <v>50</v>
      </c>
      <c r="H983" t="s">
        <v>59</v>
      </c>
      <c r="I983" t="s">
        <v>39</v>
      </c>
      <c r="J983" t="s">
        <v>141</v>
      </c>
      <c r="K983" s="37">
        <v>9</v>
      </c>
      <c r="L983" t="s">
        <v>52</v>
      </c>
      <c r="M983" s="21">
        <v>34800</v>
      </c>
      <c r="N983" s="21">
        <v>446832</v>
      </c>
      <c r="O983" s="21">
        <v>29232</v>
      </c>
      <c r="P983">
        <v>3</v>
      </c>
      <c r="Q983" t="s">
        <v>42</v>
      </c>
      <c r="R983" s="37">
        <v>11</v>
      </c>
      <c r="S983" s="37">
        <v>31</v>
      </c>
      <c r="T983" t="s">
        <v>68</v>
      </c>
      <c r="U983" t="s">
        <v>44</v>
      </c>
      <c r="V983" t="s">
        <v>69</v>
      </c>
    </row>
    <row r="984" spans="1:22" ht="15" customHeight="1" x14ac:dyDescent="0.3">
      <c r="A984" t="s">
        <v>1650</v>
      </c>
      <c r="B984" s="20">
        <v>45865</v>
      </c>
      <c r="C984" t="s">
        <v>992</v>
      </c>
      <c r="D984" t="s">
        <v>35</v>
      </c>
      <c r="E984" s="37">
        <v>25</v>
      </c>
      <c r="F984" t="s">
        <v>91</v>
      </c>
      <c r="G984" t="s">
        <v>92</v>
      </c>
      <c r="H984" t="s">
        <v>38</v>
      </c>
      <c r="I984" t="s">
        <v>75</v>
      </c>
      <c r="J984" t="s">
        <v>190</v>
      </c>
      <c r="K984" s="37">
        <v>11</v>
      </c>
      <c r="L984" t="s">
        <v>52</v>
      </c>
      <c r="M984" s="21">
        <v>86800</v>
      </c>
      <c r="N984" s="21">
        <v>1114512</v>
      </c>
      <c r="O984" s="21">
        <v>72912</v>
      </c>
      <c r="P984">
        <v>4</v>
      </c>
      <c r="Q984" t="s">
        <v>42</v>
      </c>
      <c r="R984" s="37">
        <v>16</v>
      </c>
      <c r="S984" s="37">
        <v>38</v>
      </c>
      <c r="T984" t="s">
        <v>62</v>
      </c>
      <c r="U984" t="s">
        <v>44</v>
      </c>
      <c r="V984" t="s">
        <v>69</v>
      </c>
    </row>
    <row r="985" spans="1:22" ht="15" customHeight="1" x14ac:dyDescent="0.3">
      <c r="A985" t="s">
        <v>1651</v>
      </c>
      <c r="B985" s="20">
        <v>45756</v>
      </c>
      <c r="C985" t="s">
        <v>174</v>
      </c>
      <c r="D985" t="s">
        <v>35</v>
      </c>
      <c r="E985" s="37">
        <v>53</v>
      </c>
      <c r="F985" t="s">
        <v>97</v>
      </c>
      <c r="G985" t="s">
        <v>98</v>
      </c>
      <c r="H985" t="s">
        <v>38</v>
      </c>
      <c r="I985" t="s">
        <v>82</v>
      </c>
      <c r="J985" t="s">
        <v>99</v>
      </c>
      <c r="K985" s="37">
        <v>14</v>
      </c>
      <c r="L985" t="s">
        <v>52</v>
      </c>
      <c r="M985" s="21">
        <v>58700</v>
      </c>
      <c r="N985" s="21">
        <v>781884</v>
      </c>
      <c r="O985" s="21">
        <v>77484</v>
      </c>
      <c r="P985">
        <v>4</v>
      </c>
      <c r="Q985" t="s">
        <v>42</v>
      </c>
      <c r="R985" s="37">
        <v>2</v>
      </c>
      <c r="S985" s="37">
        <v>28</v>
      </c>
      <c r="T985" t="s">
        <v>77</v>
      </c>
      <c r="U985" t="s">
        <v>44</v>
      </c>
      <c r="V985" t="s">
        <v>69</v>
      </c>
    </row>
    <row r="986" spans="1:22" ht="15" customHeight="1" x14ac:dyDescent="0.3">
      <c r="A986" t="s">
        <v>1652</v>
      </c>
      <c r="B986" s="20">
        <v>45780</v>
      </c>
      <c r="C986" t="s">
        <v>1653</v>
      </c>
      <c r="D986" t="s">
        <v>35</v>
      </c>
      <c r="E986" s="37">
        <v>43</v>
      </c>
      <c r="F986" t="s">
        <v>57</v>
      </c>
      <c r="G986" t="s">
        <v>58</v>
      </c>
      <c r="H986" t="s">
        <v>66</v>
      </c>
      <c r="I986" t="s">
        <v>39</v>
      </c>
      <c r="J986" t="s">
        <v>161</v>
      </c>
      <c r="K986" s="37">
        <v>13</v>
      </c>
      <c r="L986" t="s">
        <v>52</v>
      </c>
      <c r="M986" s="21">
        <v>49300</v>
      </c>
      <c r="N986" s="21">
        <v>680340</v>
      </c>
      <c r="O986" s="21">
        <v>88740</v>
      </c>
      <c r="P986">
        <v>5</v>
      </c>
      <c r="Q986" t="s">
        <v>42</v>
      </c>
      <c r="R986" s="37">
        <v>11</v>
      </c>
      <c r="S986" s="37">
        <v>18</v>
      </c>
      <c r="T986" t="s">
        <v>105</v>
      </c>
      <c r="U986" t="s">
        <v>44</v>
      </c>
      <c r="V986" t="s">
        <v>69</v>
      </c>
    </row>
    <row r="987" spans="1:22" ht="15" customHeight="1" x14ac:dyDescent="0.3">
      <c r="A987" t="s">
        <v>1654</v>
      </c>
      <c r="B987" s="20">
        <v>45997</v>
      </c>
      <c r="C987" t="s">
        <v>684</v>
      </c>
      <c r="D987" t="s">
        <v>35</v>
      </c>
      <c r="E987" s="37">
        <v>23</v>
      </c>
      <c r="F987" t="s">
        <v>91</v>
      </c>
      <c r="G987" t="s">
        <v>92</v>
      </c>
      <c r="H987" t="s">
        <v>38</v>
      </c>
      <c r="I987" t="s">
        <v>39</v>
      </c>
      <c r="J987" t="s">
        <v>40</v>
      </c>
      <c r="K987" s="37">
        <v>2</v>
      </c>
      <c r="L987" t="s">
        <v>52</v>
      </c>
      <c r="M987" s="21">
        <v>36100</v>
      </c>
      <c r="N987" s="21">
        <v>454860</v>
      </c>
      <c r="O987" s="21">
        <v>21660</v>
      </c>
      <c r="P987">
        <v>3</v>
      </c>
      <c r="Q987" t="s">
        <v>42</v>
      </c>
      <c r="R987" s="37">
        <v>13</v>
      </c>
      <c r="S987" s="37">
        <v>30</v>
      </c>
      <c r="T987" t="s">
        <v>68</v>
      </c>
      <c r="U987" t="s">
        <v>44</v>
      </c>
      <c r="V987" t="s">
        <v>69</v>
      </c>
    </row>
    <row r="988" spans="1:22" ht="15" customHeight="1" x14ac:dyDescent="0.3">
      <c r="A988" t="s">
        <v>1655</v>
      </c>
      <c r="B988" s="20">
        <v>45974</v>
      </c>
      <c r="C988" t="s">
        <v>1656</v>
      </c>
      <c r="D988" t="s">
        <v>48</v>
      </c>
      <c r="E988" s="37">
        <v>44</v>
      </c>
      <c r="F988" t="s">
        <v>91</v>
      </c>
      <c r="G988" t="s">
        <v>92</v>
      </c>
      <c r="H988" t="s">
        <v>66</v>
      </c>
      <c r="I988" t="s">
        <v>75</v>
      </c>
      <c r="J988" t="s">
        <v>93</v>
      </c>
      <c r="K988" s="37">
        <v>0</v>
      </c>
      <c r="L988" t="s">
        <v>52</v>
      </c>
      <c r="M988" s="21">
        <v>119200</v>
      </c>
      <c r="N988" s="21">
        <v>1587744</v>
      </c>
      <c r="O988" s="21">
        <v>157344</v>
      </c>
      <c r="P988">
        <v>4</v>
      </c>
      <c r="Q988" t="s">
        <v>42</v>
      </c>
      <c r="R988" s="37">
        <v>18</v>
      </c>
      <c r="S988" s="37">
        <v>29</v>
      </c>
      <c r="T988" t="s">
        <v>77</v>
      </c>
      <c r="U988" t="s">
        <v>44</v>
      </c>
      <c r="V988" t="s">
        <v>69</v>
      </c>
    </row>
    <row r="989" spans="1:22" ht="15" customHeight="1" x14ac:dyDescent="0.3">
      <c r="A989" t="s">
        <v>1657</v>
      </c>
      <c r="B989" s="20">
        <v>45725</v>
      </c>
      <c r="C989" t="s">
        <v>1366</v>
      </c>
      <c r="D989" t="s">
        <v>35</v>
      </c>
      <c r="E989" s="37">
        <v>43</v>
      </c>
      <c r="F989" t="s">
        <v>57</v>
      </c>
      <c r="G989" t="s">
        <v>58</v>
      </c>
      <c r="H989" t="s">
        <v>66</v>
      </c>
      <c r="I989" t="s">
        <v>39</v>
      </c>
      <c r="J989" t="s">
        <v>67</v>
      </c>
      <c r="K989" s="37">
        <v>5</v>
      </c>
      <c r="L989" t="s">
        <v>52</v>
      </c>
      <c r="M989" s="21">
        <v>45300</v>
      </c>
      <c r="N989" s="21">
        <v>603396</v>
      </c>
      <c r="O989" s="21">
        <v>59796</v>
      </c>
      <c r="P989">
        <v>4</v>
      </c>
      <c r="Q989" t="s">
        <v>42</v>
      </c>
      <c r="R989" s="37">
        <v>14</v>
      </c>
      <c r="S989" s="37">
        <v>40</v>
      </c>
      <c r="T989" t="s">
        <v>105</v>
      </c>
      <c r="U989" t="s">
        <v>63</v>
      </c>
      <c r="V989" t="s">
        <v>45</v>
      </c>
    </row>
    <row r="990" spans="1:22" ht="15" customHeight="1" x14ac:dyDescent="0.3">
      <c r="A990" t="s">
        <v>1658</v>
      </c>
      <c r="B990" s="20">
        <v>45812</v>
      </c>
      <c r="C990" t="s">
        <v>156</v>
      </c>
      <c r="D990" t="s">
        <v>48</v>
      </c>
      <c r="E990" s="37">
        <v>22</v>
      </c>
      <c r="F990" t="s">
        <v>49</v>
      </c>
      <c r="G990" t="s">
        <v>50</v>
      </c>
      <c r="H990" t="s">
        <v>74</v>
      </c>
      <c r="I990" t="s">
        <v>82</v>
      </c>
      <c r="J990" t="s">
        <v>367</v>
      </c>
      <c r="K990" s="37">
        <v>1</v>
      </c>
      <c r="L990" t="s">
        <v>52</v>
      </c>
      <c r="M990" s="21">
        <v>70400</v>
      </c>
      <c r="N990" s="21">
        <v>988415</v>
      </c>
      <c r="O990" s="21">
        <v>143616</v>
      </c>
      <c r="P990">
        <v>4</v>
      </c>
      <c r="Q990" t="s">
        <v>42</v>
      </c>
      <c r="R990" s="37">
        <v>4</v>
      </c>
      <c r="S990" s="37">
        <v>2</v>
      </c>
      <c r="T990" t="s">
        <v>68</v>
      </c>
      <c r="U990" t="s">
        <v>44</v>
      </c>
      <c r="V990" t="s">
        <v>45</v>
      </c>
    </row>
    <row r="991" spans="1:22" ht="15" customHeight="1" x14ac:dyDescent="0.3">
      <c r="A991" t="s">
        <v>1659</v>
      </c>
      <c r="B991" s="20">
        <v>45864</v>
      </c>
      <c r="C991" t="s">
        <v>447</v>
      </c>
      <c r="D991" t="s">
        <v>35</v>
      </c>
      <c r="E991" s="37">
        <v>44</v>
      </c>
      <c r="F991" t="s">
        <v>108</v>
      </c>
      <c r="G991" t="s">
        <v>109</v>
      </c>
      <c r="H991" t="s">
        <v>118</v>
      </c>
      <c r="I991" t="s">
        <v>39</v>
      </c>
      <c r="J991" t="s">
        <v>119</v>
      </c>
      <c r="K991" s="37">
        <v>3</v>
      </c>
      <c r="L991" t="s">
        <v>52</v>
      </c>
      <c r="M991" s="21">
        <v>39000</v>
      </c>
      <c r="N991" s="21">
        <v>538200</v>
      </c>
      <c r="O991" s="21">
        <v>70200</v>
      </c>
      <c r="P991">
        <v>4</v>
      </c>
      <c r="Q991" t="s">
        <v>42</v>
      </c>
      <c r="R991" s="37">
        <v>20</v>
      </c>
      <c r="S991" s="37">
        <v>22</v>
      </c>
      <c r="T991" t="s">
        <v>53</v>
      </c>
      <c r="U991" t="s">
        <v>54</v>
      </c>
      <c r="V991" t="s">
        <v>69</v>
      </c>
    </row>
    <row r="992" spans="1:22" ht="15" customHeight="1" x14ac:dyDescent="0.3">
      <c r="A992" t="s">
        <v>1660</v>
      </c>
      <c r="B992" s="20">
        <v>45901</v>
      </c>
      <c r="C992" t="s">
        <v>1239</v>
      </c>
      <c r="D992" t="s">
        <v>35</v>
      </c>
      <c r="E992" s="37">
        <v>54</v>
      </c>
      <c r="F992" t="s">
        <v>108</v>
      </c>
      <c r="G992" t="s">
        <v>109</v>
      </c>
      <c r="H992" t="s">
        <v>66</v>
      </c>
      <c r="I992" t="s">
        <v>82</v>
      </c>
      <c r="J992" t="s">
        <v>161</v>
      </c>
      <c r="K992" s="37">
        <v>8</v>
      </c>
      <c r="L992" t="s">
        <v>52</v>
      </c>
      <c r="M992" s="21">
        <v>64600</v>
      </c>
      <c r="N992" s="21">
        <v>829464</v>
      </c>
      <c r="O992" s="21">
        <v>54264</v>
      </c>
      <c r="P992">
        <v>2</v>
      </c>
      <c r="Q992" t="s">
        <v>42</v>
      </c>
      <c r="R992" s="37">
        <v>16</v>
      </c>
      <c r="S992" s="37">
        <v>38</v>
      </c>
      <c r="T992" t="s">
        <v>105</v>
      </c>
      <c r="U992" t="s">
        <v>63</v>
      </c>
      <c r="V992" t="s">
        <v>69</v>
      </c>
    </row>
    <row r="993" spans="1:22" ht="15" customHeight="1" x14ac:dyDescent="0.3">
      <c r="A993" t="s">
        <v>1661</v>
      </c>
      <c r="B993" s="20">
        <v>45932</v>
      </c>
      <c r="C993" t="s">
        <v>1662</v>
      </c>
      <c r="D993" t="s">
        <v>48</v>
      </c>
      <c r="E993" s="37">
        <v>45</v>
      </c>
      <c r="F993" t="s">
        <v>72</v>
      </c>
      <c r="G993" t="s">
        <v>73</v>
      </c>
      <c r="H993" t="s">
        <v>38</v>
      </c>
      <c r="I993" t="s">
        <v>75</v>
      </c>
      <c r="J993" t="s">
        <v>190</v>
      </c>
      <c r="K993" s="37">
        <v>24</v>
      </c>
      <c r="L993" t="s">
        <v>52</v>
      </c>
      <c r="M993" s="21">
        <v>77400</v>
      </c>
      <c r="N993" s="21">
        <v>1003104</v>
      </c>
      <c r="O993" s="21">
        <v>74304</v>
      </c>
      <c r="P993">
        <v>1</v>
      </c>
      <c r="Q993" t="s">
        <v>42</v>
      </c>
      <c r="R993" s="37">
        <v>0</v>
      </c>
      <c r="S993" s="37">
        <v>18</v>
      </c>
      <c r="T993" t="s">
        <v>175</v>
      </c>
      <c r="U993" t="s">
        <v>54</v>
      </c>
      <c r="V993" t="s">
        <v>69</v>
      </c>
    </row>
    <row r="994" spans="1:22" ht="15" customHeight="1" x14ac:dyDescent="0.3">
      <c r="A994" t="s">
        <v>1663</v>
      </c>
      <c r="B994" s="20">
        <v>45737</v>
      </c>
      <c r="C994" t="s">
        <v>396</v>
      </c>
      <c r="D994" t="s">
        <v>48</v>
      </c>
      <c r="E994" s="37">
        <v>53</v>
      </c>
      <c r="F994" t="s">
        <v>86</v>
      </c>
      <c r="G994" t="s">
        <v>87</v>
      </c>
      <c r="H994" t="s">
        <v>59</v>
      </c>
      <c r="I994" t="s">
        <v>82</v>
      </c>
      <c r="J994" t="s">
        <v>88</v>
      </c>
      <c r="K994" s="37">
        <v>18</v>
      </c>
      <c r="L994" t="s">
        <v>52</v>
      </c>
      <c r="M994" s="21">
        <v>60700</v>
      </c>
      <c r="N994" s="21">
        <v>793956</v>
      </c>
      <c r="O994" s="21">
        <v>65556</v>
      </c>
      <c r="P994">
        <v>3</v>
      </c>
      <c r="Q994" t="s">
        <v>42</v>
      </c>
      <c r="R994" s="37">
        <v>9</v>
      </c>
      <c r="S994" s="37">
        <v>13</v>
      </c>
      <c r="T994" t="s">
        <v>77</v>
      </c>
      <c r="U994" t="s">
        <v>63</v>
      </c>
      <c r="V994" t="s">
        <v>45</v>
      </c>
    </row>
    <row r="995" spans="1:22" ht="15" customHeight="1" x14ac:dyDescent="0.3">
      <c r="A995" t="s">
        <v>1664</v>
      </c>
      <c r="B995" s="20">
        <v>45995</v>
      </c>
      <c r="C995" t="s">
        <v>186</v>
      </c>
      <c r="D995" t="s">
        <v>35</v>
      </c>
      <c r="E995" s="37">
        <v>28</v>
      </c>
      <c r="F995" t="s">
        <v>108</v>
      </c>
      <c r="G995" t="s">
        <v>109</v>
      </c>
      <c r="H995" t="s">
        <v>66</v>
      </c>
      <c r="I995" t="s">
        <v>60</v>
      </c>
      <c r="J995" t="s">
        <v>161</v>
      </c>
      <c r="K995" s="37">
        <v>26</v>
      </c>
      <c r="L995" t="s">
        <v>52</v>
      </c>
      <c r="M995" s="21">
        <v>141800</v>
      </c>
      <c r="N995" s="21">
        <v>1854744</v>
      </c>
      <c r="O995" s="21">
        <v>153144</v>
      </c>
      <c r="P995">
        <v>5</v>
      </c>
      <c r="Q995" t="s">
        <v>42</v>
      </c>
      <c r="R995" s="37">
        <v>6</v>
      </c>
      <c r="S995" s="37">
        <v>20</v>
      </c>
      <c r="T995" t="s">
        <v>129</v>
      </c>
      <c r="U995" t="s">
        <v>63</v>
      </c>
      <c r="V995" t="s">
        <v>45</v>
      </c>
    </row>
    <row r="996" spans="1:22" ht="15" customHeight="1" x14ac:dyDescent="0.3">
      <c r="A996" t="s">
        <v>1665</v>
      </c>
      <c r="B996" s="20">
        <v>45787</v>
      </c>
      <c r="C996" t="s">
        <v>1666</v>
      </c>
      <c r="D996" t="s">
        <v>48</v>
      </c>
      <c r="E996" s="37">
        <v>41</v>
      </c>
      <c r="F996" t="s">
        <v>97</v>
      </c>
      <c r="G996" t="s">
        <v>98</v>
      </c>
      <c r="H996" t="s">
        <v>66</v>
      </c>
      <c r="I996" t="s">
        <v>60</v>
      </c>
      <c r="J996" t="s">
        <v>67</v>
      </c>
      <c r="K996" s="37">
        <v>13</v>
      </c>
      <c r="L996" t="s">
        <v>52</v>
      </c>
      <c r="M996" s="21">
        <v>159700</v>
      </c>
      <c r="N996" s="21">
        <v>2261352</v>
      </c>
      <c r="O996" s="21">
        <v>344952</v>
      </c>
      <c r="P996">
        <v>3</v>
      </c>
      <c r="Q996" t="s">
        <v>126</v>
      </c>
      <c r="R996" s="37">
        <v>7</v>
      </c>
      <c r="S996" s="37">
        <v>3</v>
      </c>
      <c r="T996" t="s">
        <v>53</v>
      </c>
      <c r="U996" t="s">
        <v>44</v>
      </c>
      <c r="V996" t="s">
        <v>45</v>
      </c>
    </row>
    <row r="997" spans="1:22" ht="15" customHeight="1" x14ac:dyDescent="0.3">
      <c r="A997" t="s">
        <v>1667</v>
      </c>
      <c r="B997" s="20">
        <v>45767</v>
      </c>
      <c r="C997" t="s">
        <v>233</v>
      </c>
      <c r="D997" t="s">
        <v>35</v>
      </c>
      <c r="E997" s="37">
        <v>24</v>
      </c>
      <c r="F997" t="s">
        <v>72</v>
      </c>
      <c r="G997" t="s">
        <v>73</v>
      </c>
      <c r="H997" t="s">
        <v>66</v>
      </c>
      <c r="I997" t="s">
        <v>82</v>
      </c>
      <c r="J997" t="s">
        <v>170</v>
      </c>
      <c r="K997" s="37">
        <v>3</v>
      </c>
      <c r="L997" t="s">
        <v>41</v>
      </c>
      <c r="M997" s="21">
        <v>75700</v>
      </c>
      <c r="N997" s="21">
        <v>1090080</v>
      </c>
      <c r="O997" s="21">
        <v>181680</v>
      </c>
      <c r="P997">
        <v>4</v>
      </c>
      <c r="Q997" t="s">
        <v>42</v>
      </c>
      <c r="R997" s="37">
        <v>13</v>
      </c>
      <c r="S997" s="37">
        <v>20</v>
      </c>
      <c r="T997" t="s">
        <v>53</v>
      </c>
      <c r="U997" t="s">
        <v>54</v>
      </c>
      <c r="V997" t="s">
        <v>45</v>
      </c>
    </row>
    <row r="998" spans="1:22" ht="15" customHeight="1" x14ac:dyDescent="0.3">
      <c r="A998" t="s">
        <v>1668</v>
      </c>
      <c r="B998" s="20">
        <v>45974</v>
      </c>
      <c r="C998" t="s">
        <v>1300</v>
      </c>
      <c r="D998" t="s">
        <v>48</v>
      </c>
      <c r="E998" s="37">
        <v>55</v>
      </c>
      <c r="F998" t="s">
        <v>123</v>
      </c>
      <c r="G998" t="s">
        <v>124</v>
      </c>
      <c r="H998" t="s">
        <v>59</v>
      </c>
      <c r="I998" t="s">
        <v>82</v>
      </c>
      <c r="J998" t="s">
        <v>61</v>
      </c>
      <c r="K998" s="37">
        <v>12</v>
      </c>
      <c r="L998" t="s">
        <v>52</v>
      </c>
      <c r="M998" s="21">
        <v>49600</v>
      </c>
      <c r="N998" s="21">
        <v>666624</v>
      </c>
      <c r="O998" s="21">
        <v>71424</v>
      </c>
      <c r="P998">
        <v>4</v>
      </c>
      <c r="Q998" t="s">
        <v>42</v>
      </c>
      <c r="R998" s="37">
        <v>19</v>
      </c>
      <c r="S998" s="37">
        <v>30</v>
      </c>
      <c r="T998" t="s">
        <v>105</v>
      </c>
      <c r="U998" t="s">
        <v>54</v>
      </c>
      <c r="V998" t="s">
        <v>69</v>
      </c>
    </row>
    <row r="999" spans="1:22" ht="15" customHeight="1" x14ac:dyDescent="0.3">
      <c r="A999" t="s">
        <v>1669</v>
      </c>
      <c r="B999" s="20">
        <v>45870</v>
      </c>
      <c r="C999" t="s">
        <v>231</v>
      </c>
      <c r="D999" t="s">
        <v>35</v>
      </c>
      <c r="E999" s="37">
        <v>42</v>
      </c>
      <c r="F999" t="s">
        <v>72</v>
      </c>
      <c r="G999" t="s">
        <v>73</v>
      </c>
      <c r="H999" t="s">
        <v>66</v>
      </c>
      <c r="I999" t="s">
        <v>60</v>
      </c>
      <c r="J999" t="s">
        <v>149</v>
      </c>
      <c r="K999" s="37">
        <v>30</v>
      </c>
      <c r="L999" t="s">
        <v>120</v>
      </c>
      <c r="M999" s="21">
        <v>153000</v>
      </c>
      <c r="N999" s="21">
        <v>2056320</v>
      </c>
      <c r="O999" s="21">
        <v>220320</v>
      </c>
      <c r="P999">
        <v>3</v>
      </c>
      <c r="Q999" t="s">
        <v>42</v>
      </c>
      <c r="R999" s="37">
        <v>7</v>
      </c>
      <c r="S999" s="37">
        <v>35</v>
      </c>
      <c r="T999" t="s">
        <v>62</v>
      </c>
      <c r="U999" t="s">
        <v>63</v>
      </c>
      <c r="V999" t="s">
        <v>69</v>
      </c>
    </row>
    <row r="1000" spans="1:22" ht="15" customHeight="1" x14ac:dyDescent="0.3">
      <c r="A1000" t="s">
        <v>1670</v>
      </c>
      <c r="B1000" s="20">
        <v>45752</v>
      </c>
      <c r="C1000" t="s">
        <v>96</v>
      </c>
      <c r="D1000" t="s">
        <v>35</v>
      </c>
      <c r="E1000" s="37">
        <v>40</v>
      </c>
      <c r="F1000" t="s">
        <v>86</v>
      </c>
      <c r="G1000" t="s">
        <v>87</v>
      </c>
      <c r="H1000" t="s">
        <v>66</v>
      </c>
      <c r="I1000" t="s">
        <v>75</v>
      </c>
      <c r="J1000" t="s">
        <v>170</v>
      </c>
      <c r="K1000" s="37">
        <v>5</v>
      </c>
      <c r="L1000" t="s">
        <v>41</v>
      </c>
      <c r="M1000" s="21">
        <v>86100</v>
      </c>
      <c r="N1000" s="21">
        <v>1177848</v>
      </c>
      <c r="O1000" s="21">
        <v>144648</v>
      </c>
      <c r="P1000">
        <v>4</v>
      </c>
      <c r="Q1000" t="s">
        <v>126</v>
      </c>
      <c r="R1000" s="37">
        <v>5</v>
      </c>
      <c r="S1000" s="37">
        <v>22</v>
      </c>
      <c r="T1000" t="s">
        <v>53</v>
      </c>
      <c r="U1000" t="s">
        <v>63</v>
      </c>
      <c r="V1000" t="s">
        <v>45</v>
      </c>
    </row>
    <row r="1001" spans="1:22" ht="15" customHeight="1" x14ac:dyDescent="0.3">
      <c r="A1001" t="s">
        <v>1671</v>
      </c>
      <c r="B1001" s="20">
        <v>45913</v>
      </c>
      <c r="C1001" t="s">
        <v>1127</v>
      </c>
      <c r="D1001" t="s">
        <v>48</v>
      </c>
      <c r="E1001" s="37">
        <v>36</v>
      </c>
      <c r="F1001" t="s">
        <v>80</v>
      </c>
      <c r="G1001" t="s">
        <v>81</v>
      </c>
      <c r="H1001" t="s">
        <v>66</v>
      </c>
      <c r="I1001" t="s">
        <v>82</v>
      </c>
      <c r="J1001" t="s">
        <v>67</v>
      </c>
      <c r="K1001" s="37">
        <v>7</v>
      </c>
      <c r="L1001" t="s">
        <v>52</v>
      </c>
      <c r="M1001" s="21">
        <v>75800</v>
      </c>
      <c r="N1001" s="21">
        <v>1073328</v>
      </c>
      <c r="O1001" s="21">
        <v>163728</v>
      </c>
      <c r="P1001">
        <v>3</v>
      </c>
      <c r="Q1001" t="s">
        <v>42</v>
      </c>
      <c r="R1001" s="37">
        <v>1</v>
      </c>
      <c r="S1001" s="37">
        <v>7</v>
      </c>
      <c r="T1001" t="s">
        <v>43</v>
      </c>
      <c r="U1001" t="s">
        <v>63</v>
      </c>
      <c r="V1001" t="s">
        <v>69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1"/>
  <sheetViews>
    <sheetView topLeftCell="R1" zoomScaleNormal="100" workbookViewId="0">
      <pane ySplit="1" topLeftCell="A2" activePane="bottomLeft" state="frozen"/>
      <selection pane="bottomLeft" activeCell="Y6" sqref="Y6"/>
    </sheetView>
  </sheetViews>
  <sheetFormatPr defaultColWidth="8.6640625" defaultRowHeight="14.4" x14ac:dyDescent="0.3"/>
  <cols>
    <col min="1" max="1" width="12.77734375" customWidth="1"/>
    <col min="2" max="2" width="15.77734375" customWidth="1"/>
    <col min="3" max="3" width="19.33203125" customWidth="1"/>
    <col min="4" max="4" width="12.33203125" customWidth="1"/>
    <col min="5" max="5" width="9.33203125" style="37" customWidth="1"/>
    <col min="6" max="6" width="18.109375" customWidth="1"/>
    <col min="7" max="8" width="16.5546875" customWidth="1"/>
    <col min="9" max="9" width="23.21875" customWidth="1"/>
    <col min="10" max="10" width="26.109375" customWidth="1"/>
    <col min="11" max="11" width="19.5546875" style="37" customWidth="1"/>
    <col min="12" max="12" width="23.44140625" customWidth="1"/>
    <col min="13" max="13" width="20.33203125" customWidth="1"/>
    <col min="14" max="14" width="21" customWidth="1"/>
    <col min="15" max="15" width="20.109375" customWidth="1"/>
    <col min="16" max="16" width="23.33203125" style="37" customWidth="1"/>
    <col min="17" max="17" width="14.77734375" customWidth="1"/>
    <col min="18" max="19" width="19.109375" style="37" customWidth="1"/>
    <col min="20" max="20" width="21.33203125" customWidth="1"/>
    <col min="21" max="21" width="15.6640625" customWidth="1"/>
    <col min="22" max="22" width="14.6640625" customWidth="1"/>
    <col min="23" max="23" width="15" customWidth="1"/>
    <col min="24" max="24" width="22.5546875" customWidth="1"/>
    <col min="25" max="25" width="17.6640625" customWidth="1"/>
    <col min="26" max="26" width="14.33203125" customWidth="1"/>
    <col min="27" max="27" width="16" customWidth="1"/>
  </cols>
  <sheetData>
    <row r="1" spans="1:27" ht="15" customHeight="1" x14ac:dyDescent="0.3">
      <c r="A1" s="22" t="s">
        <v>11</v>
      </c>
      <c r="B1" s="22" t="s">
        <v>12</v>
      </c>
      <c r="C1" s="22" t="s">
        <v>13</v>
      </c>
      <c r="D1" s="22" t="s">
        <v>14</v>
      </c>
      <c r="E1" s="22" t="s">
        <v>15</v>
      </c>
      <c r="F1" s="22" t="s">
        <v>16</v>
      </c>
      <c r="G1" s="22" t="s">
        <v>17</v>
      </c>
      <c r="H1" s="22" t="s">
        <v>18</v>
      </c>
      <c r="I1" s="22" t="s">
        <v>19</v>
      </c>
      <c r="J1" s="22" t="s">
        <v>20</v>
      </c>
      <c r="K1" s="22" t="s">
        <v>21</v>
      </c>
      <c r="L1" s="22" t="s">
        <v>22</v>
      </c>
      <c r="M1" s="22" t="s">
        <v>23</v>
      </c>
      <c r="N1" s="22" t="s">
        <v>24</v>
      </c>
      <c r="O1" s="22" t="s">
        <v>25</v>
      </c>
      <c r="P1" s="22" t="s">
        <v>26</v>
      </c>
      <c r="Q1" s="22" t="s">
        <v>27</v>
      </c>
      <c r="R1" s="22" t="s">
        <v>28</v>
      </c>
      <c r="S1" s="22" t="s">
        <v>29</v>
      </c>
      <c r="T1" s="22" t="s">
        <v>30</v>
      </c>
      <c r="U1" s="22" t="s">
        <v>31</v>
      </c>
      <c r="V1" s="22" t="s">
        <v>32</v>
      </c>
      <c r="W1" s="22" t="s">
        <v>1672</v>
      </c>
      <c r="X1" s="22" t="s">
        <v>1673</v>
      </c>
      <c r="Y1" s="22" t="s">
        <v>1674</v>
      </c>
      <c r="Z1" s="22" t="s">
        <v>1675</v>
      </c>
      <c r="AA1" s="22" t="s">
        <v>1676</v>
      </c>
    </row>
    <row r="2" spans="1:27" ht="15" customHeight="1" x14ac:dyDescent="0.3">
      <c r="A2" t="s">
        <v>33</v>
      </c>
      <c r="B2" s="20">
        <v>45669</v>
      </c>
      <c r="C2" t="s">
        <v>34</v>
      </c>
      <c r="D2" t="s">
        <v>35</v>
      </c>
      <c r="E2" s="37">
        <v>29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s="37">
        <v>10</v>
      </c>
      <c r="L2" t="s">
        <v>41</v>
      </c>
      <c r="M2" s="21">
        <v>38100</v>
      </c>
      <c r="N2" s="21">
        <v>530352</v>
      </c>
      <c r="O2" s="21">
        <v>73152</v>
      </c>
      <c r="P2" s="37">
        <v>1</v>
      </c>
      <c r="Q2" t="s">
        <v>42</v>
      </c>
      <c r="R2" s="37">
        <v>11</v>
      </c>
      <c r="S2" s="37">
        <v>29</v>
      </c>
      <c r="T2" t="s">
        <v>43</v>
      </c>
      <c r="U2" t="s">
        <v>44</v>
      </c>
      <c r="V2" t="s">
        <v>45</v>
      </c>
      <c r="W2" t="str">
        <f t="shared" ref="W2:W65" si="0">IF(E2&lt;=30,"22-30",IF(E2&lt;=40,"31-40",IF(E2&lt;=50,"41-50","51-58")))</f>
        <v>22-30</v>
      </c>
      <c r="X2" t="str">
        <f t="shared" ref="X2:X65" si="1">IF(K2&lt;=5,"0-5 yrs",IF(K2&lt;=10,"6-10 yrs",IF(K2&lt;=20,"11-20 yrs","21-30 yrs")))</f>
        <v>6-10 yrs</v>
      </c>
      <c r="Y2" t="str">
        <f t="shared" ref="Y2:Y65" si="2">TEXT(B2,"mmm")</f>
        <v>Jan</v>
      </c>
      <c r="Z2">
        <f t="shared" ref="Z2:Z65" si="3">YEAR(B2)</f>
        <v>2025</v>
      </c>
      <c r="AA2">
        <f t="shared" ref="AA2:AA65" si="4">IF(Q2="Yes",1,0)</f>
        <v>0</v>
      </c>
    </row>
    <row r="3" spans="1:27" ht="15" customHeight="1" x14ac:dyDescent="0.3">
      <c r="A3" t="s">
        <v>46</v>
      </c>
      <c r="B3" s="20">
        <v>45939</v>
      </c>
      <c r="C3" t="s">
        <v>47</v>
      </c>
      <c r="D3" t="s">
        <v>48</v>
      </c>
      <c r="E3" s="37">
        <v>48</v>
      </c>
      <c r="F3" t="s">
        <v>49</v>
      </c>
      <c r="G3" t="s">
        <v>50</v>
      </c>
      <c r="H3" t="s">
        <v>38</v>
      </c>
      <c r="I3" t="s">
        <v>51</v>
      </c>
      <c r="J3" t="s">
        <v>40</v>
      </c>
      <c r="K3" s="37">
        <v>11</v>
      </c>
      <c r="L3" t="s">
        <v>52</v>
      </c>
      <c r="M3" s="21">
        <v>228200</v>
      </c>
      <c r="N3" s="21">
        <v>2902704</v>
      </c>
      <c r="O3" s="21">
        <v>164304</v>
      </c>
      <c r="P3" s="37">
        <v>4</v>
      </c>
      <c r="Q3" t="s">
        <v>42</v>
      </c>
      <c r="R3" s="37">
        <v>6</v>
      </c>
      <c r="S3" s="37">
        <v>17</v>
      </c>
      <c r="T3" t="s">
        <v>53</v>
      </c>
      <c r="U3" t="s">
        <v>54</v>
      </c>
      <c r="V3" t="s">
        <v>45</v>
      </c>
      <c r="W3" t="str">
        <f t="shared" si="0"/>
        <v>41-50</v>
      </c>
      <c r="X3" t="str">
        <f t="shared" si="1"/>
        <v>11-20 yrs</v>
      </c>
      <c r="Y3" t="str">
        <f t="shared" si="2"/>
        <v>Oct</v>
      </c>
      <c r="Z3">
        <f t="shared" si="3"/>
        <v>2025</v>
      </c>
      <c r="AA3">
        <f t="shared" si="4"/>
        <v>0</v>
      </c>
    </row>
    <row r="4" spans="1:27" ht="15" customHeight="1" x14ac:dyDescent="0.3">
      <c r="A4" t="s">
        <v>55</v>
      </c>
      <c r="B4" s="20">
        <v>45761</v>
      </c>
      <c r="C4" t="s">
        <v>56</v>
      </c>
      <c r="D4" t="s">
        <v>35</v>
      </c>
      <c r="E4" s="37">
        <v>49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 s="37">
        <v>13</v>
      </c>
      <c r="L4" t="s">
        <v>52</v>
      </c>
      <c r="M4" s="21">
        <v>110300</v>
      </c>
      <c r="N4" s="21">
        <v>1535376</v>
      </c>
      <c r="O4" s="21">
        <v>211776</v>
      </c>
      <c r="P4" s="37">
        <v>3</v>
      </c>
      <c r="Q4" t="s">
        <v>42</v>
      </c>
      <c r="R4" s="37">
        <v>3</v>
      </c>
      <c r="S4" s="37">
        <v>28</v>
      </c>
      <c r="T4" t="s">
        <v>62</v>
      </c>
      <c r="U4" t="s">
        <v>63</v>
      </c>
      <c r="V4" t="s">
        <v>45</v>
      </c>
      <c r="W4" t="str">
        <f t="shared" si="0"/>
        <v>41-50</v>
      </c>
      <c r="X4" t="str">
        <f t="shared" si="1"/>
        <v>11-20 yrs</v>
      </c>
      <c r="Y4" t="str">
        <f t="shared" si="2"/>
        <v>Apr</v>
      </c>
      <c r="Z4">
        <f t="shared" si="3"/>
        <v>2025</v>
      </c>
      <c r="AA4">
        <f t="shared" si="4"/>
        <v>0</v>
      </c>
    </row>
    <row r="5" spans="1:27" ht="15" customHeight="1" x14ac:dyDescent="0.3">
      <c r="A5" t="s">
        <v>64</v>
      </c>
      <c r="B5" s="20">
        <v>45669</v>
      </c>
      <c r="C5" t="s">
        <v>65</v>
      </c>
      <c r="D5" t="s">
        <v>48</v>
      </c>
      <c r="E5" s="37">
        <v>35</v>
      </c>
      <c r="F5" t="s">
        <v>57</v>
      </c>
      <c r="G5" t="s">
        <v>58</v>
      </c>
      <c r="H5" t="s">
        <v>66</v>
      </c>
      <c r="I5" t="s">
        <v>51</v>
      </c>
      <c r="J5" t="s">
        <v>67</v>
      </c>
      <c r="K5" s="37">
        <v>15</v>
      </c>
      <c r="L5" t="s">
        <v>52</v>
      </c>
      <c r="M5" s="21">
        <v>257400</v>
      </c>
      <c r="N5" s="21">
        <v>3521232</v>
      </c>
      <c r="O5" s="21">
        <v>432432</v>
      </c>
      <c r="P5" s="37">
        <v>5</v>
      </c>
      <c r="Q5" t="s">
        <v>42</v>
      </c>
      <c r="R5" s="37">
        <v>12</v>
      </c>
      <c r="S5" s="37">
        <v>40</v>
      </c>
      <c r="T5" t="s">
        <v>68</v>
      </c>
      <c r="U5" t="s">
        <v>44</v>
      </c>
      <c r="V5" t="s">
        <v>69</v>
      </c>
      <c r="W5" t="str">
        <f t="shared" si="0"/>
        <v>31-40</v>
      </c>
      <c r="X5" t="str">
        <f t="shared" si="1"/>
        <v>11-20 yrs</v>
      </c>
      <c r="Y5" t="str">
        <f t="shared" si="2"/>
        <v>Jan</v>
      </c>
      <c r="Z5">
        <f t="shared" si="3"/>
        <v>2025</v>
      </c>
      <c r="AA5">
        <f t="shared" si="4"/>
        <v>0</v>
      </c>
    </row>
    <row r="6" spans="1:27" ht="15" customHeight="1" x14ac:dyDescent="0.3">
      <c r="A6" t="s">
        <v>70</v>
      </c>
      <c r="B6" s="20">
        <v>45835</v>
      </c>
      <c r="C6" t="s">
        <v>71</v>
      </c>
      <c r="D6" t="s">
        <v>35</v>
      </c>
      <c r="E6" s="37">
        <v>38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s="37">
        <v>9</v>
      </c>
      <c r="L6" t="s">
        <v>52</v>
      </c>
      <c r="M6" s="21">
        <v>82200</v>
      </c>
      <c r="N6" s="21">
        <v>1163952</v>
      </c>
      <c r="O6" s="21">
        <v>177552</v>
      </c>
      <c r="P6" s="37">
        <v>4</v>
      </c>
      <c r="Q6" t="s">
        <v>42</v>
      </c>
      <c r="R6" s="37">
        <v>15</v>
      </c>
      <c r="S6" s="37">
        <v>22</v>
      </c>
      <c r="T6" t="s">
        <v>77</v>
      </c>
      <c r="U6" t="s">
        <v>63</v>
      </c>
      <c r="V6" t="s">
        <v>45</v>
      </c>
      <c r="W6" t="str">
        <f t="shared" si="0"/>
        <v>31-40</v>
      </c>
      <c r="X6" t="str">
        <f t="shared" si="1"/>
        <v>6-10 yrs</v>
      </c>
      <c r="Y6" t="str">
        <f t="shared" si="2"/>
        <v>Jun</v>
      </c>
      <c r="Z6">
        <f t="shared" si="3"/>
        <v>2025</v>
      </c>
      <c r="AA6">
        <f t="shared" si="4"/>
        <v>0</v>
      </c>
    </row>
    <row r="7" spans="1:27" ht="15" customHeight="1" x14ac:dyDescent="0.3">
      <c r="A7" t="s">
        <v>78</v>
      </c>
      <c r="B7" s="20">
        <v>45965</v>
      </c>
      <c r="C7" t="s">
        <v>79</v>
      </c>
      <c r="D7" t="s">
        <v>48</v>
      </c>
      <c r="E7" s="37">
        <v>35</v>
      </c>
      <c r="F7" t="s">
        <v>80</v>
      </c>
      <c r="G7" t="s">
        <v>81</v>
      </c>
      <c r="H7" t="s">
        <v>74</v>
      </c>
      <c r="I7" t="s">
        <v>82</v>
      </c>
      <c r="J7" t="s">
        <v>83</v>
      </c>
      <c r="K7" s="37">
        <v>8</v>
      </c>
      <c r="L7" t="s">
        <v>52</v>
      </c>
      <c r="M7" s="21">
        <v>53100</v>
      </c>
      <c r="N7" s="21">
        <v>713664</v>
      </c>
      <c r="O7" s="21">
        <v>76464</v>
      </c>
      <c r="P7" s="37">
        <v>3</v>
      </c>
      <c r="Q7" t="s">
        <v>42</v>
      </c>
      <c r="R7" s="37">
        <v>16</v>
      </c>
      <c r="S7" s="37">
        <v>31</v>
      </c>
      <c r="T7" t="s">
        <v>53</v>
      </c>
      <c r="U7" t="s">
        <v>54</v>
      </c>
      <c r="V7" t="s">
        <v>69</v>
      </c>
      <c r="W7" t="str">
        <f t="shared" si="0"/>
        <v>31-40</v>
      </c>
      <c r="X7" t="str">
        <f t="shared" si="1"/>
        <v>6-10 yrs</v>
      </c>
      <c r="Y7" t="str">
        <f t="shared" si="2"/>
        <v>Nov</v>
      </c>
      <c r="Z7">
        <f t="shared" si="3"/>
        <v>2025</v>
      </c>
      <c r="AA7">
        <f t="shared" si="4"/>
        <v>0</v>
      </c>
    </row>
    <row r="8" spans="1:27" ht="15" customHeight="1" x14ac:dyDescent="0.3">
      <c r="A8" t="s">
        <v>84</v>
      </c>
      <c r="B8" s="20">
        <v>45760</v>
      </c>
      <c r="C8" t="s">
        <v>85</v>
      </c>
      <c r="D8" t="s">
        <v>48</v>
      </c>
      <c r="E8" s="37">
        <v>43</v>
      </c>
      <c r="F8" t="s">
        <v>86</v>
      </c>
      <c r="G8" t="s">
        <v>87</v>
      </c>
      <c r="H8" t="s">
        <v>59</v>
      </c>
      <c r="I8" t="s">
        <v>39</v>
      </c>
      <c r="J8" t="s">
        <v>88</v>
      </c>
      <c r="K8" s="37">
        <v>5</v>
      </c>
      <c r="L8" t="s">
        <v>52</v>
      </c>
      <c r="M8" s="21">
        <v>30100</v>
      </c>
      <c r="N8" s="21">
        <v>400932</v>
      </c>
      <c r="O8" s="21">
        <v>39732</v>
      </c>
      <c r="P8" s="37">
        <v>5</v>
      </c>
      <c r="Q8" t="s">
        <v>42</v>
      </c>
      <c r="R8" s="37">
        <v>6</v>
      </c>
      <c r="S8" s="37">
        <v>32</v>
      </c>
      <c r="T8" t="s">
        <v>68</v>
      </c>
      <c r="U8" t="s">
        <v>44</v>
      </c>
      <c r="V8" t="s">
        <v>69</v>
      </c>
      <c r="W8" t="str">
        <f t="shared" si="0"/>
        <v>41-50</v>
      </c>
      <c r="X8" t="str">
        <f t="shared" si="1"/>
        <v>0-5 yrs</v>
      </c>
      <c r="Y8" t="str">
        <f t="shared" si="2"/>
        <v>Apr</v>
      </c>
      <c r="Z8">
        <f t="shared" si="3"/>
        <v>2025</v>
      </c>
      <c r="AA8">
        <f t="shared" si="4"/>
        <v>0</v>
      </c>
    </row>
    <row r="9" spans="1:27" ht="15" customHeight="1" x14ac:dyDescent="0.3">
      <c r="A9" t="s">
        <v>89</v>
      </c>
      <c r="B9" s="20">
        <v>45681</v>
      </c>
      <c r="C9" t="s">
        <v>90</v>
      </c>
      <c r="D9" t="s">
        <v>48</v>
      </c>
      <c r="E9" s="37">
        <v>29</v>
      </c>
      <c r="F9" t="s">
        <v>91</v>
      </c>
      <c r="G9" t="s">
        <v>92</v>
      </c>
      <c r="H9" t="s">
        <v>66</v>
      </c>
      <c r="I9" t="s">
        <v>75</v>
      </c>
      <c r="J9" t="s">
        <v>93</v>
      </c>
      <c r="K9" s="37">
        <v>11</v>
      </c>
      <c r="L9" t="s">
        <v>52</v>
      </c>
      <c r="M9" s="21">
        <v>89600</v>
      </c>
      <c r="N9" s="21">
        <v>1161216</v>
      </c>
      <c r="O9" s="21">
        <v>86016</v>
      </c>
      <c r="P9" s="37">
        <v>4</v>
      </c>
      <c r="Q9" t="s">
        <v>42</v>
      </c>
      <c r="R9" s="37">
        <v>16</v>
      </c>
      <c r="S9" s="37">
        <v>11</v>
      </c>
      <c r="T9" t="s">
        <v>94</v>
      </c>
      <c r="U9" t="s">
        <v>63</v>
      </c>
      <c r="V9" t="s">
        <v>69</v>
      </c>
      <c r="W9" t="str">
        <f t="shared" si="0"/>
        <v>22-30</v>
      </c>
      <c r="X9" t="str">
        <f t="shared" si="1"/>
        <v>11-20 yrs</v>
      </c>
      <c r="Y9" t="str">
        <f t="shared" si="2"/>
        <v>Jan</v>
      </c>
      <c r="Z9">
        <f t="shared" si="3"/>
        <v>2025</v>
      </c>
      <c r="AA9">
        <f t="shared" si="4"/>
        <v>0</v>
      </c>
    </row>
    <row r="10" spans="1:27" ht="15" customHeight="1" x14ac:dyDescent="0.3">
      <c r="A10" t="s">
        <v>95</v>
      </c>
      <c r="B10" s="20">
        <v>45830</v>
      </c>
      <c r="C10" t="s">
        <v>96</v>
      </c>
      <c r="D10" t="s">
        <v>35</v>
      </c>
      <c r="E10" s="37">
        <v>23</v>
      </c>
      <c r="F10" t="s">
        <v>97</v>
      </c>
      <c r="G10" t="s">
        <v>98</v>
      </c>
      <c r="H10" t="s">
        <v>38</v>
      </c>
      <c r="I10" t="s">
        <v>82</v>
      </c>
      <c r="J10" t="s">
        <v>99</v>
      </c>
      <c r="K10" s="37">
        <v>18</v>
      </c>
      <c r="L10" t="s">
        <v>52</v>
      </c>
      <c r="M10" s="21">
        <v>58400</v>
      </c>
      <c r="N10" s="21">
        <v>784896</v>
      </c>
      <c r="O10" s="21">
        <v>84096</v>
      </c>
      <c r="P10" s="37">
        <v>4</v>
      </c>
      <c r="Q10" t="s">
        <v>42</v>
      </c>
      <c r="R10" s="37">
        <v>10</v>
      </c>
      <c r="S10" s="37">
        <v>16</v>
      </c>
      <c r="T10" t="s">
        <v>43</v>
      </c>
      <c r="U10" t="s">
        <v>44</v>
      </c>
      <c r="V10" t="s">
        <v>45</v>
      </c>
      <c r="W10" t="str">
        <f t="shared" si="0"/>
        <v>22-30</v>
      </c>
      <c r="X10" t="str">
        <f t="shared" si="1"/>
        <v>11-20 yrs</v>
      </c>
      <c r="Y10" t="str">
        <f t="shared" si="2"/>
        <v>Jun</v>
      </c>
      <c r="Z10">
        <f t="shared" si="3"/>
        <v>2025</v>
      </c>
      <c r="AA10">
        <f t="shared" si="4"/>
        <v>0</v>
      </c>
    </row>
    <row r="11" spans="1:27" ht="15" customHeight="1" x14ac:dyDescent="0.3">
      <c r="A11" t="s">
        <v>100</v>
      </c>
      <c r="B11" s="20">
        <v>45870</v>
      </c>
      <c r="C11" t="s">
        <v>101</v>
      </c>
      <c r="D11" t="s">
        <v>35</v>
      </c>
      <c r="E11" s="37">
        <v>54</v>
      </c>
      <c r="F11" t="s">
        <v>91</v>
      </c>
      <c r="G11" t="s">
        <v>92</v>
      </c>
      <c r="H11" t="s">
        <v>66</v>
      </c>
      <c r="I11" t="s">
        <v>39</v>
      </c>
      <c r="J11" t="s">
        <v>67</v>
      </c>
      <c r="K11" s="37">
        <v>2</v>
      </c>
      <c r="L11" t="s">
        <v>52</v>
      </c>
      <c r="M11" s="21">
        <v>45100</v>
      </c>
      <c r="N11" s="21">
        <v>568260</v>
      </c>
      <c r="O11" s="21">
        <v>27060</v>
      </c>
      <c r="P11" s="37">
        <v>4</v>
      </c>
      <c r="Q11" t="s">
        <v>42</v>
      </c>
      <c r="R11" s="37">
        <v>6</v>
      </c>
      <c r="S11" s="37">
        <v>40</v>
      </c>
      <c r="T11" t="s">
        <v>68</v>
      </c>
      <c r="U11" t="s">
        <v>44</v>
      </c>
      <c r="V11" t="s">
        <v>45</v>
      </c>
      <c r="W11" t="str">
        <f t="shared" si="0"/>
        <v>51-58</v>
      </c>
      <c r="X11" t="str">
        <f t="shared" si="1"/>
        <v>0-5 yrs</v>
      </c>
      <c r="Y11" t="str">
        <f t="shared" si="2"/>
        <v>Aug</v>
      </c>
      <c r="Z11">
        <f t="shared" si="3"/>
        <v>2025</v>
      </c>
      <c r="AA11">
        <f t="shared" si="4"/>
        <v>0</v>
      </c>
    </row>
    <row r="12" spans="1:27" ht="15" customHeight="1" x14ac:dyDescent="0.3">
      <c r="A12" t="s">
        <v>102</v>
      </c>
      <c r="B12" s="20">
        <v>45771</v>
      </c>
      <c r="C12" t="s">
        <v>103</v>
      </c>
      <c r="D12" t="s">
        <v>48</v>
      </c>
      <c r="E12" s="37">
        <v>56</v>
      </c>
      <c r="F12" t="s">
        <v>57</v>
      </c>
      <c r="G12" t="s">
        <v>58</v>
      </c>
      <c r="H12" t="s">
        <v>59</v>
      </c>
      <c r="I12" t="s">
        <v>75</v>
      </c>
      <c r="J12" t="s">
        <v>104</v>
      </c>
      <c r="K12" s="37">
        <v>19</v>
      </c>
      <c r="L12" t="s">
        <v>52</v>
      </c>
      <c r="M12" s="21">
        <v>74000</v>
      </c>
      <c r="N12" s="21">
        <v>941280</v>
      </c>
      <c r="O12" s="21">
        <v>53280</v>
      </c>
      <c r="P12" s="37">
        <v>5</v>
      </c>
      <c r="Q12" t="s">
        <v>42</v>
      </c>
      <c r="R12" s="37">
        <v>8</v>
      </c>
      <c r="S12" s="37">
        <v>40</v>
      </c>
      <c r="T12" t="s">
        <v>105</v>
      </c>
      <c r="U12" t="s">
        <v>63</v>
      </c>
      <c r="V12" t="s">
        <v>45</v>
      </c>
      <c r="W12" t="str">
        <f t="shared" si="0"/>
        <v>51-58</v>
      </c>
      <c r="X12" t="str">
        <f t="shared" si="1"/>
        <v>11-20 yrs</v>
      </c>
      <c r="Y12" t="str">
        <f t="shared" si="2"/>
        <v>Apr</v>
      </c>
      <c r="Z12">
        <f t="shared" si="3"/>
        <v>2025</v>
      </c>
      <c r="AA12">
        <f t="shared" si="4"/>
        <v>0</v>
      </c>
    </row>
    <row r="13" spans="1:27" ht="15" customHeight="1" x14ac:dyDescent="0.3">
      <c r="A13" t="s">
        <v>106</v>
      </c>
      <c r="B13" s="20">
        <v>45748</v>
      </c>
      <c r="C13" t="s">
        <v>107</v>
      </c>
      <c r="D13" t="s">
        <v>35</v>
      </c>
      <c r="E13" s="37">
        <v>32</v>
      </c>
      <c r="F13" t="s">
        <v>108</v>
      </c>
      <c r="G13" t="s">
        <v>109</v>
      </c>
      <c r="H13" t="s">
        <v>38</v>
      </c>
      <c r="I13" t="s">
        <v>60</v>
      </c>
      <c r="J13" t="s">
        <v>110</v>
      </c>
      <c r="K13" s="37">
        <v>29</v>
      </c>
      <c r="L13" t="s">
        <v>52</v>
      </c>
      <c r="M13" s="21">
        <v>115700</v>
      </c>
      <c r="N13" s="21">
        <v>1596659</v>
      </c>
      <c r="O13" s="21">
        <v>208260</v>
      </c>
      <c r="P13" s="37">
        <v>1</v>
      </c>
      <c r="Q13" t="s">
        <v>42</v>
      </c>
      <c r="R13" s="37">
        <v>17</v>
      </c>
      <c r="S13" s="37">
        <v>1</v>
      </c>
      <c r="T13" t="s">
        <v>43</v>
      </c>
      <c r="U13" t="s">
        <v>44</v>
      </c>
      <c r="V13" t="s">
        <v>45</v>
      </c>
      <c r="W13" t="str">
        <f t="shared" si="0"/>
        <v>31-40</v>
      </c>
      <c r="X13" t="str">
        <f t="shared" si="1"/>
        <v>21-30 yrs</v>
      </c>
      <c r="Y13" t="str">
        <f t="shared" si="2"/>
        <v>Apr</v>
      </c>
      <c r="Z13">
        <f t="shared" si="3"/>
        <v>2025</v>
      </c>
      <c r="AA13">
        <f t="shared" si="4"/>
        <v>0</v>
      </c>
    </row>
    <row r="14" spans="1:27" ht="15" customHeight="1" x14ac:dyDescent="0.3">
      <c r="A14" t="s">
        <v>111</v>
      </c>
      <c r="B14" s="20">
        <v>45662</v>
      </c>
      <c r="C14" t="s">
        <v>112</v>
      </c>
      <c r="D14" t="s">
        <v>35</v>
      </c>
      <c r="E14" s="37">
        <v>41</v>
      </c>
      <c r="F14" t="s">
        <v>72</v>
      </c>
      <c r="G14" t="s">
        <v>73</v>
      </c>
      <c r="H14" t="s">
        <v>59</v>
      </c>
      <c r="I14" t="s">
        <v>60</v>
      </c>
      <c r="J14" t="s">
        <v>104</v>
      </c>
      <c r="K14" s="37">
        <v>0</v>
      </c>
      <c r="L14" t="s">
        <v>52</v>
      </c>
      <c r="M14" s="21">
        <v>126000</v>
      </c>
      <c r="N14" s="21">
        <v>1738799</v>
      </c>
      <c r="O14" s="21">
        <v>226800</v>
      </c>
      <c r="P14" s="37">
        <v>3</v>
      </c>
      <c r="Q14" t="s">
        <v>42</v>
      </c>
      <c r="R14" s="37">
        <v>5</v>
      </c>
      <c r="S14" s="37">
        <v>7</v>
      </c>
      <c r="T14" t="s">
        <v>62</v>
      </c>
      <c r="U14" t="s">
        <v>44</v>
      </c>
      <c r="V14" t="s">
        <v>45</v>
      </c>
      <c r="W14" t="str">
        <f t="shared" si="0"/>
        <v>41-50</v>
      </c>
      <c r="X14" t="str">
        <f t="shared" si="1"/>
        <v>0-5 yrs</v>
      </c>
      <c r="Y14" t="str">
        <f t="shared" si="2"/>
        <v>Jan</v>
      </c>
      <c r="Z14">
        <f t="shared" si="3"/>
        <v>2025</v>
      </c>
      <c r="AA14">
        <f t="shared" si="4"/>
        <v>0</v>
      </c>
    </row>
    <row r="15" spans="1:27" ht="15" customHeight="1" x14ac:dyDescent="0.3">
      <c r="A15" t="s">
        <v>113</v>
      </c>
      <c r="B15" s="20">
        <v>45800</v>
      </c>
      <c r="C15" t="s">
        <v>114</v>
      </c>
      <c r="D15" t="s">
        <v>35</v>
      </c>
      <c r="E15" s="37">
        <v>25</v>
      </c>
      <c r="F15" t="s">
        <v>80</v>
      </c>
      <c r="G15" t="s">
        <v>81</v>
      </c>
      <c r="H15" t="s">
        <v>74</v>
      </c>
      <c r="I15" t="s">
        <v>39</v>
      </c>
      <c r="J15" t="s">
        <v>115</v>
      </c>
      <c r="K15" s="37">
        <v>27</v>
      </c>
      <c r="L15" t="s">
        <v>52</v>
      </c>
      <c r="M15" s="21">
        <v>36300</v>
      </c>
      <c r="N15" s="21">
        <v>514008</v>
      </c>
      <c r="O15" s="21">
        <v>78408</v>
      </c>
      <c r="P15" s="37">
        <v>4</v>
      </c>
      <c r="Q15" t="s">
        <v>42</v>
      </c>
      <c r="R15" s="37">
        <v>16</v>
      </c>
      <c r="S15" s="37">
        <v>30</v>
      </c>
      <c r="T15" t="s">
        <v>105</v>
      </c>
      <c r="U15" t="s">
        <v>54</v>
      </c>
      <c r="V15" t="s">
        <v>69</v>
      </c>
      <c r="W15" t="str">
        <f t="shared" si="0"/>
        <v>22-30</v>
      </c>
      <c r="X15" t="str">
        <f t="shared" si="1"/>
        <v>21-30 yrs</v>
      </c>
      <c r="Y15" t="str">
        <f t="shared" si="2"/>
        <v>May</v>
      </c>
      <c r="Z15">
        <f t="shared" si="3"/>
        <v>2025</v>
      </c>
      <c r="AA15">
        <f t="shared" si="4"/>
        <v>0</v>
      </c>
    </row>
    <row r="16" spans="1:27" ht="15" customHeight="1" x14ac:dyDescent="0.3">
      <c r="A16" t="s">
        <v>116</v>
      </c>
      <c r="B16" s="20">
        <v>45864</v>
      </c>
      <c r="C16" t="s">
        <v>117</v>
      </c>
      <c r="D16" t="s">
        <v>35</v>
      </c>
      <c r="E16" s="37">
        <v>46</v>
      </c>
      <c r="F16" t="s">
        <v>49</v>
      </c>
      <c r="G16" t="s">
        <v>50</v>
      </c>
      <c r="H16" t="s">
        <v>118</v>
      </c>
      <c r="I16" t="s">
        <v>75</v>
      </c>
      <c r="J16" t="s">
        <v>119</v>
      </c>
      <c r="K16" s="37">
        <v>14</v>
      </c>
      <c r="L16" t="s">
        <v>120</v>
      </c>
      <c r="M16" s="21">
        <v>73100</v>
      </c>
      <c r="N16" s="21">
        <v>991235</v>
      </c>
      <c r="O16" s="21">
        <v>114036</v>
      </c>
      <c r="P16" s="37">
        <v>5</v>
      </c>
      <c r="Q16" t="s">
        <v>42</v>
      </c>
      <c r="R16" s="37">
        <v>0</v>
      </c>
      <c r="S16" s="37">
        <v>8</v>
      </c>
      <c r="T16" t="s">
        <v>43</v>
      </c>
      <c r="U16" t="s">
        <v>44</v>
      </c>
      <c r="V16" t="s">
        <v>69</v>
      </c>
      <c r="W16" t="str">
        <f t="shared" si="0"/>
        <v>41-50</v>
      </c>
      <c r="X16" t="str">
        <f t="shared" si="1"/>
        <v>11-20 yrs</v>
      </c>
      <c r="Y16" t="str">
        <f t="shared" si="2"/>
        <v>Jul</v>
      </c>
      <c r="Z16">
        <f t="shared" si="3"/>
        <v>2025</v>
      </c>
      <c r="AA16">
        <f t="shared" si="4"/>
        <v>0</v>
      </c>
    </row>
    <row r="17" spans="1:27" ht="15" customHeight="1" x14ac:dyDescent="0.3">
      <c r="A17" t="s">
        <v>121</v>
      </c>
      <c r="B17" s="20">
        <v>45890</v>
      </c>
      <c r="C17" t="s">
        <v>122</v>
      </c>
      <c r="D17" t="s">
        <v>48</v>
      </c>
      <c r="E17" s="37">
        <v>57</v>
      </c>
      <c r="F17" t="s">
        <v>123</v>
      </c>
      <c r="G17" t="s">
        <v>124</v>
      </c>
      <c r="H17" t="s">
        <v>59</v>
      </c>
      <c r="I17" t="s">
        <v>75</v>
      </c>
      <c r="J17" t="s">
        <v>125</v>
      </c>
      <c r="K17" s="37">
        <v>18</v>
      </c>
      <c r="L17" t="s">
        <v>52</v>
      </c>
      <c r="M17" s="21">
        <v>78200</v>
      </c>
      <c r="N17" s="21">
        <v>994704</v>
      </c>
      <c r="O17" s="21">
        <v>56304</v>
      </c>
      <c r="P17" s="37">
        <v>4</v>
      </c>
      <c r="Q17" t="s">
        <v>126</v>
      </c>
      <c r="R17" s="37">
        <v>16</v>
      </c>
      <c r="S17" s="37">
        <v>5</v>
      </c>
      <c r="T17" t="s">
        <v>43</v>
      </c>
      <c r="U17" t="s">
        <v>63</v>
      </c>
      <c r="V17" t="s">
        <v>69</v>
      </c>
      <c r="W17" t="str">
        <f t="shared" si="0"/>
        <v>51-58</v>
      </c>
      <c r="X17" t="str">
        <f t="shared" si="1"/>
        <v>11-20 yrs</v>
      </c>
      <c r="Y17" t="str">
        <f t="shared" si="2"/>
        <v>Aug</v>
      </c>
      <c r="Z17">
        <f t="shared" si="3"/>
        <v>2025</v>
      </c>
      <c r="AA17">
        <f t="shared" si="4"/>
        <v>1</v>
      </c>
    </row>
    <row r="18" spans="1:27" ht="15" customHeight="1" x14ac:dyDescent="0.3">
      <c r="A18" t="s">
        <v>127</v>
      </c>
      <c r="B18" s="20">
        <v>45800</v>
      </c>
      <c r="C18" t="s">
        <v>128</v>
      </c>
      <c r="D18" t="s">
        <v>35</v>
      </c>
      <c r="E18" s="37">
        <v>25</v>
      </c>
      <c r="F18" t="s">
        <v>97</v>
      </c>
      <c r="G18" t="s">
        <v>98</v>
      </c>
      <c r="H18" t="s">
        <v>38</v>
      </c>
      <c r="I18" t="s">
        <v>82</v>
      </c>
      <c r="J18" t="s">
        <v>40</v>
      </c>
      <c r="K18" s="37">
        <v>22</v>
      </c>
      <c r="L18" t="s">
        <v>52</v>
      </c>
      <c r="M18" s="21">
        <v>49600</v>
      </c>
      <c r="N18" s="21">
        <v>714240</v>
      </c>
      <c r="O18" s="21">
        <v>119040</v>
      </c>
      <c r="P18" s="37">
        <v>4</v>
      </c>
      <c r="Q18" t="s">
        <v>126</v>
      </c>
      <c r="R18" s="37">
        <v>18</v>
      </c>
      <c r="S18" s="37">
        <v>27</v>
      </c>
      <c r="T18" t="s">
        <v>129</v>
      </c>
      <c r="U18" t="s">
        <v>44</v>
      </c>
      <c r="V18" t="s">
        <v>69</v>
      </c>
      <c r="W18" t="str">
        <f t="shared" si="0"/>
        <v>22-30</v>
      </c>
      <c r="X18" t="str">
        <f t="shared" si="1"/>
        <v>21-30 yrs</v>
      </c>
      <c r="Y18" t="str">
        <f t="shared" si="2"/>
        <v>May</v>
      </c>
      <c r="Z18">
        <f t="shared" si="3"/>
        <v>2025</v>
      </c>
      <c r="AA18">
        <f t="shared" si="4"/>
        <v>1</v>
      </c>
    </row>
    <row r="19" spans="1:27" ht="15" customHeight="1" x14ac:dyDescent="0.3">
      <c r="A19" t="s">
        <v>130</v>
      </c>
      <c r="B19" s="20">
        <v>45914</v>
      </c>
      <c r="C19" t="s">
        <v>131</v>
      </c>
      <c r="D19" t="s">
        <v>35</v>
      </c>
      <c r="E19" s="37">
        <v>22</v>
      </c>
      <c r="F19" t="s">
        <v>86</v>
      </c>
      <c r="G19" t="s">
        <v>87</v>
      </c>
      <c r="H19" t="s">
        <v>38</v>
      </c>
      <c r="I19" t="s">
        <v>39</v>
      </c>
      <c r="J19" t="s">
        <v>99</v>
      </c>
      <c r="K19" s="37">
        <v>7</v>
      </c>
      <c r="L19" t="s">
        <v>120</v>
      </c>
      <c r="M19" s="21">
        <v>38600</v>
      </c>
      <c r="N19" s="21">
        <v>523415</v>
      </c>
      <c r="O19" s="21">
        <v>60216</v>
      </c>
      <c r="P19" s="37">
        <v>4</v>
      </c>
      <c r="Q19" t="s">
        <v>42</v>
      </c>
      <c r="R19" s="37">
        <v>2</v>
      </c>
      <c r="S19" s="37">
        <v>11</v>
      </c>
      <c r="T19" t="s">
        <v>129</v>
      </c>
      <c r="U19" t="s">
        <v>44</v>
      </c>
      <c r="V19" t="s">
        <v>45</v>
      </c>
      <c r="W19" t="str">
        <f t="shared" si="0"/>
        <v>22-30</v>
      </c>
      <c r="X19" t="str">
        <f t="shared" si="1"/>
        <v>6-10 yrs</v>
      </c>
      <c r="Y19" t="str">
        <f t="shared" si="2"/>
        <v>Sep</v>
      </c>
      <c r="Z19">
        <f t="shared" si="3"/>
        <v>2025</v>
      </c>
      <c r="AA19">
        <f t="shared" si="4"/>
        <v>0</v>
      </c>
    </row>
    <row r="20" spans="1:27" ht="15" customHeight="1" x14ac:dyDescent="0.3">
      <c r="A20" t="s">
        <v>132</v>
      </c>
      <c r="B20" s="20">
        <v>45742</v>
      </c>
      <c r="C20" t="s">
        <v>133</v>
      </c>
      <c r="D20" t="s">
        <v>35</v>
      </c>
      <c r="E20" s="37">
        <v>51</v>
      </c>
      <c r="F20" t="s">
        <v>123</v>
      </c>
      <c r="G20" t="s">
        <v>124</v>
      </c>
      <c r="H20" t="s">
        <v>38</v>
      </c>
      <c r="I20" t="s">
        <v>39</v>
      </c>
      <c r="J20" t="s">
        <v>134</v>
      </c>
      <c r="K20" s="37">
        <v>15</v>
      </c>
      <c r="L20" t="s">
        <v>52</v>
      </c>
      <c r="M20" s="21">
        <v>34500</v>
      </c>
      <c r="N20" s="21">
        <v>463680</v>
      </c>
      <c r="O20" s="21">
        <v>49680</v>
      </c>
      <c r="P20" s="37">
        <v>4</v>
      </c>
      <c r="Q20" t="s">
        <v>126</v>
      </c>
      <c r="R20" s="37">
        <v>4</v>
      </c>
      <c r="S20" s="37">
        <v>35</v>
      </c>
      <c r="T20" t="s">
        <v>62</v>
      </c>
      <c r="U20" t="s">
        <v>44</v>
      </c>
      <c r="V20" t="s">
        <v>69</v>
      </c>
      <c r="W20" t="str">
        <f t="shared" si="0"/>
        <v>51-58</v>
      </c>
      <c r="X20" t="str">
        <f t="shared" si="1"/>
        <v>11-20 yrs</v>
      </c>
      <c r="Y20" t="str">
        <f t="shared" si="2"/>
        <v>Mar</v>
      </c>
      <c r="Z20">
        <f t="shared" si="3"/>
        <v>2025</v>
      </c>
      <c r="AA20">
        <f t="shared" si="4"/>
        <v>1</v>
      </c>
    </row>
    <row r="21" spans="1:27" ht="15" customHeight="1" x14ac:dyDescent="0.3">
      <c r="A21" t="s">
        <v>135</v>
      </c>
      <c r="B21" s="20">
        <v>45973</v>
      </c>
      <c r="C21" t="s">
        <v>136</v>
      </c>
      <c r="D21" t="s">
        <v>35</v>
      </c>
      <c r="E21" s="37">
        <v>25</v>
      </c>
      <c r="F21" t="s">
        <v>72</v>
      </c>
      <c r="G21" t="s">
        <v>73</v>
      </c>
      <c r="H21" t="s">
        <v>118</v>
      </c>
      <c r="I21" t="s">
        <v>51</v>
      </c>
      <c r="J21" t="s">
        <v>137</v>
      </c>
      <c r="K21" s="37">
        <v>26</v>
      </c>
      <c r="L21" t="s">
        <v>52</v>
      </c>
      <c r="M21" s="21">
        <v>223600</v>
      </c>
      <c r="N21" s="21">
        <v>3058848</v>
      </c>
      <c r="O21" s="21">
        <v>375648</v>
      </c>
      <c r="P21" s="37">
        <v>2</v>
      </c>
      <c r="Q21" t="s">
        <v>42</v>
      </c>
      <c r="R21" s="37">
        <v>10</v>
      </c>
      <c r="S21" s="37">
        <v>36</v>
      </c>
      <c r="T21" t="s">
        <v>105</v>
      </c>
      <c r="U21" t="s">
        <v>138</v>
      </c>
      <c r="V21" t="s">
        <v>45</v>
      </c>
      <c r="W21" t="str">
        <f t="shared" si="0"/>
        <v>22-30</v>
      </c>
      <c r="X21" t="str">
        <f t="shared" si="1"/>
        <v>21-30 yrs</v>
      </c>
      <c r="Y21" t="str">
        <f t="shared" si="2"/>
        <v>Nov</v>
      </c>
      <c r="Z21">
        <f t="shared" si="3"/>
        <v>2025</v>
      </c>
      <c r="AA21">
        <f t="shared" si="4"/>
        <v>0</v>
      </c>
    </row>
    <row r="22" spans="1:27" ht="15" customHeight="1" x14ac:dyDescent="0.3">
      <c r="A22" t="s">
        <v>139</v>
      </c>
      <c r="B22" s="20">
        <v>45904</v>
      </c>
      <c r="C22" t="s">
        <v>140</v>
      </c>
      <c r="D22" t="s">
        <v>35</v>
      </c>
      <c r="E22" s="37">
        <v>23</v>
      </c>
      <c r="F22" t="s">
        <v>80</v>
      </c>
      <c r="G22" t="s">
        <v>81</v>
      </c>
      <c r="H22" t="s">
        <v>59</v>
      </c>
      <c r="I22" t="s">
        <v>82</v>
      </c>
      <c r="J22" t="s">
        <v>141</v>
      </c>
      <c r="K22" s="37">
        <v>7</v>
      </c>
      <c r="L22" t="s">
        <v>52</v>
      </c>
      <c r="M22" s="21">
        <v>56800</v>
      </c>
      <c r="N22" s="21">
        <v>749760</v>
      </c>
      <c r="O22" s="21">
        <v>68160</v>
      </c>
      <c r="P22" s="37">
        <v>3</v>
      </c>
      <c r="Q22" t="s">
        <v>42</v>
      </c>
      <c r="R22" s="37">
        <v>20</v>
      </c>
      <c r="S22" s="37">
        <v>10</v>
      </c>
      <c r="T22" t="s">
        <v>77</v>
      </c>
      <c r="U22" t="s">
        <v>63</v>
      </c>
      <c r="V22" t="s">
        <v>45</v>
      </c>
      <c r="W22" t="str">
        <f t="shared" si="0"/>
        <v>22-30</v>
      </c>
      <c r="X22" t="str">
        <f t="shared" si="1"/>
        <v>6-10 yrs</v>
      </c>
      <c r="Y22" t="str">
        <f t="shared" si="2"/>
        <v>Sep</v>
      </c>
      <c r="Z22">
        <f t="shared" si="3"/>
        <v>2025</v>
      </c>
      <c r="AA22">
        <f t="shared" si="4"/>
        <v>0</v>
      </c>
    </row>
    <row r="23" spans="1:27" ht="15" customHeight="1" x14ac:dyDescent="0.3">
      <c r="A23" t="s">
        <v>142</v>
      </c>
      <c r="B23" s="20">
        <v>45759</v>
      </c>
      <c r="C23" t="s">
        <v>143</v>
      </c>
      <c r="D23" t="s">
        <v>35</v>
      </c>
      <c r="E23" s="37">
        <v>56</v>
      </c>
      <c r="F23" t="s">
        <v>123</v>
      </c>
      <c r="G23" t="s">
        <v>124</v>
      </c>
      <c r="H23" t="s">
        <v>66</v>
      </c>
      <c r="I23" t="s">
        <v>75</v>
      </c>
      <c r="J23" t="s">
        <v>67</v>
      </c>
      <c r="K23" s="37">
        <v>11</v>
      </c>
      <c r="L23" t="s">
        <v>52</v>
      </c>
      <c r="M23" s="21">
        <v>112400</v>
      </c>
      <c r="N23" s="21">
        <v>1564608</v>
      </c>
      <c r="O23" s="21">
        <v>215808</v>
      </c>
      <c r="P23" s="37">
        <v>2</v>
      </c>
      <c r="Q23" t="s">
        <v>42</v>
      </c>
      <c r="R23" s="37">
        <v>19</v>
      </c>
      <c r="S23" s="37">
        <v>24</v>
      </c>
      <c r="T23" t="s">
        <v>43</v>
      </c>
      <c r="U23" t="s">
        <v>44</v>
      </c>
      <c r="V23" t="s">
        <v>69</v>
      </c>
      <c r="W23" t="str">
        <f t="shared" si="0"/>
        <v>51-58</v>
      </c>
      <c r="X23" t="str">
        <f t="shared" si="1"/>
        <v>11-20 yrs</v>
      </c>
      <c r="Y23" t="str">
        <f t="shared" si="2"/>
        <v>Apr</v>
      </c>
      <c r="Z23">
        <f t="shared" si="3"/>
        <v>2025</v>
      </c>
      <c r="AA23">
        <f t="shared" si="4"/>
        <v>0</v>
      </c>
    </row>
    <row r="24" spans="1:27" ht="15" customHeight="1" x14ac:dyDescent="0.3">
      <c r="A24" t="s">
        <v>144</v>
      </c>
      <c r="B24" s="20">
        <v>45787</v>
      </c>
      <c r="C24" t="s">
        <v>145</v>
      </c>
      <c r="D24" t="s">
        <v>48</v>
      </c>
      <c r="E24" s="37">
        <v>30</v>
      </c>
      <c r="F24" t="s">
        <v>57</v>
      </c>
      <c r="G24" t="s">
        <v>58</v>
      </c>
      <c r="H24" t="s">
        <v>118</v>
      </c>
      <c r="I24" t="s">
        <v>75</v>
      </c>
      <c r="J24" t="s">
        <v>137</v>
      </c>
      <c r="K24" s="37">
        <v>18</v>
      </c>
      <c r="L24" t="s">
        <v>52</v>
      </c>
      <c r="M24" s="21">
        <v>71300</v>
      </c>
      <c r="N24" s="21">
        <v>906936</v>
      </c>
      <c r="O24" s="21">
        <v>51336</v>
      </c>
      <c r="P24" s="37">
        <v>4</v>
      </c>
      <c r="Q24" t="s">
        <v>42</v>
      </c>
      <c r="R24" s="37">
        <v>20</v>
      </c>
      <c r="S24" s="37">
        <v>35</v>
      </c>
      <c r="T24" t="s">
        <v>146</v>
      </c>
      <c r="U24" t="s">
        <v>63</v>
      </c>
      <c r="V24" t="s">
        <v>45</v>
      </c>
      <c r="W24" t="str">
        <f t="shared" si="0"/>
        <v>22-30</v>
      </c>
      <c r="X24" t="str">
        <f t="shared" si="1"/>
        <v>11-20 yrs</v>
      </c>
      <c r="Y24" t="str">
        <f t="shared" si="2"/>
        <v>May</v>
      </c>
      <c r="Z24">
        <f t="shared" si="3"/>
        <v>2025</v>
      </c>
      <c r="AA24">
        <f t="shared" si="4"/>
        <v>0</v>
      </c>
    </row>
    <row r="25" spans="1:27" ht="15" customHeight="1" x14ac:dyDescent="0.3">
      <c r="A25" t="s">
        <v>147</v>
      </c>
      <c r="B25" s="20">
        <v>45783</v>
      </c>
      <c r="C25" t="s">
        <v>148</v>
      </c>
      <c r="D25" t="s">
        <v>48</v>
      </c>
      <c r="E25" s="37">
        <v>56</v>
      </c>
      <c r="F25" t="s">
        <v>57</v>
      </c>
      <c r="G25" t="s">
        <v>58</v>
      </c>
      <c r="H25" t="s">
        <v>66</v>
      </c>
      <c r="I25" t="s">
        <v>75</v>
      </c>
      <c r="J25" t="s">
        <v>149</v>
      </c>
      <c r="K25" s="37">
        <v>8</v>
      </c>
      <c r="L25" t="s">
        <v>52</v>
      </c>
      <c r="M25" s="21">
        <v>107200</v>
      </c>
      <c r="N25" s="21">
        <v>1376448</v>
      </c>
      <c r="O25" s="21">
        <v>90048</v>
      </c>
      <c r="P25" s="37">
        <v>2</v>
      </c>
      <c r="Q25" t="s">
        <v>42</v>
      </c>
      <c r="R25" s="37">
        <v>9</v>
      </c>
      <c r="S25" s="37">
        <v>8</v>
      </c>
      <c r="T25" t="s">
        <v>62</v>
      </c>
      <c r="U25" t="s">
        <v>54</v>
      </c>
      <c r="V25" t="s">
        <v>69</v>
      </c>
      <c r="W25" t="str">
        <f t="shared" si="0"/>
        <v>51-58</v>
      </c>
      <c r="X25" t="str">
        <f t="shared" si="1"/>
        <v>6-10 yrs</v>
      </c>
      <c r="Y25" t="str">
        <f t="shared" si="2"/>
        <v>May</v>
      </c>
      <c r="Z25">
        <f t="shared" si="3"/>
        <v>2025</v>
      </c>
      <c r="AA25">
        <f t="shared" si="4"/>
        <v>0</v>
      </c>
    </row>
    <row r="26" spans="1:27" ht="15" customHeight="1" x14ac:dyDescent="0.3">
      <c r="A26" t="s">
        <v>150</v>
      </c>
      <c r="B26" s="20">
        <v>45714</v>
      </c>
      <c r="C26" t="s">
        <v>151</v>
      </c>
      <c r="D26" t="s">
        <v>48</v>
      </c>
      <c r="E26" s="37">
        <v>22</v>
      </c>
      <c r="F26" t="s">
        <v>97</v>
      </c>
      <c r="G26" t="s">
        <v>98</v>
      </c>
      <c r="H26" t="s">
        <v>74</v>
      </c>
      <c r="I26" t="s">
        <v>51</v>
      </c>
      <c r="J26" t="s">
        <v>152</v>
      </c>
      <c r="K26" s="37">
        <v>12</v>
      </c>
      <c r="L26" t="s">
        <v>52</v>
      </c>
      <c r="M26" s="21">
        <v>226900</v>
      </c>
      <c r="N26" s="21">
        <v>2886168</v>
      </c>
      <c r="O26" s="21">
        <v>163368</v>
      </c>
      <c r="P26" s="37">
        <v>4</v>
      </c>
      <c r="Q26" t="s">
        <v>42</v>
      </c>
      <c r="R26" s="37">
        <v>9</v>
      </c>
      <c r="S26" s="37">
        <v>25</v>
      </c>
      <c r="T26" t="s">
        <v>105</v>
      </c>
      <c r="U26" t="s">
        <v>44</v>
      </c>
      <c r="V26" t="s">
        <v>45</v>
      </c>
      <c r="W26" t="str">
        <f t="shared" si="0"/>
        <v>22-30</v>
      </c>
      <c r="X26" t="str">
        <f t="shared" si="1"/>
        <v>11-20 yrs</v>
      </c>
      <c r="Y26" t="str">
        <f t="shared" si="2"/>
        <v>Feb</v>
      </c>
      <c r="Z26">
        <f t="shared" si="3"/>
        <v>2025</v>
      </c>
      <c r="AA26">
        <f t="shared" si="4"/>
        <v>0</v>
      </c>
    </row>
    <row r="27" spans="1:27" ht="15" customHeight="1" x14ac:dyDescent="0.3">
      <c r="A27" t="s">
        <v>153</v>
      </c>
      <c r="B27" s="20">
        <v>45750</v>
      </c>
      <c r="C27" t="s">
        <v>154</v>
      </c>
      <c r="D27" t="s">
        <v>48</v>
      </c>
      <c r="E27" s="37">
        <v>22</v>
      </c>
      <c r="F27" t="s">
        <v>80</v>
      </c>
      <c r="G27" t="s">
        <v>81</v>
      </c>
      <c r="H27" t="s">
        <v>59</v>
      </c>
      <c r="I27" t="s">
        <v>51</v>
      </c>
      <c r="J27" t="s">
        <v>125</v>
      </c>
      <c r="K27" s="37">
        <v>16</v>
      </c>
      <c r="L27" t="s">
        <v>52</v>
      </c>
      <c r="M27" s="21">
        <v>205000</v>
      </c>
      <c r="N27" s="21">
        <v>2755200</v>
      </c>
      <c r="O27" s="21">
        <v>295200</v>
      </c>
      <c r="P27" s="37">
        <v>4</v>
      </c>
      <c r="Q27" t="s">
        <v>42</v>
      </c>
      <c r="R27" s="37">
        <v>12</v>
      </c>
      <c r="S27" s="37">
        <v>20</v>
      </c>
      <c r="T27" t="s">
        <v>43</v>
      </c>
      <c r="U27" t="s">
        <v>54</v>
      </c>
      <c r="V27" t="s">
        <v>45</v>
      </c>
      <c r="W27" t="str">
        <f t="shared" si="0"/>
        <v>22-30</v>
      </c>
      <c r="X27" t="str">
        <f t="shared" si="1"/>
        <v>11-20 yrs</v>
      </c>
      <c r="Y27" t="str">
        <f t="shared" si="2"/>
        <v>Apr</v>
      </c>
      <c r="Z27">
        <f t="shared" si="3"/>
        <v>2025</v>
      </c>
      <c r="AA27">
        <f t="shared" si="4"/>
        <v>0</v>
      </c>
    </row>
    <row r="28" spans="1:27" ht="15" customHeight="1" x14ac:dyDescent="0.3">
      <c r="A28" t="s">
        <v>155</v>
      </c>
      <c r="B28" s="20">
        <v>45693</v>
      </c>
      <c r="C28" t="s">
        <v>156</v>
      </c>
      <c r="D28" t="s">
        <v>48</v>
      </c>
      <c r="E28" s="37">
        <v>35</v>
      </c>
      <c r="F28" t="s">
        <v>108</v>
      </c>
      <c r="G28" t="s">
        <v>109</v>
      </c>
      <c r="H28" t="s">
        <v>59</v>
      </c>
      <c r="I28" t="s">
        <v>82</v>
      </c>
      <c r="J28" t="s">
        <v>104</v>
      </c>
      <c r="K28" s="37">
        <v>10</v>
      </c>
      <c r="L28" t="s">
        <v>52</v>
      </c>
      <c r="M28" s="21">
        <v>62200</v>
      </c>
      <c r="N28" s="21">
        <v>880752</v>
      </c>
      <c r="O28" s="21">
        <v>134352</v>
      </c>
      <c r="P28" s="37">
        <v>4</v>
      </c>
      <c r="Q28" t="s">
        <v>42</v>
      </c>
      <c r="R28" s="37">
        <v>7</v>
      </c>
      <c r="S28" s="37">
        <v>27</v>
      </c>
      <c r="T28" t="s">
        <v>53</v>
      </c>
      <c r="U28" t="s">
        <v>63</v>
      </c>
      <c r="V28" t="s">
        <v>69</v>
      </c>
      <c r="W28" t="str">
        <f t="shared" si="0"/>
        <v>31-40</v>
      </c>
      <c r="X28" t="str">
        <f t="shared" si="1"/>
        <v>6-10 yrs</v>
      </c>
      <c r="Y28" t="str">
        <f t="shared" si="2"/>
        <v>Feb</v>
      </c>
      <c r="Z28">
        <f t="shared" si="3"/>
        <v>2025</v>
      </c>
      <c r="AA28">
        <f t="shared" si="4"/>
        <v>0</v>
      </c>
    </row>
    <row r="29" spans="1:27" ht="15" customHeight="1" x14ac:dyDescent="0.3">
      <c r="A29" t="s">
        <v>157</v>
      </c>
      <c r="B29" s="20">
        <v>45800</v>
      </c>
      <c r="C29" t="s">
        <v>158</v>
      </c>
      <c r="D29" t="s">
        <v>48</v>
      </c>
      <c r="E29" s="37">
        <v>54</v>
      </c>
      <c r="F29" t="s">
        <v>36</v>
      </c>
      <c r="G29" t="s">
        <v>37</v>
      </c>
      <c r="H29" t="s">
        <v>74</v>
      </c>
      <c r="I29" t="s">
        <v>75</v>
      </c>
      <c r="J29" t="s">
        <v>76</v>
      </c>
      <c r="K29" s="37">
        <v>12</v>
      </c>
      <c r="L29" t="s">
        <v>41</v>
      </c>
      <c r="M29" s="21">
        <v>108200</v>
      </c>
      <c r="N29" s="21">
        <v>1545096</v>
      </c>
      <c r="O29" s="21">
        <v>246696</v>
      </c>
      <c r="P29" s="37">
        <v>4</v>
      </c>
      <c r="Q29" t="s">
        <v>42</v>
      </c>
      <c r="R29" s="37">
        <v>1</v>
      </c>
      <c r="S29" s="37">
        <v>9</v>
      </c>
      <c r="T29" t="s">
        <v>77</v>
      </c>
      <c r="U29" t="s">
        <v>54</v>
      </c>
      <c r="V29" t="s">
        <v>45</v>
      </c>
      <c r="W29" t="str">
        <f t="shared" si="0"/>
        <v>51-58</v>
      </c>
      <c r="X29" t="str">
        <f t="shared" si="1"/>
        <v>11-20 yrs</v>
      </c>
      <c r="Y29" t="str">
        <f t="shared" si="2"/>
        <v>May</v>
      </c>
      <c r="Z29">
        <f t="shared" si="3"/>
        <v>2025</v>
      </c>
      <c r="AA29">
        <f t="shared" si="4"/>
        <v>0</v>
      </c>
    </row>
    <row r="30" spans="1:27" ht="15" customHeight="1" x14ac:dyDescent="0.3">
      <c r="A30" t="s">
        <v>159</v>
      </c>
      <c r="B30" s="20">
        <v>45737</v>
      </c>
      <c r="C30" t="s">
        <v>160</v>
      </c>
      <c r="D30" t="s">
        <v>35</v>
      </c>
      <c r="E30" s="37">
        <v>53</v>
      </c>
      <c r="F30" t="s">
        <v>108</v>
      </c>
      <c r="G30" t="s">
        <v>109</v>
      </c>
      <c r="H30" t="s">
        <v>66</v>
      </c>
      <c r="I30" t="s">
        <v>75</v>
      </c>
      <c r="J30" t="s">
        <v>161</v>
      </c>
      <c r="K30" s="37">
        <v>21</v>
      </c>
      <c r="L30" t="s">
        <v>41</v>
      </c>
      <c r="M30" s="21">
        <v>105300</v>
      </c>
      <c r="N30" s="21">
        <v>1339416</v>
      </c>
      <c r="O30" s="21">
        <v>75816</v>
      </c>
      <c r="P30" s="37">
        <v>2</v>
      </c>
      <c r="Q30" t="s">
        <v>126</v>
      </c>
      <c r="R30" s="37">
        <v>20</v>
      </c>
      <c r="S30" s="37">
        <v>5</v>
      </c>
      <c r="T30" t="s">
        <v>68</v>
      </c>
      <c r="U30" t="s">
        <v>63</v>
      </c>
      <c r="V30" t="s">
        <v>45</v>
      </c>
      <c r="W30" t="str">
        <f t="shared" si="0"/>
        <v>51-58</v>
      </c>
      <c r="X30" t="str">
        <f t="shared" si="1"/>
        <v>21-30 yrs</v>
      </c>
      <c r="Y30" t="str">
        <f t="shared" si="2"/>
        <v>Mar</v>
      </c>
      <c r="Z30">
        <f t="shared" si="3"/>
        <v>2025</v>
      </c>
      <c r="AA30">
        <f t="shared" si="4"/>
        <v>1</v>
      </c>
    </row>
    <row r="31" spans="1:27" ht="15" customHeight="1" x14ac:dyDescent="0.3">
      <c r="A31" t="s">
        <v>162</v>
      </c>
      <c r="B31" s="20">
        <v>45743</v>
      </c>
      <c r="C31" t="s">
        <v>163</v>
      </c>
      <c r="D31" t="s">
        <v>48</v>
      </c>
      <c r="E31" s="37">
        <v>31</v>
      </c>
      <c r="F31" t="s">
        <v>80</v>
      </c>
      <c r="G31" t="s">
        <v>81</v>
      </c>
      <c r="H31" t="s">
        <v>38</v>
      </c>
      <c r="I31" t="s">
        <v>82</v>
      </c>
      <c r="J31" t="s">
        <v>99</v>
      </c>
      <c r="K31" s="37">
        <v>18</v>
      </c>
      <c r="L31" t="s">
        <v>52</v>
      </c>
      <c r="M31" s="21">
        <v>51300</v>
      </c>
      <c r="N31" s="21">
        <v>726408</v>
      </c>
      <c r="O31" s="21">
        <v>110808</v>
      </c>
      <c r="P31" s="37">
        <v>4</v>
      </c>
      <c r="Q31" t="s">
        <v>126</v>
      </c>
      <c r="R31" s="37">
        <v>7</v>
      </c>
      <c r="S31" s="37">
        <v>38</v>
      </c>
      <c r="T31" t="s">
        <v>129</v>
      </c>
      <c r="U31" t="s">
        <v>63</v>
      </c>
      <c r="V31" t="s">
        <v>69</v>
      </c>
      <c r="W31" t="str">
        <f t="shared" si="0"/>
        <v>31-40</v>
      </c>
      <c r="X31" t="str">
        <f t="shared" si="1"/>
        <v>11-20 yrs</v>
      </c>
      <c r="Y31" t="str">
        <f t="shared" si="2"/>
        <v>Mar</v>
      </c>
      <c r="Z31">
        <f t="shared" si="3"/>
        <v>2025</v>
      </c>
      <c r="AA31">
        <f t="shared" si="4"/>
        <v>1</v>
      </c>
    </row>
    <row r="32" spans="1:27" ht="15" customHeight="1" x14ac:dyDescent="0.3">
      <c r="A32" t="s">
        <v>164</v>
      </c>
      <c r="B32" s="20">
        <v>45708</v>
      </c>
      <c r="C32" t="s">
        <v>165</v>
      </c>
      <c r="D32" t="s">
        <v>35</v>
      </c>
      <c r="E32" s="37">
        <v>26</v>
      </c>
      <c r="F32" t="s">
        <v>91</v>
      </c>
      <c r="G32" t="s">
        <v>92</v>
      </c>
      <c r="H32" t="s">
        <v>59</v>
      </c>
      <c r="I32" t="s">
        <v>82</v>
      </c>
      <c r="J32" t="s">
        <v>88</v>
      </c>
      <c r="K32" s="37">
        <v>20</v>
      </c>
      <c r="L32" t="s">
        <v>52</v>
      </c>
      <c r="M32" s="21">
        <v>59300</v>
      </c>
      <c r="N32" s="21">
        <v>846804</v>
      </c>
      <c r="O32" s="21">
        <v>135204</v>
      </c>
      <c r="P32" s="37">
        <v>4</v>
      </c>
      <c r="Q32" t="s">
        <v>42</v>
      </c>
      <c r="R32" s="37">
        <v>17</v>
      </c>
      <c r="S32" s="37">
        <v>33</v>
      </c>
      <c r="T32" t="s">
        <v>62</v>
      </c>
      <c r="U32" t="s">
        <v>44</v>
      </c>
      <c r="V32" t="s">
        <v>69</v>
      </c>
      <c r="W32" t="str">
        <f t="shared" si="0"/>
        <v>22-30</v>
      </c>
      <c r="X32" t="str">
        <f t="shared" si="1"/>
        <v>11-20 yrs</v>
      </c>
      <c r="Y32" t="str">
        <f t="shared" si="2"/>
        <v>Feb</v>
      </c>
      <c r="Z32">
        <f t="shared" si="3"/>
        <v>2025</v>
      </c>
      <c r="AA32">
        <f t="shared" si="4"/>
        <v>0</v>
      </c>
    </row>
    <row r="33" spans="1:27" ht="15" customHeight="1" x14ac:dyDescent="0.3">
      <c r="A33" t="s">
        <v>166</v>
      </c>
      <c r="B33" s="20">
        <v>45983</v>
      </c>
      <c r="C33" t="s">
        <v>167</v>
      </c>
      <c r="D33" t="s">
        <v>35</v>
      </c>
      <c r="E33" s="37">
        <v>51</v>
      </c>
      <c r="F33" t="s">
        <v>57</v>
      </c>
      <c r="G33" t="s">
        <v>58</v>
      </c>
      <c r="H33" t="s">
        <v>66</v>
      </c>
      <c r="I33" t="s">
        <v>75</v>
      </c>
      <c r="J33" t="s">
        <v>67</v>
      </c>
      <c r="K33" s="37">
        <v>3</v>
      </c>
      <c r="L33" t="s">
        <v>52</v>
      </c>
      <c r="M33" s="21">
        <v>116000</v>
      </c>
      <c r="N33" s="21">
        <v>1628640</v>
      </c>
      <c r="O33" s="21">
        <v>236640</v>
      </c>
      <c r="P33" s="37">
        <v>2</v>
      </c>
      <c r="Q33" t="s">
        <v>126</v>
      </c>
      <c r="R33" s="37">
        <v>5</v>
      </c>
      <c r="S33" s="37">
        <v>1</v>
      </c>
      <c r="T33" t="s">
        <v>105</v>
      </c>
      <c r="U33" t="s">
        <v>63</v>
      </c>
      <c r="V33" t="s">
        <v>69</v>
      </c>
      <c r="W33" t="str">
        <f t="shared" si="0"/>
        <v>51-58</v>
      </c>
      <c r="X33" t="str">
        <f t="shared" si="1"/>
        <v>0-5 yrs</v>
      </c>
      <c r="Y33" t="str">
        <f t="shared" si="2"/>
        <v>Nov</v>
      </c>
      <c r="Z33">
        <f t="shared" si="3"/>
        <v>2025</v>
      </c>
      <c r="AA33">
        <f t="shared" si="4"/>
        <v>1</v>
      </c>
    </row>
    <row r="34" spans="1:27" ht="15" customHeight="1" x14ac:dyDescent="0.3">
      <c r="A34" t="s">
        <v>168</v>
      </c>
      <c r="B34" s="20">
        <v>46017</v>
      </c>
      <c r="C34" t="s">
        <v>169</v>
      </c>
      <c r="D34" t="s">
        <v>48</v>
      </c>
      <c r="E34" s="37">
        <v>25</v>
      </c>
      <c r="F34" t="s">
        <v>72</v>
      </c>
      <c r="G34" t="s">
        <v>73</v>
      </c>
      <c r="H34" t="s">
        <v>66</v>
      </c>
      <c r="I34" t="s">
        <v>60</v>
      </c>
      <c r="J34" t="s">
        <v>170</v>
      </c>
      <c r="K34" s="37">
        <v>28</v>
      </c>
      <c r="L34" t="s">
        <v>120</v>
      </c>
      <c r="M34" s="21">
        <v>163000</v>
      </c>
      <c r="N34" s="21">
        <v>2112480</v>
      </c>
      <c r="O34" s="21">
        <v>156480</v>
      </c>
      <c r="P34" s="37">
        <v>4</v>
      </c>
      <c r="Q34" t="s">
        <v>42</v>
      </c>
      <c r="R34" s="37">
        <v>9</v>
      </c>
      <c r="S34" s="37">
        <v>21</v>
      </c>
      <c r="T34" t="s">
        <v>146</v>
      </c>
      <c r="U34" t="s">
        <v>63</v>
      </c>
      <c r="V34" t="s">
        <v>45</v>
      </c>
      <c r="W34" t="str">
        <f t="shared" si="0"/>
        <v>22-30</v>
      </c>
      <c r="X34" t="str">
        <f t="shared" si="1"/>
        <v>21-30 yrs</v>
      </c>
      <c r="Y34" t="str">
        <f t="shared" si="2"/>
        <v>Dec</v>
      </c>
      <c r="Z34">
        <f t="shared" si="3"/>
        <v>2025</v>
      </c>
      <c r="AA34">
        <f t="shared" si="4"/>
        <v>0</v>
      </c>
    </row>
    <row r="35" spans="1:27" ht="15" customHeight="1" x14ac:dyDescent="0.3">
      <c r="A35" t="s">
        <v>171</v>
      </c>
      <c r="B35" s="20">
        <v>45852</v>
      </c>
      <c r="C35" t="s">
        <v>172</v>
      </c>
      <c r="D35" t="s">
        <v>48</v>
      </c>
      <c r="E35" s="37">
        <v>47</v>
      </c>
      <c r="F35" t="s">
        <v>91</v>
      </c>
      <c r="G35" t="s">
        <v>92</v>
      </c>
      <c r="H35" t="s">
        <v>38</v>
      </c>
      <c r="I35" t="s">
        <v>82</v>
      </c>
      <c r="J35" t="s">
        <v>40</v>
      </c>
      <c r="K35" s="37">
        <v>30</v>
      </c>
      <c r="L35" t="s">
        <v>52</v>
      </c>
      <c r="M35" s="21">
        <v>46800</v>
      </c>
      <c r="N35" s="21">
        <v>662688</v>
      </c>
      <c r="O35" s="21">
        <v>101088</v>
      </c>
      <c r="P35" s="37">
        <v>2</v>
      </c>
      <c r="Q35" t="s">
        <v>42</v>
      </c>
      <c r="R35" s="37">
        <v>19</v>
      </c>
      <c r="S35" s="37">
        <v>14</v>
      </c>
      <c r="T35" t="s">
        <v>77</v>
      </c>
      <c r="U35" t="s">
        <v>63</v>
      </c>
      <c r="V35" t="s">
        <v>45</v>
      </c>
      <c r="W35" t="str">
        <f t="shared" si="0"/>
        <v>41-50</v>
      </c>
      <c r="X35" t="str">
        <f t="shared" si="1"/>
        <v>21-30 yrs</v>
      </c>
      <c r="Y35" t="str">
        <f t="shared" si="2"/>
        <v>Jul</v>
      </c>
      <c r="Z35">
        <f t="shared" si="3"/>
        <v>2025</v>
      </c>
      <c r="AA35">
        <f t="shared" si="4"/>
        <v>0</v>
      </c>
    </row>
    <row r="36" spans="1:27" ht="15" customHeight="1" x14ac:dyDescent="0.3">
      <c r="A36" t="s">
        <v>173</v>
      </c>
      <c r="B36" s="20">
        <v>46016</v>
      </c>
      <c r="C36" t="s">
        <v>174</v>
      </c>
      <c r="D36" t="s">
        <v>35</v>
      </c>
      <c r="E36" s="37">
        <v>28</v>
      </c>
      <c r="F36" t="s">
        <v>80</v>
      </c>
      <c r="G36" t="s">
        <v>81</v>
      </c>
      <c r="H36" t="s">
        <v>118</v>
      </c>
      <c r="I36" t="s">
        <v>82</v>
      </c>
      <c r="J36" t="s">
        <v>137</v>
      </c>
      <c r="K36" s="37">
        <v>12</v>
      </c>
      <c r="L36" t="s">
        <v>41</v>
      </c>
      <c r="M36" s="21">
        <v>51800</v>
      </c>
      <c r="N36" s="21">
        <v>689976</v>
      </c>
      <c r="O36" s="21">
        <v>68376</v>
      </c>
      <c r="P36" s="37">
        <v>2</v>
      </c>
      <c r="Q36" t="s">
        <v>42</v>
      </c>
      <c r="R36" s="37">
        <v>9</v>
      </c>
      <c r="S36" s="37">
        <v>38</v>
      </c>
      <c r="T36" t="s">
        <v>175</v>
      </c>
      <c r="U36" t="s">
        <v>138</v>
      </c>
      <c r="V36" t="s">
        <v>69</v>
      </c>
      <c r="W36" t="str">
        <f t="shared" si="0"/>
        <v>22-30</v>
      </c>
      <c r="X36" t="str">
        <f t="shared" si="1"/>
        <v>11-20 yrs</v>
      </c>
      <c r="Y36" t="str">
        <f t="shared" si="2"/>
        <v>Dec</v>
      </c>
      <c r="Z36">
        <f t="shared" si="3"/>
        <v>2025</v>
      </c>
      <c r="AA36">
        <f t="shared" si="4"/>
        <v>0</v>
      </c>
    </row>
    <row r="37" spans="1:27" ht="15" customHeight="1" x14ac:dyDescent="0.3">
      <c r="A37" t="s">
        <v>176</v>
      </c>
      <c r="B37" s="20">
        <v>45896</v>
      </c>
      <c r="C37" t="s">
        <v>177</v>
      </c>
      <c r="D37" t="s">
        <v>48</v>
      </c>
      <c r="E37" s="37">
        <v>31</v>
      </c>
      <c r="F37" t="s">
        <v>80</v>
      </c>
      <c r="G37" t="s">
        <v>81</v>
      </c>
      <c r="H37" t="s">
        <v>59</v>
      </c>
      <c r="I37" t="s">
        <v>82</v>
      </c>
      <c r="J37" t="s">
        <v>125</v>
      </c>
      <c r="K37" s="37">
        <v>14</v>
      </c>
      <c r="L37" t="s">
        <v>52</v>
      </c>
      <c r="M37" s="21">
        <v>54200</v>
      </c>
      <c r="N37" s="21">
        <v>741456</v>
      </c>
      <c r="O37" s="21">
        <v>91056</v>
      </c>
      <c r="P37" s="37">
        <v>4</v>
      </c>
      <c r="Q37" t="s">
        <v>42</v>
      </c>
      <c r="R37" s="37">
        <v>4</v>
      </c>
      <c r="S37" s="37">
        <v>5</v>
      </c>
      <c r="T37" t="s">
        <v>53</v>
      </c>
      <c r="U37" t="s">
        <v>63</v>
      </c>
      <c r="V37" t="s">
        <v>45</v>
      </c>
      <c r="W37" t="str">
        <f t="shared" si="0"/>
        <v>31-40</v>
      </c>
      <c r="X37" t="str">
        <f t="shared" si="1"/>
        <v>11-20 yrs</v>
      </c>
      <c r="Y37" t="str">
        <f t="shared" si="2"/>
        <v>Aug</v>
      </c>
      <c r="Z37">
        <f t="shared" si="3"/>
        <v>2025</v>
      </c>
      <c r="AA37">
        <f t="shared" si="4"/>
        <v>0</v>
      </c>
    </row>
    <row r="38" spans="1:27" ht="15" customHeight="1" x14ac:dyDescent="0.3">
      <c r="A38" t="s">
        <v>178</v>
      </c>
      <c r="B38" s="20">
        <v>45810</v>
      </c>
      <c r="C38" t="s">
        <v>179</v>
      </c>
      <c r="D38" t="s">
        <v>48</v>
      </c>
      <c r="E38" s="37">
        <v>43</v>
      </c>
      <c r="F38" t="s">
        <v>36</v>
      </c>
      <c r="G38" t="s">
        <v>37</v>
      </c>
      <c r="H38" t="s">
        <v>38</v>
      </c>
      <c r="I38" t="s">
        <v>39</v>
      </c>
      <c r="J38" t="s">
        <v>110</v>
      </c>
      <c r="K38" s="37">
        <v>29</v>
      </c>
      <c r="L38" t="s">
        <v>52</v>
      </c>
      <c r="M38" s="21">
        <v>33700</v>
      </c>
      <c r="N38" s="21">
        <v>436752</v>
      </c>
      <c r="O38" s="21">
        <v>32352</v>
      </c>
      <c r="P38" s="37">
        <v>5</v>
      </c>
      <c r="Q38" t="s">
        <v>126</v>
      </c>
      <c r="R38" s="37">
        <v>18</v>
      </c>
      <c r="S38" s="37">
        <v>30</v>
      </c>
      <c r="T38" t="s">
        <v>77</v>
      </c>
      <c r="U38" t="s">
        <v>63</v>
      </c>
      <c r="V38" t="s">
        <v>45</v>
      </c>
      <c r="W38" t="str">
        <f t="shared" si="0"/>
        <v>41-50</v>
      </c>
      <c r="X38" t="str">
        <f t="shared" si="1"/>
        <v>21-30 yrs</v>
      </c>
      <c r="Y38" t="str">
        <f t="shared" si="2"/>
        <v>Jun</v>
      </c>
      <c r="Z38">
        <f t="shared" si="3"/>
        <v>2025</v>
      </c>
      <c r="AA38">
        <f t="shared" si="4"/>
        <v>1</v>
      </c>
    </row>
    <row r="39" spans="1:27" ht="15" customHeight="1" x14ac:dyDescent="0.3">
      <c r="A39" t="s">
        <v>180</v>
      </c>
      <c r="B39" s="20">
        <v>45764</v>
      </c>
      <c r="C39" t="s">
        <v>181</v>
      </c>
      <c r="D39" t="s">
        <v>48</v>
      </c>
      <c r="E39" s="37">
        <v>36</v>
      </c>
      <c r="F39" t="s">
        <v>97</v>
      </c>
      <c r="G39" t="s">
        <v>98</v>
      </c>
      <c r="H39" t="s">
        <v>118</v>
      </c>
      <c r="I39" t="s">
        <v>82</v>
      </c>
      <c r="J39" t="s">
        <v>182</v>
      </c>
      <c r="K39" s="37">
        <v>29</v>
      </c>
      <c r="L39" t="s">
        <v>120</v>
      </c>
      <c r="M39" s="21">
        <v>56000</v>
      </c>
      <c r="N39" s="21">
        <v>766080</v>
      </c>
      <c r="O39" s="21">
        <v>94080</v>
      </c>
      <c r="P39" s="37">
        <v>3</v>
      </c>
      <c r="Q39" t="s">
        <v>42</v>
      </c>
      <c r="R39" s="37">
        <v>5</v>
      </c>
      <c r="S39" s="37">
        <v>25</v>
      </c>
      <c r="T39" t="s">
        <v>43</v>
      </c>
      <c r="U39" t="s">
        <v>63</v>
      </c>
      <c r="V39" t="s">
        <v>69</v>
      </c>
      <c r="W39" t="str">
        <f t="shared" si="0"/>
        <v>31-40</v>
      </c>
      <c r="X39" t="str">
        <f t="shared" si="1"/>
        <v>21-30 yrs</v>
      </c>
      <c r="Y39" t="str">
        <f t="shared" si="2"/>
        <v>Apr</v>
      </c>
      <c r="Z39">
        <f t="shared" si="3"/>
        <v>2025</v>
      </c>
      <c r="AA39">
        <f t="shared" si="4"/>
        <v>0</v>
      </c>
    </row>
    <row r="40" spans="1:27" ht="15" customHeight="1" x14ac:dyDescent="0.3">
      <c r="A40" t="s">
        <v>183</v>
      </c>
      <c r="B40" s="20">
        <v>45875</v>
      </c>
      <c r="C40" t="s">
        <v>184</v>
      </c>
      <c r="D40" t="s">
        <v>35</v>
      </c>
      <c r="E40" s="37">
        <v>58</v>
      </c>
      <c r="F40" t="s">
        <v>123</v>
      </c>
      <c r="G40" t="s">
        <v>124</v>
      </c>
      <c r="H40" t="s">
        <v>66</v>
      </c>
      <c r="I40" t="s">
        <v>82</v>
      </c>
      <c r="J40" t="s">
        <v>93</v>
      </c>
      <c r="K40" s="37">
        <v>23</v>
      </c>
      <c r="L40" t="s">
        <v>52</v>
      </c>
      <c r="M40" s="21">
        <v>55300</v>
      </c>
      <c r="N40" s="21">
        <v>796320</v>
      </c>
      <c r="O40" s="21">
        <v>132720</v>
      </c>
      <c r="P40" s="37">
        <v>3</v>
      </c>
      <c r="Q40" t="s">
        <v>42</v>
      </c>
      <c r="R40" s="37">
        <v>0</v>
      </c>
      <c r="S40" s="37">
        <v>36</v>
      </c>
      <c r="T40" t="s">
        <v>175</v>
      </c>
      <c r="U40" t="s">
        <v>63</v>
      </c>
      <c r="V40" t="s">
        <v>45</v>
      </c>
      <c r="W40" t="str">
        <f t="shared" si="0"/>
        <v>51-58</v>
      </c>
      <c r="X40" t="str">
        <f t="shared" si="1"/>
        <v>21-30 yrs</v>
      </c>
      <c r="Y40" t="str">
        <f t="shared" si="2"/>
        <v>Aug</v>
      </c>
      <c r="Z40">
        <f t="shared" si="3"/>
        <v>2025</v>
      </c>
      <c r="AA40">
        <f t="shared" si="4"/>
        <v>0</v>
      </c>
    </row>
    <row r="41" spans="1:27" ht="15" customHeight="1" x14ac:dyDescent="0.3">
      <c r="A41" t="s">
        <v>185</v>
      </c>
      <c r="B41" s="20">
        <v>45975</v>
      </c>
      <c r="C41" t="s">
        <v>186</v>
      </c>
      <c r="D41" t="s">
        <v>35</v>
      </c>
      <c r="E41" s="37">
        <v>35</v>
      </c>
      <c r="F41" t="s">
        <v>36</v>
      </c>
      <c r="G41" t="s">
        <v>37</v>
      </c>
      <c r="H41" t="s">
        <v>74</v>
      </c>
      <c r="I41" t="s">
        <v>60</v>
      </c>
      <c r="J41" t="s">
        <v>115</v>
      </c>
      <c r="K41" s="37">
        <v>2</v>
      </c>
      <c r="L41" t="s">
        <v>52</v>
      </c>
      <c r="M41" s="21">
        <v>160900</v>
      </c>
      <c r="N41" s="21">
        <v>2201112</v>
      </c>
      <c r="O41" s="21">
        <v>270312</v>
      </c>
      <c r="P41" s="37">
        <v>5</v>
      </c>
      <c r="Q41" t="s">
        <v>126</v>
      </c>
      <c r="R41" s="37">
        <v>8</v>
      </c>
      <c r="S41" s="37">
        <v>36</v>
      </c>
      <c r="T41" t="s">
        <v>105</v>
      </c>
      <c r="U41" t="s">
        <v>44</v>
      </c>
      <c r="V41" t="s">
        <v>45</v>
      </c>
      <c r="W41" t="str">
        <f t="shared" si="0"/>
        <v>31-40</v>
      </c>
      <c r="X41" t="str">
        <f t="shared" si="1"/>
        <v>0-5 yrs</v>
      </c>
      <c r="Y41" t="str">
        <f t="shared" si="2"/>
        <v>Nov</v>
      </c>
      <c r="Z41">
        <f t="shared" si="3"/>
        <v>2025</v>
      </c>
      <c r="AA41">
        <f t="shared" si="4"/>
        <v>1</v>
      </c>
    </row>
    <row r="42" spans="1:27" ht="15" customHeight="1" x14ac:dyDescent="0.3">
      <c r="A42" t="s">
        <v>187</v>
      </c>
      <c r="B42" s="20">
        <v>45722</v>
      </c>
      <c r="C42" t="s">
        <v>188</v>
      </c>
      <c r="D42" t="s">
        <v>35</v>
      </c>
      <c r="E42" s="37">
        <v>46</v>
      </c>
      <c r="F42" t="s">
        <v>86</v>
      </c>
      <c r="G42" t="s">
        <v>87</v>
      </c>
      <c r="H42" t="s">
        <v>74</v>
      </c>
      <c r="I42" t="s">
        <v>82</v>
      </c>
      <c r="J42" t="s">
        <v>83</v>
      </c>
      <c r="K42" s="37">
        <v>28</v>
      </c>
      <c r="L42" t="s">
        <v>52</v>
      </c>
      <c r="M42" s="21">
        <v>68200</v>
      </c>
      <c r="N42" s="21">
        <v>924791</v>
      </c>
      <c r="O42" s="21">
        <v>106392</v>
      </c>
      <c r="P42" s="37">
        <v>3</v>
      </c>
      <c r="Q42" t="s">
        <v>42</v>
      </c>
      <c r="R42" s="37">
        <v>1</v>
      </c>
      <c r="S42" s="37">
        <v>13</v>
      </c>
      <c r="T42" t="s">
        <v>146</v>
      </c>
      <c r="U42" t="s">
        <v>54</v>
      </c>
      <c r="V42" t="s">
        <v>45</v>
      </c>
      <c r="W42" t="str">
        <f t="shared" si="0"/>
        <v>41-50</v>
      </c>
      <c r="X42" t="str">
        <f t="shared" si="1"/>
        <v>21-30 yrs</v>
      </c>
      <c r="Y42" t="str">
        <f t="shared" si="2"/>
        <v>Mar</v>
      </c>
      <c r="Z42">
        <f t="shared" si="3"/>
        <v>2025</v>
      </c>
      <c r="AA42">
        <f t="shared" si="4"/>
        <v>0</v>
      </c>
    </row>
    <row r="43" spans="1:27" ht="15" customHeight="1" x14ac:dyDescent="0.3">
      <c r="A43" t="s">
        <v>189</v>
      </c>
      <c r="B43" s="20">
        <v>45698</v>
      </c>
      <c r="C43" t="s">
        <v>85</v>
      </c>
      <c r="D43" t="s">
        <v>48</v>
      </c>
      <c r="E43" s="37">
        <v>29</v>
      </c>
      <c r="F43" t="s">
        <v>49</v>
      </c>
      <c r="G43" t="s">
        <v>50</v>
      </c>
      <c r="H43" t="s">
        <v>38</v>
      </c>
      <c r="I43" t="s">
        <v>75</v>
      </c>
      <c r="J43" t="s">
        <v>190</v>
      </c>
      <c r="K43" s="37">
        <v>0</v>
      </c>
      <c r="L43" t="s">
        <v>52</v>
      </c>
      <c r="M43" s="21">
        <v>102600</v>
      </c>
      <c r="N43" s="21">
        <v>1440504</v>
      </c>
      <c r="O43" s="21">
        <v>209304</v>
      </c>
      <c r="P43" s="37">
        <v>3</v>
      </c>
      <c r="Q43" t="s">
        <v>42</v>
      </c>
      <c r="R43" s="37">
        <v>4</v>
      </c>
      <c r="S43" s="37">
        <v>26</v>
      </c>
      <c r="T43" t="s">
        <v>94</v>
      </c>
      <c r="U43" t="s">
        <v>44</v>
      </c>
      <c r="V43" t="s">
        <v>69</v>
      </c>
      <c r="W43" t="str">
        <f t="shared" si="0"/>
        <v>22-30</v>
      </c>
      <c r="X43" t="str">
        <f t="shared" si="1"/>
        <v>0-5 yrs</v>
      </c>
      <c r="Y43" t="str">
        <f t="shared" si="2"/>
        <v>Feb</v>
      </c>
      <c r="Z43">
        <f t="shared" si="3"/>
        <v>2025</v>
      </c>
      <c r="AA43">
        <f t="shared" si="4"/>
        <v>0</v>
      </c>
    </row>
    <row r="44" spans="1:27" ht="15" customHeight="1" x14ac:dyDescent="0.3">
      <c r="A44" t="s">
        <v>191</v>
      </c>
      <c r="B44" s="20">
        <v>45758</v>
      </c>
      <c r="C44" t="s">
        <v>192</v>
      </c>
      <c r="D44" t="s">
        <v>35</v>
      </c>
      <c r="E44" s="37">
        <v>34</v>
      </c>
      <c r="F44" t="s">
        <v>123</v>
      </c>
      <c r="G44" t="s">
        <v>124</v>
      </c>
      <c r="H44" t="s">
        <v>66</v>
      </c>
      <c r="I44" t="s">
        <v>75</v>
      </c>
      <c r="J44" t="s">
        <v>67</v>
      </c>
      <c r="K44" s="37">
        <v>7</v>
      </c>
      <c r="L44" t="s">
        <v>52</v>
      </c>
      <c r="M44" s="21">
        <v>92000</v>
      </c>
      <c r="N44" s="21">
        <v>1280640</v>
      </c>
      <c r="O44" s="21">
        <v>176640</v>
      </c>
      <c r="P44" s="37">
        <v>4</v>
      </c>
      <c r="Q44" t="s">
        <v>42</v>
      </c>
      <c r="R44" s="37">
        <v>18</v>
      </c>
      <c r="S44" s="37">
        <v>35</v>
      </c>
      <c r="T44" t="s">
        <v>53</v>
      </c>
      <c r="U44" t="s">
        <v>63</v>
      </c>
      <c r="V44" t="s">
        <v>45</v>
      </c>
      <c r="W44" t="str">
        <f t="shared" si="0"/>
        <v>31-40</v>
      </c>
      <c r="X44" t="str">
        <f t="shared" si="1"/>
        <v>6-10 yrs</v>
      </c>
      <c r="Y44" t="str">
        <f t="shared" si="2"/>
        <v>Apr</v>
      </c>
      <c r="Z44">
        <f t="shared" si="3"/>
        <v>2025</v>
      </c>
      <c r="AA44">
        <f t="shared" si="4"/>
        <v>0</v>
      </c>
    </row>
    <row r="45" spans="1:27" ht="15" customHeight="1" x14ac:dyDescent="0.3">
      <c r="A45" t="s">
        <v>193</v>
      </c>
      <c r="B45" s="20">
        <v>45785</v>
      </c>
      <c r="C45" t="s">
        <v>194</v>
      </c>
      <c r="D45" t="s">
        <v>48</v>
      </c>
      <c r="E45" s="37">
        <v>27</v>
      </c>
      <c r="F45" t="s">
        <v>72</v>
      </c>
      <c r="G45" t="s">
        <v>73</v>
      </c>
      <c r="H45" t="s">
        <v>66</v>
      </c>
      <c r="I45" t="s">
        <v>39</v>
      </c>
      <c r="J45" t="s">
        <v>170</v>
      </c>
      <c r="K45" s="37">
        <v>11</v>
      </c>
      <c r="L45" t="s">
        <v>41</v>
      </c>
      <c r="M45" s="21">
        <v>36400</v>
      </c>
      <c r="N45" s="21">
        <v>467376</v>
      </c>
      <c r="O45" s="21">
        <v>30576</v>
      </c>
      <c r="P45" s="37">
        <v>3</v>
      </c>
      <c r="Q45" t="s">
        <v>42</v>
      </c>
      <c r="R45" s="37">
        <v>10</v>
      </c>
      <c r="S45" s="37">
        <v>11</v>
      </c>
      <c r="T45" t="s">
        <v>53</v>
      </c>
      <c r="U45" t="s">
        <v>54</v>
      </c>
      <c r="V45" t="s">
        <v>45</v>
      </c>
      <c r="W45" t="str">
        <f t="shared" si="0"/>
        <v>22-30</v>
      </c>
      <c r="X45" t="str">
        <f t="shared" si="1"/>
        <v>11-20 yrs</v>
      </c>
      <c r="Y45" t="str">
        <f t="shared" si="2"/>
        <v>May</v>
      </c>
      <c r="Z45">
        <f t="shared" si="3"/>
        <v>2025</v>
      </c>
      <c r="AA45">
        <f t="shared" si="4"/>
        <v>0</v>
      </c>
    </row>
    <row r="46" spans="1:27" ht="15" customHeight="1" x14ac:dyDescent="0.3">
      <c r="A46" t="s">
        <v>195</v>
      </c>
      <c r="B46" s="20">
        <v>45950</v>
      </c>
      <c r="C46" t="s">
        <v>158</v>
      </c>
      <c r="D46" t="s">
        <v>48</v>
      </c>
      <c r="E46" s="37">
        <v>50</v>
      </c>
      <c r="F46" t="s">
        <v>72</v>
      </c>
      <c r="G46" t="s">
        <v>73</v>
      </c>
      <c r="H46" t="s">
        <v>74</v>
      </c>
      <c r="I46" t="s">
        <v>60</v>
      </c>
      <c r="J46" t="s">
        <v>152</v>
      </c>
      <c r="K46" s="37">
        <v>13</v>
      </c>
      <c r="L46" t="s">
        <v>52</v>
      </c>
      <c r="M46" s="21">
        <v>128600</v>
      </c>
      <c r="N46" s="21">
        <v>1666656</v>
      </c>
      <c r="O46" s="21">
        <v>123456</v>
      </c>
      <c r="P46" s="37">
        <v>5</v>
      </c>
      <c r="Q46" t="s">
        <v>42</v>
      </c>
      <c r="R46" s="37">
        <v>18</v>
      </c>
      <c r="S46" s="37">
        <v>39</v>
      </c>
      <c r="T46" t="s">
        <v>146</v>
      </c>
      <c r="U46" t="s">
        <v>44</v>
      </c>
      <c r="V46" t="s">
        <v>45</v>
      </c>
      <c r="W46" t="str">
        <f t="shared" si="0"/>
        <v>41-50</v>
      </c>
      <c r="X46" t="str">
        <f t="shared" si="1"/>
        <v>11-20 yrs</v>
      </c>
      <c r="Y46" t="str">
        <f t="shared" si="2"/>
        <v>Oct</v>
      </c>
      <c r="Z46">
        <f t="shared" si="3"/>
        <v>2025</v>
      </c>
      <c r="AA46">
        <f t="shared" si="4"/>
        <v>0</v>
      </c>
    </row>
    <row r="47" spans="1:27" ht="15" customHeight="1" x14ac:dyDescent="0.3">
      <c r="A47" t="s">
        <v>196</v>
      </c>
      <c r="B47" s="20">
        <v>45983</v>
      </c>
      <c r="C47" t="s">
        <v>197</v>
      </c>
      <c r="D47" t="s">
        <v>48</v>
      </c>
      <c r="E47" s="37">
        <v>46</v>
      </c>
      <c r="F47" t="s">
        <v>49</v>
      </c>
      <c r="G47" t="s">
        <v>50</v>
      </c>
      <c r="H47" t="s">
        <v>118</v>
      </c>
      <c r="I47" t="s">
        <v>82</v>
      </c>
      <c r="J47" t="s">
        <v>119</v>
      </c>
      <c r="K47" s="37">
        <v>26</v>
      </c>
      <c r="L47" t="s">
        <v>52</v>
      </c>
      <c r="M47" s="21">
        <v>53800</v>
      </c>
      <c r="N47" s="21">
        <v>697248</v>
      </c>
      <c r="O47" s="21">
        <v>51648</v>
      </c>
      <c r="P47" s="37">
        <v>4</v>
      </c>
      <c r="Q47" t="s">
        <v>126</v>
      </c>
      <c r="R47" s="37">
        <v>6</v>
      </c>
      <c r="S47" s="37">
        <v>5</v>
      </c>
      <c r="T47" t="s">
        <v>146</v>
      </c>
      <c r="U47" t="s">
        <v>54</v>
      </c>
      <c r="V47" t="s">
        <v>69</v>
      </c>
      <c r="W47" t="str">
        <f t="shared" si="0"/>
        <v>41-50</v>
      </c>
      <c r="X47" t="str">
        <f t="shared" si="1"/>
        <v>21-30 yrs</v>
      </c>
      <c r="Y47" t="str">
        <f t="shared" si="2"/>
        <v>Nov</v>
      </c>
      <c r="Z47">
        <f t="shared" si="3"/>
        <v>2025</v>
      </c>
      <c r="AA47">
        <f t="shared" si="4"/>
        <v>1</v>
      </c>
    </row>
    <row r="48" spans="1:27" ht="15" customHeight="1" x14ac:dyDescent="0.3">
      <c r="A48" t="s">
        <v>198</v>
      </c>
      <c r="B48" s="20">
        <v>45888</v>
      </c>
      <c r="C48" t="s">
        <v>199</v>
      </c>
      <c r="D48" t="s">
        <v>35</v>
      </c>
      <c r="E48" s="37">
        <v>28</v>
      </c>
      <c r="F48" t="s">
        <v>108</v>
      </c>
      <c r="G48" t="s">
        <v>109</v>
      </c>
      <c r="H48" t="s">
        <v>118</v>
      </c>
      <c r="I48" t="s">
        <v>39</v>
      </c>
      <c r="J48" t="s">
        <v>137</v>
      </c>
      <c r="K48" s="37">
        <v>30</v>
      </c>
      <c r="L48" t="s">
        <v>120</v>
      </c>
      <c r="M48" s="21">
        <v>34900</v>
      </c>
      <c r="N48" s="21">
        <v>477432</v>
      </c>
      <c r="O48" s="21">
        <v>58632</v>
      </c>
      <c r="P48" s="37">
        <v>2</v>
      </c>
      <c r="Q48" t="s">
        <v>42</v>
      </c>
      <c r="R48" s="37">
        <v>18</v>
      </c>
      <c r="S48" s="37">
        <v>31</v>
      </c>
      <c r="T48" t="s">
        <v>68</v>
      </c>
      <c r="U48" t="s">
        <v>44</v>
      </c>
      <c r="V48" t="s">
        <v>69</v>
      </c>
      <c r="W48" t="str">
        <f t="shared" si="0"/>
        <v>22-30</v>
      </c>
      <c r="X48" t="str">
        <f t="shared" si="1"/>
        <v>21-30 yrs</v>
      </c>
      <c r="Y48" t="str">
        <f t="shared" si="2"/>
        <v>Aug</v>
      </c>
      <c r="Z48">
        <f t="shared" si="3"/>
        <v>2025</v>
      </c>
      <c r="AA48">
        <f t="shared" si="4"/>
        <v>0</v>
      </c>
    </row>
    <row r="49" spans="1:27" ht="15" customHeight="1" x14ac:dyDescent="0.3">
      <c r="A49" t="s">
        <v>200</v>
      </c>
      <c r="B49" s="20">
        <v>45695</v>
      </c>
      <c r="C49" t="s">
        <v>201</v>
      </c>
      <c r="D49" t="s">
        <v>35</v>
      </c>
      <c r="E49" s="37">
        <v>23</v>
      </c>
      <c r="F49" t="s">
        <v>97</v>
      </c>
      <c r="G49" t="s">
        <v>98</v>
      </c>
      <c r="H49" t="s">
        <v>66</v>
      </c>
      <c r="I49" t="s">
        <v>82</v>
      </c>
      <c r="J49" t="s">
        <v>170</v>
      </c>
      <c r="K49" s="37">
        <v>30</v>
      </c>
      <c r="L49" t="s">
        <v>52</v>
      </c>
      <c r="M49" s="21">
        <v>62200</v>
      </c>
      <c r="N49" s="21">
        <v>791184</v>
      </c>
      <c r="O49" s="21">
        <v>44784</v>
      </c>
      <c r="P49" s="37">
        <v>4</v>
      </c>
      <c r="Q49" t="s">
        <v>42</v>
      </c>
      <c r="R49" s="37">
        <v>18</v>
      </c>
      <c r="S49" s="37">
        <v>33</v>
      </c>
      <c r="T49" t="s">
        <v>68</v>
      </c>
      <c r="U49" t="s">
        <v>44</v>
      </c>
      <c r="V49" t="s">
        <v>69</v>
      </c>
      <c r="W49" t="str">
        <f t="shared" si="0"/>
        <v>22-30</v>
      </c>
      <c r="X49" t="str">
        <f t="shared" si="1"/>
        <v>21-30 yrs</v>
      </c>
      <c r="Y49" t="str">
        <f t="shared" si="2"/>
        <v>Feb</v>
      </c>
      <c r="Z49">
        <f t="shared" si="3"/>
        <v>2025</v>
      </c>
      <c r="AA49">
        <f t="shared" si="4"/>
        <v>0</v>
      </c>
    </row>
    <row r="50" spans="1:27" ht="15" customHeight="1" x14ac:dyDescent="0.3">
      <c r="A50" t="s">
        <v>202</v>
      </c>
      <c r="B50" s="20">
        <v>45752</v>
      </c>
      <c r="C50" t="s">
        <v>203</v>
      </c>
      <c r="D50" t="s">
        <v>48</v>
      </c>
      <c r="E50" s="37">
        <v>45</v>
      </c>
      <c r="F50" t="s">
        <v>57</v>
      </c>
      <c r="G50" t="s">
        <v>58</v>
      </c>
      <c r="H50" t="s">
        <v>59</v>
      </c>
      <c r="I50" t="s">
        <v>39</v>
      </c>
      <c r="J50" t="s">
        <v>104</v>
      </c>
      <c r="K50" s="37">
        <v>14</v>
      </c>
      <c r="L50" t="s">
        <v>52</v>
      </c>
      <c r="M50" s="21">
        <v>38800</v>
      </c>
      <c r="N50" s="21">
        <v>526128</v>
      </c>
      <c r="O50" s="21">
        <v>60528</v>
      </c>
      <c r="P50" s="37">
        <v>4</v>
      </c>
      <c r="Q50" t="s">
        <v>42</v>
      </c>
      <c r="R50" s="37">
        <v>13</v>
      </c>
      <c r="S50" s="37">
        <v>31</v>
      </c>
      <c r="T50" t="s">
        <v>77</v>
      </c>
      <c r="U50" t="s">
        <v>138</v>
      </c>
      <c r="V50" t="s">
        <v>45</v>
      </c>
      <c r="W50" t="str">
        <f t="shared" si="0"/>
        <v>41-50</v>
      </c>
      <c r="X50" t="str">
        <f t="shared" si="1"/>
        <v>11-20 yrs</v>
      </c>
      <c r="Y50" t="str">
        <f t="shared" si="2"/>
        <v>Apr</v>
      </c>
      <c r="Z50">
        <f t="shared" si="3"/>
        <v>2025</v>
      </c>
      <c r="AA50">
        <f t="shared" si="4"/>
        <v>0</v>
      </c>
    </row>
    <row r="51" spans="1:27" ht="15" customHeight="1" x14ac:dyDescent="0.3">
      <c r="A51" t="s">
        <v>204</v>
      </c>
      <c r="B51" s="20">
        <v>45850</v>
      </c>
      <c r="C51" t="s">
        <v>112</v>
      </c>
      <c r="D51" t="s">
        <v>35</v>
      </c>
      <c r="E51" s="37">
        <v>39</v>
      </c>
      <c r="F51" t="s">
        <v>57</v>
      </c>
      <c r="G51" t="s">
        <v>58</v>
      </c>
      <c r="H51" t="s">
        <v>59</v>
      </c>
      <c r="I51" t="s">
        <v>75</v>
      </c>
      <c r="J51" t="s">
        <v>88</v>
      </c>
      <c r="K51" s="37">
        <v>18</v>
      </c>
      <c r="L51" t="s">
        <v>52</v>
      </c>
      <c r="M51" s="21">
        <v>93800</v>
      </c>
      <c r="N51" s="21">
        <v>1294440</v>
      </c>
      <c r="O51" s="21">
        <v>168840</v>
      </c>
      <c r="P51" s="37">
        <v>4</v>
      </c>
      <c r="Q51" t="s">
        <v>42</v>
      </c>
      <c r="R51" s="37">
        <v>4</v>
      </c>
      <c r="S51" s="37">
        <v>19</v>
      </c>
      <c r="T51" t="s">
        <v>129</v>
      </c>
      <c r="U51" t="s">
        <v>138</v>
      </c>
      <c r="V51" t="s">
        <v>69</v>
      </c>
      <c r="W51" t="str">
        <f t="shared" si="0"/>
        <v>31-40</v>
      </c>
      <c r="X51" t="str">
        <f t="shared" si="1"/>
        <v>11-20 yrs</v>
      </c>
      <c r="Y51" t="str">
        <f t="shared" si="2"/>
        <v>Jul</v>
      </c>
      <c r="Z51">
        <f t="shared" si="3"/>
        <v>2025</v>
      </c>
      <c r="AA51">
        <f t="shared" si="4"/>
        <v>0</v>
      </c>
    </row>
    <row r="52" spans="1:27" ht="15" customHeight="1" x14ac:dyDescent="0.3">
      <c r="A52" t="s">
        <v>205</v>
      </c>
      <c r="B52" s="20">
        <v>45847</v>
      </c>
      <c r="C52" t="s">
        <v>206</v>
      </c>
      <c r="D52" t="s">
        <v>48</v>
      </c>
      <c r="E52" s="37">
        <v>51</v>
      </c>
      <c r="F52" t="s">
        <v>91</v>
      </c>
      <c r="G52" t="s">
        <v>92</v>
      </c>
      <c r="H52" t="s">
        <v>66</v>
      </c>
      <c r="I52" t="s">
        <v>39</v>
      </c>
      <c r="J52" t="s">
        <v>149</v>
      </c>
      <c r="K52" s="37">
        <v>25</v>
      </c>
      <c r="L52" t="s">
        <v>52</v>
      </c>
      <c r="M52" s="21">
        <v>36400</v>
      </c>
      <c r="N52" s="21">
        <v>515424</v>
      </c>
      <c r="O52" s="21">
        <v>78624</v>
      </c>
      <c r="P52" s="37">
        <v>4</v>
      </c>
      <c r="Q52" t="s">
        <v>42</v>
      </c>
      <c r="R52" s="37">
        <v>16</v>
      </c>
      <c r="S52" s="37">
        <v>16</v>
      </c>
      <c r="T52" t="s">
        <v>175</v>
      </c>
      <c r="U52" t="s">
        <v>63</v>
      </c>
      <c r="V52" t="s">
        <v>45</v>
      </c>
      <c r="W52" t="str">
        <f t="shared" si="0"/>
        <v>51-58</v>
      </c>
      <c r="X52" t="str">
        <f t="shared" si="1"/>
        <v>21-30 yrs</v>
      </c>
      <c r="Y52" t="str">
        <f t="shared" si="2"/>
        <v>Jul</v>
      </c>
      <c r="Z52">
        <f t="shared" si="3"/>
        <v>2025</v>
      </c>
      <c r="AA52">
        <f t="shared" si="4"/>
        <v>0</v>
      </c>
    </row>
    <row r="53" spans="1:27" ht="15" customHeight="1" x14ac:dyDescent="0.3">
      <c r="A53" t="s">
        <v>207</v>
      </c>
      <c r="B53" s="20">
        <v>45952</v>
      </c>
      <c r="C53" t="s">
        <v>208</v>
      </c>
      <c r="D53" t="s">
        <v>35</v>
      </c>
      <c r="E53" s="37">
        <v>25</v>
      </c>
      <c r="F53" t="s">
        <v>49</v>
      </c>
      <c r="G53" t="s">
        <v>50</v>
      </c>
      <c r="H53" t="s">
        <v>66</v>
      </c>
      <c r="I53" t="s">
        <v>39</v>
      </c>
      <c r="J53" t="s">
        <v>67</v>
      </c>
      <c r="K53" s="37">
        <v>10</v>
      </c>
      <c r="L53" t="s">
        <v>41</v>
      </c>
      <c r="M53" s="21">
        <v>42700</v>
      </c>
      <c r="N53" s="21">
        <v>599508</v>
      </c>
      <c r="O53" s="21">
        <v>87108</v>
      </c>
      <c r="P53" s="37">
        <v>4</v>
      </c>
      <c r="Q53" t="s">
        <v>126</v>
      </c>
      <c r="R53" s="37">
        <v>4</v>
      </c>
      <c r="S53" s="37">
        <v>24</v>
      </c>
      <c r="T53" t="s">
        <v>43</v>
      </c>
      <c r="U53" t="s">
        <v>138</v>
      </c>
      <c r="V53" t="s">
        <v>69</v>
      </c>
      <c r="W53" t="str">
        <f t="shared" si="0"/>
        <v>22-30</v>
      </c>
      <c r="X53" t="str">
        <f t="shared" si="1"/>
        <v>6-10 yrs</v>
      </c>
      <c r="Y53" t="str">
        <f t="shared" si="2"/>
        <v>Oct</v>
      </c>
      <c r="Z53">
        <f t="shared" si="3"/>
        <v>2025</v>
      </c>
      <c r="AA53">
        <f t="shared" si="4"/>
        <v>1</v>
      </c>
    </row>
    <row r="54" spans="1:27" ht="15" customHeight="1" x14ac:dyDescent="0.3">
      <c r="A54" t="s">
        <v>209</v>
      </c>
      <c r="B54" s="20">
        <v>45880</v>
      </c>
      <c r="C54" t="s">
        <v>210</v>
      </c>
      <c r="D54" t="s">
        <v>35</v>
      </c>
      <c r="E54" s="37">
        <v>55</v>
      </c>
      <c r="F54" t="s">
        <v>91</v>
      </c>
      <c r="G54" t="s">
        <v>92</v>
      </c>
      <c r="H54" t="s">
        <v>66</v>
      </c>
      <c r="I54" t="s">
        <v>82</v>
      </c>
      <c r="J54" t="s">
        <v>161</v>
      </c>
      <c r="K54" s="37">
        <v>25</v>
      </c>
      <c r="L54" t="s">
        <v>52</v>
      </c>
      <c r="M54" s="21">
        <v>73200</v>
      </c>
      <c r="N54" s="21">
        <v>975024</v>
      </c>
      <c r="O54" s="21">
        <v>96624</v>
      </c>
      <c r="P54" s="37">
        <v>3</v>
      </c>
      <c r="Q54" t="s">
        <v>42</v>
      </c>
      <c r="R54" s="37">
        <v>0</v>
      </c>
      <c r="S54" s="37">
        <v>35</v>
      </c>
      <c r="T54" t="s">
        <v>105</v>
      </c>
      <c r="U54" t="s">
        <v>44</v>
      </c>
      <c r="V54" t="s">
        <v>69</v>
      </c>
      <c r="W54" t="str">
        <f t="shared" si="0"/>
        <v>51-58</v>
      </c>
      <c r="X54" t="str">
        <f t="shared" si="1"/>
        <v>21-30 yrs</v>
      </c>
      <c r="Y54" t="str">
        <f t="shared" si="2"/>
        <v>Aug</v>
      </c>
      <c r="Z54">
        <f t="shared" si="3"/>
        <v>2025</v>
      </c>
      <c r="AA54">
        <f t="shared" si="4"/>
        <v>0</v>
      </c>
    </row>
    <row r="55" spans="1:27" ht="15" customHeight="1" x14ac:dyDescent="0.3">
      <c r="A55" t="s">
        <v>211</v>
      </c>
      <c r="B55" s="20">
        <v>45908</v>
      </c>
      <c r="C55" t="s">
        <v>212</v>
      </c>
      <c r="D55" t="s">
        <v>35</v>
      </c>
      <c r="E55" s="37">
        <v>56</v>
      </c>
      <c r="F55" t="s">
        <v>97</v>
      </c>
      <c r="G55" t="s">
        <v>98</v>
      </c>
      <c r="H55" t="s">
        <v>66</v>
      </c>
      <c r="I55" t="s">
        <v>75</v>
      </c>
      <c r="J55" t="s">
        <v>67</v>
      </c>
      <c r="K55" s="37">
        <v>23</v>
      </c>
      <c r="L55" t="s">
        <v>52</v>
      </c>
      <c r="M55" s="21">
        <v>84300</v>
      </c>
      <c r="N55" s="21">
        <v>1102644</v>
      </c>
      <c r="O55" s="21">
        <v>91044</v>
      </c>
      <c r="P55" s="37">
        <v>4</v>
      </c>
      <c r="Q55" t="s">
        <v>126</v>
      </c>
      <c r="R55" s="37">
        <v>12</v>
      </c>
      <c r="S55" s="37">
        <v>33</v>
      </c>
      <c r="T55" t="s">
        <v>175</v>
      </c>
      <c r="U55" t="s">
        <v>63</v>
      </c>
      <c r="V55" t="s">
        <v>69</v>
      </c>
      <c r="W55" t="str">
        <f t="shared" si="0"/>
        <v>51-58</v>
      </c>
      <c r="X55" t="str">
        <f t="shared" si="1"/>
        <v>21-30 yrs</v>
      </c>
      <c r="Y55" t="str">
        <f t="shared" si="2"/>
        <v>Sep</v>
      </c>
      <c r="Z55">
        <f t="shared" si="3"/>
        <v>2025</v>
      </c>
      <c r="AA55">
        <f t="shared" si="4"/>
        <v>1</v>
      </c>
    </row>
    <row r="56" spans="1:27" ht="15" customHeight="1" x14ac:dyDescent="0.3">
      <c r="A56" t="s">
        <v>213</v>
      </c>
      <c r="B56" s="20">
        <v>46007</v>
      </c>
      <c r="C56" t="s">
        <v>214</v>
      </c>
      <c r="D56" t="s">
        <v>48</v>
      </c>
      <c r="E56" s="37">
        <v>46</v>
      </c>
      <c r="F56" t="s">
        <v>57</v>
      </c>
      <c r="G56" t="s">
        <v>58</v>
      </c>
      <c r="H56" t="s">
        <v>38</v>
      </c>
      <c r="I56" t="s">
        <v>39</v>
      </c>
      <c r="J56" t="s">
        <v>110</v>
      </c>
      <c r="K56" s="37">
        <v>11</v>
      </c>
      <c r="L56" t="s">
        <v>120</v>
      </c>
      <c r="M56" s="21">
        <v>29800</v>
      </c>
      <c r="N56" s="21">
        <v>382632</v>
      </c>
      <c r="O56" s="21">
        <v>25032</v>
      </c>
      <c r="P56" s="37">
        <v>3</v>
      </c>
      <c r="Q56" t="s">
        <v>42</v>
      </c>
      <c r="R56" s="37">
        <v>16</v>
      </c>
      <c r="S56" s="37">
        <v>16</v>
      </c>
      <c r="T56" t="s">
        <v>129</v>
      </c>
      <c r="U56" t="s">
        <v>63</v>
      </c>
      <c r="V56" t="s">
        <v>45</v>
      </c>
      <c r="W56" t="str">
        <f t="shared" si="0"/>
        <v>41-50</v>
      </c>
      <c r="X56" t="str">
        <f t="shared" si="1"/>
        <v>11-20 yrs</v>
      </c>
      <c r="Y56" t="str">
        <f t="shared" si="2"/>
        <v>Dec</v>
      </c>
      <c r="Z56">
        <f t="shared" si="3"/>
        <v>2025</v>
      </c>
      <c r="AA56">
        <f t="shared" si="4"/>
        <v>0</v>
      </c>
    </row>
    <row r="57" spans="1:27" ht="15" customHeight="1" x14ac:dyDescent="0.3">
      <c r="A57" t="s">
        <v>215</v>
      </c>
      <c r="B57" s="20">
        <v>45834</v>
      </c>
      <c r="C57" t="s">
        <v>216</v>
      </c>
      <c r="D57" t="s">
        <v>48</v>
      </c>
      <c r="E57" s="37">
        <v>44</v>
      </c>
      <c r="F57" t="s">
        <v>36</v>
      </c>
      <c r="G57" t="s">
        <v>37</v>
      </c>
      <c r="H57" t="s">
        <v>59</v>
      </c>
      <c r="I57" t="s">
        <v>60</v>
      </c>
      <c r="J57" t="s">
        <v>104</v>
      </c>
      <c r="K57" s="37">
        <v>17</v>
      </c>
      <c r="L57" t="s">
        <v>52</v>
      </c>
      <c r="M57" s="21">
        <v>112200</v>
      </c>
      <c r="N57" s="21">
        <v>1615680</v>
      </c>
      <c r="O57" s="21">
        <v>269280</v>
      </c>
      <c r="P57" s="37">
        <v>5</v>
      </c>
      <c r="Q57" t="s">
        <v>126</v>
      </c>
      <c r="R57" s="37">
        <v>9</v>
      </c>
      <c r="S57" s="37">
        <v>15</v>
      </c>
      <c r="T57" t="s">
        <v>94</v>
      </c>
      <c r="U57" t="s">
        <v>54</v>
      </c>
      <c r="V57" t="s">
        <v>45</v>
      </c>
      <c r="W57" t="str">
        <f t="shared" si="0"/>
        <v>41-50</v>
      </c>
      <c r="X57" t="str">
        <f t="shared" si="1"/>
        <v>11-20 yrs</v>
      </c>
      <c r="Y57" t="str">
        <f t="shared" si="2"/>
        <v>Jun</v>
      </c>
      <c r="Z57">
        <f t="shared" si="3"/>
        <v>2025</v>
      </c>
      <c r="AA57">
        <f t="shared" si="4"/>
        <v>1</v>
      </c>
    </row>
    <row r="58" spans="1:27" ht="15" customHeight="1" x14ac:dyDescent="0.3">
      <c r="A58" t="s">
        <v>217</v>
      </c>
      <c r="B58" s="20">
        <v>45691</v>
      </c>
      <c r="C58" t="s">
        <v>218</v>
      </c>
      <c r="D58" t="s">
        <v>35</v>
      </c>
      <c r="E58" s="37">
        <v>30</v>
      </c>
      <c r="F58" t="s">
        <v>80</v>
      </c>
      <c r="G58" t="s">
        <v>81</v>
      </c>
      <c r="H58" t="s">
        <v>118</v>
      </c>
      <c r="I58" t="s">
        <v>51</v>
      </c>
      <c r="J58" t="s">
        <v>219</v>
      </c>
      <c r="K58" s="37">
        <v>17</v>
      </c>
      <c r="L58" t="s">
        <v>52</v>
      </c>
      <c r="M58" s="21">
        <v>173900</v>
      </c>
      <c r="N58" s="21">
        <v>2337216</v>
      </c>
      <c r="O58" s="21">
        <v>250416</v>
      </c>
      <c r="P58" s="37">
        <v>4</v>
      </c>
      <c r="Q58" t="s">
        <v>42</v>
      </c>
      <c r="R58" s="37">
        <v>13</v>
      </c>
      <c r="S58" s="37">
        <v>30</v>
      </c>
      <c r="T58" t="s">
        <v>77</v>
      </c>
      <c r="U58" t="s">
        <v>44</v>
      </c>
      <c r="V58" t="s">
        <v>69</v>
      </c>
      <c r="W58" t="str">
        <f t="shared" si="0"/>
        <v>22-30</v>
      </c>
      <c r="X58" t="str">
        <f t="shared" si="1"/>
        <v>11-20 yrs</v>
      </c>
      <c r="Y58" t="str">
        <f t="shared" si="2"/>
        <v>Feb</v>
      </c>
      <c r="Z58">
        <f t="shared" si="3"/>
        <v>2025</v>
      </c>
      <c r="AA58">
        <f t="shared" si="4"/>
        <v>0</v>
      </c>
    </row>
    <row r="59" spans="1:27" ht="15" customHeight="1" x14ac:dyDescent="0.3">
      <c r="A59" t="s">
        <v>220</v>
      </c>
      <c r="B59" s="20">
        <v>45743</v>
      </c>
      <c r="C59" t="s">
        <v>221</v>
      </c>
      <c r="D59" t="s">
        <v>48</v>
      </c>
      <c r="E59" s="37">
        <v>36</v>
      </c>
      <c r="F59" t="s">
        <v>72</v>
      </c>
      <c r="G59" t="s">
        <v>73</v>
      </c>
      <c r="H59" t="s">
        <v>66</v>
      </c>
      <c r="I59" t="s">
        <v>75</v>
      </c>
      <c r="J59" t="s">
        <v>161</v>
      </c>
      <c r="K59" s="37">
        <v>12</v>
      </c>
      <c r="L59" t="s">
        <v>52</v>
      </c>
      <c r="M59" s="21">
        <v>117700</v>
      </c>
      <c r="N59" s="21">
        <v>1610136</v>
      </c>
      <c r="O59" s="21">
        <v>197736</v>
      </c>
      <c r="P59" s="37">
        <v>3</v>
      </c>
      <c r="Q59" t="s">
        <v>126</v>
      </c>
      <c r="R59" s="37">
        <v>9</v>
      </c>
      <c r="S59" s="37">
        <v>33</v>
      </c>
      <c r="T59" t="s">
        <v>94</v>
      </c>
      <c r="U59" t="s">
        <v>44</v>
      </c>
      <c r="V59" t="s">
        <v>69</v>
      </c>
      <c r="W59" t="str">
        <f t="shared" si="0"/>
        <v>31-40</v>
      </c>
      <c r="X59" t="str">
        <f t="shared" si="1"/>
        <v>11-20 yrs</v>
      </c>
      <c r="Y59" t="str">
        <f t="shared" si="2"/>
        <v>Mar</v>
      </c>
      <c r="Z59">
        <f t="shared" si="3"/>
        <v>2025</v>
      </c>
      <c r="AA59">
        <f t="shared" si="4"/>
        <v>1</v>
      </c>
    </row>
    <row r="60" spans="1:27" ht="15" customHeight="1" x14ac:dyDescent="0.3">
      <c r="A60" t="s">
        <v>222</v>
      </c>
      <c r="B60" s="20">
        <v>45802</v>
      </c>
      <c r="C60" t="s">
        <v>223</v>
      </c>
      <c r="D60" t="s">
        <v>48</v>
      </c>
      <c r="E60" s="37">
        <v>50</v>
      </c>
      <c r="F60" t="s">
        <v>36</v>
      </c>
      <c r="G60" t="s">
        <v>37</v>
      </c>
      <c r="H60" t="s">
        <v>66</v>
      </c>
      <c r="I60" t="s">
        <v>82</v>
      </c>
      <c r="J60" t="s">
        <v>149</v>
      </c>
      <c r="K60" s="37">
        <v>14</v>
      </c>
      <c r="L60" t="s">
        <v>52</v>
      </c>
      <c r="M60" s="21">
        <v>56000</v>
      </c>
      <c r="N60" s="21">
        <v>739200</v>
      </c>
      <c r="O60" s="21">
        <v>67200</v>
      </c>
      <c r="P60" s="37">
        <v>4</v>
      </c>
      <c r="Q60" t="s">
        <v>42</v>
      </c>
      <c r="R60" s="37">
        <v>16</v>
      </c>
      <c r="S60" s="37">
        <v>2</v>
      </c>
      <c r="T60" t="s">
        <v>77</v>
      </c>
      <c r="U60" t="s">
        <v>44</v>
      </c>
      <c r="V60" t="s">
        <v>69</v>
      </c>
      <c r="W60" t="str">
        <f t="shared" si="0"/>
        <v>41-50</v>
      </c>
      <c r="X60" t="str">
        <f t="shared" si="1"/>
        <v>11-20 yrs</v>
      </c>
      <c r="Y60" t="str">
        <f t="shared" si="2"/>
        <v>May</v>
      </c>
      <c r="Z60">
        <f t="shared" si="3"/>
        <v>2025</v>
      </c>
      <c r="AA60">
        <f t="shared" si="4"/>
        <v>0</v>
      </c>
    </row>
    <row r="61" spans="1:27" ht="15" customHeight="1" x14ac:dyDescent="0.3">
      <c r="A61" t="s">
        <v>224</v>
      </c>
      <c r="B61" s="20">
        <v>45969</v>
      </c>
      <c r="C61" t="s">
        <v>225</v>
      </c>
      <c r="D61" t="s">
        <v>35</v>
      </c>
      <c r="E61" s="37">
        <v>30</v>
      </c>
      <c r="F61" t="s">
        <v>108</v>
      </c>
      <c r="G61" t="s">
        <v>109</v>
      </c>
      <c r="H61" t="s">
        <v>66</v>
      </c>
      <c r="I61" t="s">
        <v>39</v>
      </c>
      <c r="J61" t="s">
        <v>170</v>
      </c>
      <c r="K61" s="37">
        <v>25</v>
      </c>
      <c r="L61" t="s">
        <v>52</v>
      </c>
      <c r="M61" s="21">
        <v>38300</v>
      </c>
      <c r="N61" s="21">
        <v>523944</v>
      </c>
      <c r="O61" s="21">
        <v>64344</v>
      </c>
      <c r="P61" s="37">
        <v>5</v>
      </c>
      <c r="Q61" t="s">
        <v>42</v>
      </c>
      <c r="R61" s="37">
        <v>10</v>
      </c>
      <c r="S61" s="37">
        <v>12</v>
      </c>
      <c r="T61" t="s">
        <v>62</v>
      </c>
      <c r="U61" t="s">
        <v>44</v>
      </c>
      <c r="V61" t="s">
        <v>45</v>
      </c>
      <c r="W61" t="str">
        <f t="shared" si="0"/>
        <v>22-30</v>
      </c>
      <c r="X61" t="str">
        <f t="shared" si="1"/>
        <v>21-30 yrs</v>
      </c>
      <c r="Y61" t="str">
        <f t="shared" si="2"/>
        <v>Nov</v>
      </c>
      <c r="Z61">
        <f t="shared" si="3"/>
        <v>2025</v>
      </c>
      <c r="AA61">
        <f t="shared" si="4"/>
        <v>0</v>
      </c>
    </row>
    <row r="62" spans="1:27" ht="15" customHeight="1" x14ac:dyDescent="0.3">
      <c r="A62" t="s">
        <v>226</v>
      </c>
      <c r="B62" s="20">
        <v>45719</v>
      </c>
      <c r="C62" t="s">
        <v>227</v>
      </c>
      <c r="D62" t="s">
        <v>48</v>
      </c>
      <c r="E62" s="37">
        <v>31</v>
      </c>
      <c r="F62" t="s">
        <v>86</v>
      </c>
      <c r="G62" t="s">
        <v>87</v>
      </c>
      <c r="H62" t="s">
        <v>66</v>
      </c>
      <c r="I62" t="s">
        <v>39</v>
      </c>
      <c r="J62" t="s">
        <v>93</v>
      </c>
      <c r="K62" s="37">
        <v>2</v>
      </c>
      <c r="L62" t="s">
        <v>41</v>
      </c>
      <c r="M62" s="21">
        <v>47100</v>
      </c>
      <c r="N62" s="21">
        <v>644328</v>
      </c>
      <c r="O62" s="21">
        <v>79128</v>
      </c>
      <c r="P62" s="37">
        <v>3</v>
      </c>
      <c r="Q62" t="s">
        <v>42</v>
      </c>
      <c r="R62" s="37">
        <v>19</v>
      </c>
      <c r="S62" s="37">
        <v>34</v>
      </c>
      <c r="T62" t="s">
        <v>62</v>
      </c>
      <c r="U62" t="s">
        <v>63</v>
      </c>
      <c r="V62" t="s">
        <v>45</v>
      </c>
      <c r="W62" t="str">
        <f t="shared" si="0"/>
        <v>31-40</v>
      </c>
      <c r="X62" t="str">
        <f t="shared" si="1"/>
        <v>0-5 yrs</v>
      </c>
      <c r="Y62" t="str">
        <f t="shared" si="2"/>
        <v>Mar</v>
      </c>
      <c r="Z62">
        <f t="shared" si="3"/>
        <v>2025</v>
      </c>
      <c r="AA62">
        <f t="shared" si="4"/>
        <v>0</v>
      </c>
    </row>
    <row r="63" spans="1:27" ht="15" customHeight="1" x14ac:dyDescent="0.3">
      <c r="A63" t="s">
        <v>228</v>
      </c>
      <c r="B63" s="20">
        <v>46006</v>
      </c>
      <c r="C63" t="s">
        <v>229</v>
      </c>
      <c r="D63" t="s">
        <v>35</v>
      </c>
      <c r="E63" s="37">
        <v>25</v>
      </c>
      <c r="F63" t="s">
        <v>36</v>
      </c>
      <c r="G63" t="s">
        <v>37</v>
      </c>
      <c r="H63" t="s">
        <v>38</v>
      </c>
      <c r="I63" t="s">
        <v>60</v>
      </c>
      <c r="J63" t="s">
        <v>40</v>
      </c>
      <c r="K63" s="37">
        <v>26</v>
      </c>
      <c r="L63" t="s">
        <v>52</v>
      </c>
      <c r="M63" s="21">
        <v>156700</v>
      </c>
      <c r="N63" s="21">
        <v>2237676</v>
      </c>
      <c r="O63" s="21">
        <v>357276</v>
      </c>
      <c r="P63" s="37">
        <v>5</v>
      </c>
      <c r="Q63" t="s">
        <v>42</v>
      </c>
      <c r="R63" s="37">
        <v>7</v>
      </c>
      <c r="S63" s="37">
        <v>24</v>
      </c>
      <c r="T63" t="s">
        <v>146</v>
      </c>
      <c r="U63" t="s">
        <v>63</v>
      </c>
      <c r="V63" t="s">
        <v>69</v>
      </c>
      <c r="W63" t="str">
        <f t="shared" si="0"/>
        <v>22-30</v>
      </c>
      <c r="X63" t="str">
        <f t="shared" si="1"/>
        <v>21-30 yrs</v>
      </c>
      <c r="Y63" t="str">
        <f t="shared" si="2"/>
        <v>Dec</v>
      </c>
      <c r="Z63">
        <f t="shared" si="3"/>
        <v>2025</v>
      </c>
      <c r="AA63">
        <f t="shared" si="4"/>
        <v>0</v>
      </c>
    </row>
    <row r="64" spans="1:27" ht="15" customHeight="1" x14ac:dyDescent="0.3">
      <c r="A64" t="s">
        <v>230</v>
      </c>
      <c r="B64" s="20">
        <v>45663</v>
      </c>
      <c r="C64" t="s">
        <v>231</v>
      </c>
      <c r="D64" t="s">
        <v>35</v>
      </c>
      <c r="E64" s="37">
        <v>47</v>
      </c>
      <c r="F64" t="s">
        <v>86</v>
      </c>
      <c r="G64" t="s">
        <v>87</v>
      </c>
      <c r="H64" t="s">
        <v>38</v>
      </c>
      <c r="I64" t="s">
        <v>39</v>
      </c>
      <c r="J64" t="s">
        <v>190</v>
      </c>
      <c r="K64" s="37">
        <v>27</v>
      </c>
      <c r="L64" t="s">
        <v>52</v>
      </c>
      <c r="M64" s="21">
        <v>41600</v>
      </c>
      <c r="N64" s="21">
        <v>559104</v>
      </c>
      <c r="O64" s="21">
        <v>59904</v>
      </c>
      <c r="P64" s="37">
        <v>4</v>
      </c>
      <c r="Q64" t="s">
        <v>42</v>
      </c>
      <c r="R64" s="37">
        <v>2</v>
      </c>
      <c r="S64" s="37">
        <v>39</v>
      </c>
      <c r="T64" t="s">
        <v>62</v>
      </c>
      <c r="U64" t="s">
        <v>63</v>
      </c>
      <c r="V64" t="s">
        <v>45</v>
      </c>
      <c r="W64" t="str">
        <f t="shared" si="0"/>
        <v>41-50</v>
      </c>
      <c r="X64" t="str">
        <f t="shared" si="1"/>
        <v>21-30 yrs</v>
      </c>
      <c r="Y64" t="str">
        <f t="shared" si="2"/>
        <v>Jan</v>
      </c>
      <c r="Z64">
        <f t="shared" si="3"/>
        <v>2025</v>
      </c>
      <c r="AA64">
        <f t="shared" si="4"/>
        <v>0</v>
      </c>
    </row>
    <row r="65" spans="1:27" ht="15" customHeight="1" x14ac:dyDescent="0.3">
      <c r="A65" t="s">
        <v>232</v>
      </c>
      <c r="B65" s="20">
        <v>45784</v>
      </c>
      <c r="C65" t="s">
        <v>233</v>
      </c>
      <c r="D65" t="s">
        <v>35</v>
      </c>
      <c r="E65" s="37">
        <v>49</v>
      </c>
      <c r="F65" t="s">
        <v>108</v>
      </c>
      <c r="G65" t="s">
        <v>109</v>
      </c>
      <c r="H65" t="s">
        <v>38</v>
      </c>
      <c r="I65" t="s">
        <v>39</v>
      </c>
      <c r="J65" t="s">
        <v>190</v>
      </c>
      <c r="K65" s="37">
        <v>10</v>
      </c>
      <c r="L65" t="s">
        <v>52</v>
      </c>
      <c r="M65" s="21">
        <v>42700</v>
      </c>
      <c r="N65" s="21">
        <v>548268</v>
      </c>
      <c r="O65" s="21">
        <v>35868</v>
      </c>
      <c r="P65" s="37">
        <v>4</v>
      </c>
      <c r="Q65" t="s">
        <v>42</v>
      </c>
      <c r="R65" s="37">
        <v>4</v>
      </c>
      <c r="S65" s="37">
        <v>30</v>
      </c>
      <c r="T65" t="s">
        <v>94</v>
      </c>
      <c r="U65" t="s">
        <v>44</v>
      </c>
      <c r="V65" t="s">
        <v>45</v>
      </c>
      <c r="W65" t="str">
        <f t="shared" si="0"/>
        <v>41-50</v>
      </c>
      <c r="X65" t="str">
        <f t="shared" si="1"/>
        <v>6-10 yrs</v>
      </c>
      <c r="Y65" t="str">
        <f t="shared" si="2"/>
        <v>May</v>
      </c>
      <c r="Z65">
        <f t="shared" si="3"/>
        <v>2025</v>
      </c>
      <c r="AA65">
        <f t="shared" si="4"/>
        <v>0</v>
      </c>
    </row>
    <row r="66" spans="1:27" ht="15" customHeight="1" x14ac:dyDescent="0.3">
      <c r="A66" t="s">
        <v>234</v>
      </c>
      <c r="B66" s="20">
        <v>45703</v>
      </c>
      <c r="C66" t="s">
        <v>235</v>
      </c>
      <c r="D66" t="s">
        <v>35</v>
      </c>
      <c r="E66" s="37">
        <v>35</v>
      </c>
      <c r="F66" t="s">
        <v>57</v>
      </c>
      <c r="G66" t="s">
        <v>58</v>
      </c>
      <c r="H66" t="s">
        <v>38</v>
      </c>
      <c r="I66" t="s">
        <v>39</v>
      </c>
      <c r="J66" t="s">
        <v>40</v>
      </c>
      <c r="K66" s="37">
        <v>16</v>
      </c>
      <c r="L66" t="s">
        <v>52</v>
      </c>
      <c r="M66" s="21">
        <v>31300</v>
      </c>
      <c r="N66" s="21">
        <v>416916</v>
      </c>
      <c r="O66" s="21">
        <v>41316</v>
      </c>
      <c r="P66" s="37">
        <v>1</v>
      </c>
      <c r="Q66" t="s">
        <v>42</v>
      </c>
      <c r="R66" s="37">
        <v>15</v>
      </c>
      <c r="S66" s="37">
        <v>5</v>
      </c>
      <c r="T66" t="s">
        <v>105</v>
      </c>
      <c r="U66" t="s">
        <v>63</v>
      </c>
      <c r="V66" t="s">
        <v>45</v>
      </c>
      <c r="W66" t="str">
        <f t="shared" ref="W66:W129" si="5">IF(E66&lt;=30,"22-30",IF(E66&lt;=40,"31-40",IF(E66&lt;=50,"41-50","51-58")))</f>
        <v>31-40</v>
      </c>
      <c r="X66" t="str">
        <f t="shared" ref="X66:X129" si="6">IF(K66&lt;=5,"0-5 yrs",IF(K66&lt;=10,"6-10 yrs",IF(K66&lt;=20,"11-20 yrs","21-30 yrs")))</f>
        <v>11-20 yrs</v>
      </c>
      <c r="Y66" t="str">
        <f t="shared" ref="Y66:Y129" si="7">TEXT(B66,"mmm")</f>
        <v>Feb</v>
      </c>
      <c r="Z66">
        <f t="shared" ref="Z66:Z129" si="8">YEAR(B66)</f>
        <v>2025</v>
      </c>
      <c r="AA66">
        <f t="shared" ref="AA66:AA129" si="9">IF(Q66="Yes",1,0)</f>
        <v>0</v>
      </c>
    </row>
    <row r="67" spans="1:27" ht="15" customHeight="1" x14ac:dyDescent="0.3">
      <c r="A67" t="s">
        <v>236</v>
      </c>
      <c r="B67" s="20">
        <v>45998</v>
      </c>
      <c r="C67" t="s">
        <v>237</v>
      </c>
      <c r="D67" t="s">
        <v>48</v>
      </c>
      <c r="E67" s="37">
        <v>53</v>
      </c>
      <c r="F67" t="s">
        <v>123</v>
      </c>
      <c r="G67" t="s">
        <v>124</v>
      </c>
      <c r="H67" t="s">
        <v>38</v>
      </c>
      <c r="I67" t="s">
        <v>39</v>
      </c>
      <c r="J67" t="s">
        <v>99</v>
      </c>
      <c r="K67" s="37">
        <v>11</v>
      </c>
      <c r="L67" t="s">
        <v>52</v>
      </c>
      <c r="M67" s="21">
        <v>37900</v>
      </c>
      <c r="N67" s="21">
        <v>500280</v>
      </c>
      <c r="O67" s="21">
        <v>45480</v>
      </c>
      <c r="P67" s="37">
        <v>4</v>
      </c>
      <c r="Q67" t="s">
        <v>126</v>
      </c>
      <c r="R67" s="37">
        <v>17</v>
      </c>
      <c r="S67" s="37">
        <v>13</v>
      </c>
      <c r="T67" t="s">
        <v>53</v>
      </c>
      <c r="U67" t="s">
        <v>63</v>
      </c>
      <c r="V67" t="s">
        <v>45</v>
      </c>
      <c r="W67" t="str">
        <f t="shared" si="5"/>
        <v>51-58</v>
      </c>
      <c r="X67" t="str">
        <f t="shared" si="6"/>
        <v>11-20 yrs</v>
      </c>
      <c r="Y67" t="str">
        <f t="shared" si="7"/>
        <v>Dec</v>
      </c>
      <c r="Z67">
        <f t="shared" si="8"/>
        <v>2025</v>
      </c>
      <c r="AA67">
        <f t="shared" si="9"/>
        <v>1</v>
      </c>
    </row>
    <row r="68" spans="1:27" ht="15" customHeight="1" x14ac:dyDescent="0.3">
      <c r="A68" t="s">
        <v>238</v>
      </c>
      <c r="B68" s="20">
        <v>45988</v>
      </c>
      <c r="C68" t="s">
        <v>239</v>
      </c>
      <c r="D68" t="s">
        <v>35</v>
      </c>
      <c r="E68" s="37">
        <v>36</v>
      </c>
      <c r="F68" t="s">
        <v>80</v>
      </c>
      <c r="G68" t="s">
        <v>81</v>
      </c>
      <c r="H68" t="s">
        <v>38</v>
      </c>
      <c r="I68" t="s">
        <v>39</v>
      </c>
      <c r="J68" t="s">
        <v>134</v>
      </c>
      <c r="K68" s="37">
        <v>13</v>
      </c>
      <c r="L68" t="s">
        <v>52</v>
      </c>
      <c r="M68" s="21">
        <v>42900</v>
      </c>
      <c r="N68" s="21">
        <v>550836</v>
      </c>
      <c r="O68" s="21">
        <v>36036</v>
      </c>
      <c r="P68" s="37">
        <v>5</v>
      </c>
      <c r="Q68" t="s">
        <v>42</v>
      </c>
      <c r="R68" s="37">
        <v>10</v>
      </c>
      <c r="S68" s="37">
        <v>31</v>
      </c>
      <c r="T68" t="s">
        <v>62</v>
      </c>
      <c r="U68" t="s">
        <v>63</v>
      </c>
      <c r="V68" t="s">
        <v>69</v>
      </c>
      <c r="W68" t="str">
        <f t="shared" si="5"/>
        <v>31-40</v>
      </c>
      <c r="X68" t="str">
        <f t="shared" si="6"/>
        <v>11-20 yrs</v>
      </c>
      <c r="Y68" t="str">
        <f t="shared" si="7"/>
        <v>Nov</v>
      </c>
      <c r="Z68">
        <f t="shared" si="8"/>
        <v>2025</v>
      </c>
      <c r="AA68">
        <f t="shared" si="9"/>
        <v>0</v>
      </c>
    </row>
    <row r="69" spans="1:27" ht="15" customHeight="1" x14ac:dyDescent="0.3">
      <c r="A69" t="s">
        <v>240</v>
      </c>
      <c r="B69" s="20">
        <v>45969</v>
      </c>
      <c r="C69" t="s">
        <v>241</v>
      </c>
      <c r="D69" t="s">
        <v>48</v>
      </c>
      <c r="E69" s="37">
        <v>37</v>
      </c>
      <c r="F69" t="s">
        <v>36</v>
      </c>
      <c r="G69" t="s">
        <v>37</v>
      </c>
      <c r="H69" t="s">
        <v>59</v>
      </c>
      <c r="I69" t="s">
        <v>82</v>
      </c>
      <c r="J69" t="s">
        <v>104</v>
      </c>
      <c r="K69" s="37">
        <v>4</v>
      </c>
      <c r="L69" t="s">
        <v>120</v>
      </c>
      <c r="M69" s="21">
        <v>51200</v>
      </c>
      <c r="N69" s="21">
        <v>724992</v>
      </c>
      <c r="O69" s="21">
        <v>110592</v>
      </c>
      <c r="P69" s="37">
        <v>3</v>
      </c>
      <c r="Q69" t="s">
        <v>42</v>
      </c>
      <c r="R69" s="37">
        <v>16</v>
      </c>
      <c r="S69" s="37">
        <v>24</v>
      </c>
      <c r="T69" t="s">
        <v>77</v>
      </c>
      <c r="U69" t="s">
        <v>44</v>
      </c>
      <c r="V69" t="s">
        <v>45</v>
      </c>
      <c r="W69" t="str">
        <f t="shared" si="5"/>
        <v>31-40</v>
      </c>
      <c r="X69" t="str">
        <f t="shared" si="6"/>
        <v>0-5 yrs</v>
      </c>
      <c r="Y69" t="str">
        <f t="shared" si="7"/>
        <v>Nov</v>
      </c>
      <c r="Z69">
        <f t="shared" si="8"/>
        <v>2025</v>
      </c>
      <c r="AA69">
        <f t="shared" si="9"/>
        <v>0</v>
      </c>
    </row>
    <row r="70" spans="1:27" ht="15" customHeight="1" x14ac:dyDescent="0.3">
      <c r="A70" t="s">
        <v>242</v>
      </c>
      <c r="B70" s="20">
        <v>45922</v>
      </c>
      <c r="C70" t="s">
        <v>243</v>
      </c>
      <c r="D70" t="s">
        <v>35</v>
      </c>
      <c r="E70" s="37">
        <v>36</v>
      </c>
      <c r="F70" t="s">
        <v>86</v>
      </c>
      <c r="G70" t="s">
        <v>87</v>
      </c>
      <c r="H70" t="s">
        <v>74</v>
      </c>
      <c r="I70" t="s">
        <v>75</v>
      </c>
      <c r="J70" t="s">
        <v>115</v>
      </c>
      <c r="K70" s="37">
        <v>20</v>
      </c>
      <c r="L70" t="s">
        <v>41</v>
      </c>
      <c r="M70" s="21">
        <v>113500</v>
      </c>
      <c r="N70" s="21">
        <v>1470960</v>
      </c>
      <c r="O70" s="21">
        <v>108960</v>
      </c>
      <c r="P70" s="37">
        <v>4</v>
      </c>
      <c r="Q70" t="s">
        <v>126</v>
      </c>
      <c r="R70" s="37">
        <v>6</v>
      </c>
      <c r="S70" s="37">
        <v>16</v>
      </c>
      <c r="T70" t="s">
        <v>53</v>
      </c>
      <c r="U70" t="s">
        <v>44</v>
      </c>
      <c r="V70" t="s">
        <v>69</v>
      </c>
      <c r="W70" t="str">
        <f t="shared" si="5"/>
        <v>31-40</v>
      </c>
      <c r="X70" t="str">
        <f t="shared" si="6"/>
        <v>11-20 yrs</v>
      </c>
      <c r="Y70" t="str">
        <f t="shared" si="7"/>
        <v>Sep</v>
      </c>
      <c r="Z70">
        <f t="shared" si="8"/>
        <v>2025</v>
      </c>
      <c r="AA70">
        <f t="shared" si="9"/>
        <v>1</v>
      </c>
    </row>
    <row r="71" spans="1:27" ht="15" customHeight="1" x14ac:dyDescent="0.3">
      <c r="A71" t="s">
        <v>244</v>
      </c>
      <c r="B71" s="20">
        <v>46016</v>
      </c>
      <c r="C71" t="s">
        <v>245</v>
      </c>
      <c r="D71" t="s">
        <v>48</v>
      </c>
      <c r="E71" s="37">
        <v>32</v>
      </c>
      <c r="F71" t="s">
        <v>108</v>
      </c>
      <c r="G71" t="s">
        <v>109</v>
      </c>
      <c r="H71" t="s">
        <v>38</v>
      </c>
      <c r="I71" t="s">
        <v>39</v>
      </c>
      <c r="J71" t="s">
        <v>134</v>
      </c>
      <c r="K71" s="37">
        <v>13</v>
      </c>
      <c r="L71" t="s">
        <v>120</v>
      </c>
      <c r="M71" s="21">
        <v>39800</v>
      </c>
      <c r="N71" s="21">
        <v>549240</v>
      </c>
      <c r="O71" s="21">
        <v>71640</v>
      </c>
      <c r="P71" s="37">
        <v>4</v>
      </c>
      <c r="Q71" t="s">
        <v>42</v>
      </c>
      <c r="R71" s="37">
        <v>8</v>
      </c>
      <c r="S71" s="37">
        <v>7</v>
      </c>
      <c r="T71" t="s">
        <v>43</v>
      </c>
      <c r="U71" t="s">
        <v>63</v>
      </c>
      <c r="V71" t="s">
        <v>69</v>
      </c>
      <c r="W71" t="str">
        <f t="shared" si="5"/>
        <v>31-40</v>
      </c>
      <c r="X71" t="str">
        <f t="shared" si="6"/>
        <v>11-20 yrs</v>
      </c>
      <c r="Y71" t="str">
        <f t="shared" si="7"/>
        <v>Dec</v>
      </c>
      <c r="Z71">
        <f t="shared" si="8"/>
        <v>2025</v>
      </c>
      <c r="AA71">
        <f t="shared" si="9"/>
        <v>0</v>
      </c>
    </row>
    <row r="72" spans="1:27" ht="15" customHeight="1" x14ac:dyDescent="0.3">
      <c r="A72" t="s">
        <v>246</v>
      </c>
      <c r="B72" s="20">
        <v>45703</v>
      </c>
      <c r="C72" t="s">
        <v>247</v>
      </c>
      <c r="D72" t="s">
        <v>48</v>
      </c>
      <c r="E72" s="37">
        <v>43</v>
      </c>
      <c r="F72" t="s">
        <v>123</v>
      </c>
      <c r="G72" t="s">
        <v>124</v>
      </c>
      <c r="H72" t="s">
        <v>66</v>
      </c>
      <c r="I72" t="s">
        <v>75</v>
      </c>
      <c r="J72" t="s">
        <v>93</v>
      </c>
      <c r="K72" s="37">
        <v>27</v>
      </c>
      <c r="L72" t="s">
        <v>52</v>
      </c>
      <c r="M72" s="21">
        <v>103900</v>
      </c>
      <c r="N72" s="21">
        <v>1471224</v>
      </c>
      <c r="O72" s="21">
        <v>224424</v>
      </c>
      <c r="P72" s="37">
        <v>2</v>
      </c>
      <c r="Q72" t="s">
        <v>42</v>
      </c>
      <c r="R72" s="37">
        <v>6</v>
      </c>
      <c r="S72" s="37">
        <v>1</v>
      </c>
      <c r="T72" t="s">
        <v>43</v>
      </c>
      <c r="U72" t="s">
        <v>63</v>
      </c>
      <c r="V72" t="s">
        <v>45</v>
      </c>
      <c r="W72" t="str">
        <f t="shared" si="5"/>
        <v>41-50</v>
      </c>
      <c r="X72" t="str">
        <f t="shared" si="6"/>
        <v>21-30 yrs</v>
      </c>
      <c r="Y72" t="str">
        <f t="shared" si="7"/>
        <v>Feb</v>
      </c>
      <c r="Z72">
        <f t="shared" si="8"/>
        <v>2025</v>
      </c>
      <c r="AA72">
        <f t="shared" si="9"/>
        <v>0</v>
      </c>
    </row>
    <row r="73" spans="1:27" ht="15" customHeight="1" x14ac:dyDescent="0.3">
      <c r="A73" t="s">
        <v>248</v>
      </c>
      <c r="B73" s="20">
        <v>45834</v>
      </c>
      <c r="C73" t="s">
        <v>249</v>
      </c>
      <c r="D73" t="s">
        <v>35</v>
      </c>
      <c r="E73" s="37">
        <v>32</v>
      </c>
      <c r="F73" t="s">
        <v>80</v>
      </c>
      <c r="G73" t="s">
        <v>81</v>
      </c>
      <c r="H73" t="s">
        <v>118</v>
      </c>
      <c r="I73" t="s">
        <v>82</v>
      </c>
      <c r="J73" t="s">
        <v>250</v>
      </c>
      <c r="K73" s="37">
        <v>6</v>
      </c>
      <c r="L73" t="s">
        <v>52</v>
      </c>
      <c r="M73" s="21">
        <v>50600</v>
      </c>
      <c r="N73" s="21">
        <v>722568</v>
      </c>
      <c r="O73" s="21">
        <v>115368</v>
      </c>
      <c r="P73" s="37">
        <v>5</v>
      </c>
      <c r="Q73" t="s">
        <v>42</v>
      </c>
      <c r="R73" s="37">
        <v>19</v>
      </c>
      <c r="S73" s="37">
        <v>6</v>
      </c>
      <c r="T73" t="s">
        <v>53</v>
      </c>
      <c r="U73" t="s">
        <v>63</v>
      </c>
      <c r="V73" t="s">
        <v>45</v>
      </c>
      <c r="W73" t="str">
        <f t="shared" si="5"/>
        <v>31-40</v>
      </c>
      <c r="X73" t="str">
        <f t="shared" si="6"/>
        <v>6-10 yrs</v>
      </c>
      <c r="Y73" t="str">
        <f t="shared" si="7"/>
        <v>Jun</v>
      </c>
      <c r="Z73">
        <f t="shared" si="8"/>
        <v>2025</v>
      </c>
      <c r="AA73">
        <f t="shared" si="9"/>
        <v>0</v>
      </c>
    </row>
    <row r="74" spans="1:27" ht="15" customHeight="1" x14ac:dyDescent="0.3">
      <c r="A74" t="s">
        <v>251</v>
      </c>
      <c r="B74" s="20">
        <v>45738</v>
      </c>
      <c r="C74" t="s">
        <v>252</v>
      </c>
      <c r="D74" t="s">
        <v>35</v>
      </c>
      <c r="E74" s="37">
        <v>35</v>
      </c>
      <c r="F74" t="s">
        <v>86</v>
      </c>
      <c r="G74" t="s">
        <v>87</v>
      </c>
      <c r="H74" t="s">
        <v>38</v>
      </c>
      <c r="I74" t="s">
        <v>39</v>
      </c>
      <c r="J74" t="s">
        <v>190</v>
      </c>
      <c r="K74" s="37">
        <v>24</v>
      </c>
      <c r="L74" t="s">
        <v>41</v>
      </c>
      <c r="M74" s="21">
        <v>32800</v>
      </c>
      <c r="N74" s="21">
        <v>472320</v>
      </c>
      <c r="O74" s="21">
        <v>78720</v>
      </c>
      <c r="P74" s="37">
        <v>3</v>
      </c>
      <c r="Q74" t="s">
        <v>42</v>
      </c>
      <c r="R74" s="37">
        <v>20</v>
      </c>
      <c r="S74" s="37">
        <v>31</v>
      </c>
      <c r="T74" t="s">
        <v>105</v>
      </c>
      <c r="U74" t="s">
        <v>44</v>
      </c>
      <c r="V74" t="s">
        <v>69</v>
      </c>
      <c r="W74" t="str">
        <f t="shared" si="5"/>
        <v>31-40</v>
      </c>
      <c r="X74" t="str">
        <f t="shared" si="6"/>
        <v>21-30 yrs</v>
      </c>
      <c r="Y74" t="str">
        <f t="shared" si="7"/>
        <v>Mar</v>
      </c>
      <c r="Z74">
        <f t="shared" si="8"/>
        <v>2025</v>
      </c>
      <c r="AA74">
        <f t="shared" si="9"/>
        <v>0</v>
      </c>
    </row>
    <row r="75" spans="1:27" ht="15" customHeight="1" x14ac:dyDescent="0.3">
      <c r="A75" t="s">
        <v>253</v>
      </c>
      <c r="B75" s="20">
        <v>45725</v>
      </c>
      <c r="C75" t="s">
        <v>143</v>
      </c>
      <c r="D75" t="s">
        <v>35</v>
      </c>
      <c r="E75" s="37">
        <v>49</v>
      </c>
      <c r="F75" t="s">
        <v>49</v>
      </c>
      <c r="G75" t="s">
        <v>50</v>
      </c>
      <c r="H75" t="s">
        <v>66</v>
      </c>
      <c r="I75" t="s">
        <v>39</v>
      </c>
      <c r="J75" t="s">
        <v>161</v>
      </c>
      <c r="K75" s="37">
        <v>6</v>
      </c>
      <c r="L75" t="s">
        <v>52</v>
      </c>
      <c r="M75" s="21">
        <v>48100</v>
      </c>
      <c r="N75" s="21">
        <v>669552</v>
      </c>
      <c r="O75" s="21">
        <v>92352</v>
      </c>
      <c r="P75" s="37">
        <v>4</v>
      </c>
      <c r="Q75" t="s">
        <v>42</v>
      </c>
      <c r="R75" s="37">
        <v>3</v>
      </c>
      <c r="S75" s="37">
        <v>27</v>
      </c>
      <c r="T75" t="s">
        <v>53</v>
      </c>
      <c r="U75" t="s">
        <v>63</v>
      </c>
      <c r="V75" t="s">
        <v>45</v>
      </c>
      <c r="W75" t="str">
        <f t="shared" si="5"/>
        <v>41-50</v>
      </c>
      <c r="X75" t="str">
        <f t="shared" si="6"/>
        <v>6-10 yrs</v>
      </c>
      <c r="Y75" t="str">
        <f t="shared" si="7"/>
        <v>Mar</v>
      </c>
      <c r="Z75">
        <f t="shared" si="8"/>
        <v>2025</v>
      </c>
      <c r="AA75">
        <f t="shared" si="9"/>
        <v>0</v>
      </c>
    </row>
    <row r="76" spans="1:27" ht="15" customHeight="1" x14ac:dyDescent="0.3">
      <c r="A76" t="s">
        <v>254</v>
      </c>
      <c r="B76" s="20">
        <v>45848</v>
      </c>
      <c r="C76" t="s">
        <v>255</v>
      </c>
      <c r="D76" t="s">
        <v>35</v>
      </c>
      <c r="E76" s="37">
        <v>23</v>
      </c>
      <c r="F76" t="s">
        <v>86</v>
      </c>
      <c r="G76" t="s">
        <v>87</v>
      </c>
      <c r="H76" t="s">
        <v>74</v>
      </c>
      <c r="I76" t="s">
        <v>75</v>
      </c>
      <c r="J76" t="s">
        <v>83</v>
      </c>
      <c r="K76" s="37">
        <v>18</v>
      </c>
      <c r="L76" t="s">
        <v>52</v>
      </c>
      <c r="M76" s="21">
        <v>91200</v>
      </c>
      <c r="N76" s="21">
        <v>1214784</v>
      </c>
      <c r="O76" s="21">
        <v>120384</v>
      </c>
      <c r="P76" s="37">
        <v>4</v>
      </c>
      <c r="Q76" t="s">
        <v>42</v>
      </c>
      <c r="R76" s="37">
        <v>0</v>
      </c>
      <c r="S76" s="37">
        <v>34</v>
      </c>
      <c r="T76" t="s">
        <v>129</v>
      </c>
      <c r="U76" t="s">
        <v>63</v>
      </c>
      <c r="V76" t="s">
        <v>45</v>
      </c>
      <c r="W76" t="str">
        <f t="shared" si="5"/>
        <v>22-30</v>
      </c>
      <c r="X76" t="str">
        <f t="shared" si="6"/>
        <v>11-20 yrs</v>
      </c>
      <c r="Y76" t="str">
        <f t="shared" si="7"/>
        <v>Jul</v>
      </c>
      <c r="Z76">
        <f t="shared" si="8"/>
        <v>2025</v>
      </c>
      <c r="AA76">
        <f t="shared" si="9"/>
        <v>0</v>
      </c>
    </row>
    <row r="77" spans="1:27" ht="15" customHeight="1" x14ac:dyDescent="0.3">
      <c r="A77" t="s">
        <v>256</v>
      </c>
      <c r="B77" s="20">
        <v>46015</v>
      </c>
      <c r="C77" t="s">
        <v>257</v>
      </c>
      <c r="D77" t="s">
        <v>35</v>
      </c>
      <c r="E77" s="37">
        <v>58</v>
      </c>
      <c r="F77" t="s">
        <v>36</v>
      </c>
      <c r="G77" t="s">
        <v>37</v>
      </c>
      <c r="H77" t="s">
        <v>38</v>
      </c>
      <c r="I77" t="s">
        <v>82</v>
      </c>
      <c r="J77" t="s">
        <v>110</v>
      </c>
      <c r="K77" s="37">
        <v>28</v>
      </c>
      <c r="L77" t="s">
        <v>52</v>
      </c>
      <c r="M77" s="21">
        <v>58000</v>
      </c>
      <c r="N77" s="21">
        <v>765600</v>
      </c>
      <c r="O77" s="21">
        <v>69600</v>
      </c>
      <c r="P77" s="37">
        <v>4</v>
      </c>
      <c r="Q77" t="s">
        <v>42</v>
      </c>
      <c r="R77" s="37">
        <v>1</v>
      </c>
      <c r="S77" s="37">
        <v>34</v>
      </c>
      <c r="T77" t="s">
        <v>146</v>
      </c>
      <c r="U77" t="s">
        <v>44</v>
      </c>
      <c r="V77" t="s">
        <v>45</v>
      </c>
      <c r="W77" t="str">
        <f t="shared" si="5"/>
        <v>51-58</v>
      </c>
      <c r="X77" t="str">
        <f t="shared" si="6"/>
        <v>21-30 yrs</v>
      </c>
      <c r="Y77" t="str">
        <f t="shared" si="7"/>
        <v>Dec</v>
      </c>
      <c r="Z77">
        <f t="shared" si="8"/>
        <v>2025</v>
      </c>
      <c r="AA77">
        <f t="shared" si="9"/>
        <v>0</v>
      </c>
    </row>
    <row r="78" spans="1:27" ht="15" customHeight="1" x14ac:dyDescent="0.3">
      <c r="A78" t="s">
        <v>258</v>
      </c>
      <c r="B78" s="20">
        <v>45996</v>
      </c>
      <c r="C78" t="s">
        <v>34</v>
      </c>
      <c r="D78" t="s">
        <v>35</v>
      </c>
      <c r="E78" s="37">
        <v>31</v>
      </c>
      <c r="F78" t="s">
        <v>80</v>
      </c>
      <c r="G78" t="s">
        <v>81</v>
      </c>
      <c r="H78" t="s">
        <v>66</v>
      </c>
      <c r="I78" t="s">
        <v>82</v>
      </c>
      <c r="J78" t="s">
        <v>67</v>
      </c>
      <c r="K78" s="37">
        <v>9</v>
      </c>
      <c r="L78" t="s">
        <v>52</v>
      </c>
      <c r="M78" s="21">
        <v>57400</v>
      </c>
      <c r="N78" s="21">
        <v>771456</v>
      </c>
      <c r="O78" s="21">
        <v>82656</v>
      </c>
      <c r="P78" s="37">
        <v>4</v>
      </c>
      <c r="Q78" t="s">
        <v>42</v>
      </c>
      <c r="R78" s="37">
        <v>19</v>
      </c>
      <c r="S78" s="37">
        <v>27</v>
      </c>
      <c r="T78" t="s">
        <v>175</v>
      </c>
      <c r="U78" t="s">
        <v>63</v>
      </c>
      <c r="V78" t="s">
        <v>69</v>
      </c>
      <c r="W78" t="str">
        <f t="shared" si="5"/>
        <v>31-40</v>
      </c>
      <c r="X78" t="str">
        <f t="shared" si="6"/>
        <v>6-10 yrs</v>
      </c>
      <c r="Y78" t="str">
        <f t="shared" si="7"/>
        <v>Dec</v>
      </c>
      <c r="Z78">
        <f t="shared" si="8"/>
        <v>2025</v>
      </c>
      <c r="AA78">
        <f t="shared" si="9"/>
        <v>0</v>
      </c>
    </row>
    <row r="79" spans="1:27" ht="15" customHeight="1" x14ac:dyDescent="0.3">
      <c r="A79" t="s">
        <v>259</v>
      </c>
      <c r="B79" s="20">
        <v>45730</v>
      </c>
      <c r="C79" t="s">
        <v>241</v>
      </c>
      <c r="D79" t="s">
        <v>48</v>
      </c>
      <c r="E79" s="37">
        <v>36</v>
      </c>
      <c r="F79" t="s">
        <v>97</v>
      </c>
      <c r="G79" t="s">
        <v>98</v>
      </c>
      <c r="H79" t="s">
        <v>38</v>
      </c>
      <c r="I79" t="s">
        <v>39</v>
      </c>
      <c r="J79" t="s">
        <v>134</v>
      </c>
      <c r="K79" s="37">
        <v>13</v>
      </c>
      <c r="L79" t="s">
        <v>52</v>
      </c>
      <c r="M79" s="21">
        <v>37100</v>
      </c>
      <c r="N79" s="21">
        <v>529788</v>
      </c>
      <c r="O79" s="21">
        <v>84588</v>
      </c>
      <c r="P79" s="37">
        <v>2</v>
      </c>
      <c r="Q79" t="s">
        <v>126</v>
      </c>
      <c r="R79" s="37">
        <v>5</v>
      </c>
      <c r="S79" s="37">
        <v>36</v>
      </c>
      <c r="T79" t="s">
        <v>146</v>
      </c>
      <c r="U79" t="s">
        <v>44</v>
      </c>
      <c r="V79" t="s">
        <v>69</v>
      </c>
      <c r="W79" t="str">
        <f t="shared" si="5"/>
        <v>31-40</v>
      </c>
      <c r="X79" t="str">
        <f t="shared" si="6"/>
        <v>11-20 yrs</v>
      </c>
      <c r="Y79" t="str">
        <f t="shared" si="7"/>
        <v>Mar</v>
      </c>
      <c r="Z79">
        <f t="shared" si="8"/>
        <v>2025</v>
      </c>
      <c r="AA79">
        <f t="shared" si="9"/>
        <v>1</v>
      </c>
    </row>
    <row r="80" spans="1:27" ht="15" customHeight="1" x14ac:dyDescent="0.3">
      <c r="A80" t="s">
        <v>260</v>
      </c>
      <c r="B80" s="20">
        <v>45813</v>
      </c>
      <c r="C80" t="s">
        <v>261</v>
      </c>
      <c r="D80" t="s">
        <v>48</v>
      </c>
      <c r="E80" s="37">
        <v>45</v>
      </c>
      <c r="F80" t="s">
        <v>86</v>
      </c>
      <c r="G80" t="s">
        <v>87</v>
      </c>
      <c r="H80" t="s">
        <v>66</v>
      </c>
      <c r="I80" t="s">
        <v>51</v>
      </c>
      <c r="J80" t="s">
        <v>170</v>
      </c>
      <c r="K80" s="37">
        <v>17</v>
      </c>
      <c r="L80" t="s">
        <v>52</v>
      </c>
      <c r="M80" s="21">
        <v>256600</v>
      </c>
      <c r="N80" s="21">
        <v>3294744</v>
      </c>
      <c r="O80" s="21">
        <v>215544</v>
      </c>
      <c r="P80" s="37">
        <v>3</v>
      </c>
      <c r="Q80" t="s">
        <v>126</v>
      </c>
      <c r="R80" s="37">
        <v>17</v>
      </c>
      <c r="S80" s="37">
        <v>7</v>
      </c>
      <c r="T80" t="s">
        <v>62</v>
      </c>
      <c r="U80" t="s">
        <v>44</v>
      </c>
      <c r="V80" t="s">
        <v>45</v>
      </c>
      <c r="W80" t="str">
        <f t="shared" si="5"/>
        <v>41-50</v>
      </c>
      <c r="X80" t="str">
        <f t="shared" si="6"/>
        <v>11-20 yrs</v>
      </c>
      <c r="Y80" t="str">
        <f t="shared" si="7"/>
        <v>Jun</v>
      </c>
      <c r="Z80">
        <f t="shared" si="8"/>
        <v>2025</v>
      </c>
      <c r="AA80">
        <f t="shared" si="9"/>
        <v>1</v>
      </c>
    </row>
    <row r="81" spans="1:27" ht="15" customHeight="1" x14ac:dyDescent="0.3">
      <c r="A81" t="s">
        <v>262</v>
      </c>
      <c r="B81" s="20">
        <v>45793</v>
      </c>
      <c r="C81" t="s">
        <v>263</v>
      </c>
      <c r="D81" t="s">
        <v>48</v>
      </c>
      <c r="E81" s="37">
        <v>22</v>
      </c>
      <c r="F81" t="s">
        <v>57</v>
      </c>
      <c r="G81" t="s">
        <v>58</v>
      </c>
      <c r="H81" t="s">
        <v>118</v>
      </c>
      <c r="I81" t="s">
        <v>82</v>
      </c>
      <c r="J81" t="s">
        <v>119</v>
      </c>
      <c r="K81" s="37">
        <v>17</v>
      </c>
      <c r="L81" t="s">
        <v>52</v>
      </c>
      <c r="M81" s="21">
        <v>62500</v>
      </c>
      <c r="N81" s="21">
        <v>855000</v>
      </c>
      <c r="O81" s="21">
        <v>105000</v>
      </c>
      <c r="P81" s="37">
        <v>2</v>
      </c>
      <c r="Q81" t="s">
        <v>42</v>
      </c>
      <c r="R81" s="37">
        <v>13</v>
      </c>
      <c r="S81" s="37">
        <v>3</v>
      </c>
      <c r="T81" t="s">
        <v>68</v>
      </c>
      <c r="U81" t="s">
        <v>63</v>
      </c>
      <c r="V81" t="s">
        <v>45</v>
      </c>
      <c r="W81" t="str">
        <f t="shared" si="5"/>
        <v>22-30</v>
      </c>
      <c r="X81" t="str">
        <f t="shared" si="6"/>
        <v>11-20 yrs</v>
      </c>
      <c r="Y81" t="str">
        <f t="shared" si="7"/>
        <v>May</v>
      </c>
      <c r="Z81">
        <f t="shared" si="8"/>
        <v>2025</v>
      </c>
      <c r="AA81">
        <f t="shared" si="9"/>
        <v>0</v>
      </c>
    </row>
    <row r="82" spans="1:27" ht="15" customHeight="1" x14ac:dyDescent="0.3">
      <c r="A82" t="s">
        <v>264</v>
      </c>
      <c r="B82" s="20">
        <v>45923</v>
      </c>
      <c r="C82" t="s">
        <v>265</v>
      </c>
      <c r="D82" t="s">
        <v>48</v>
      </c>
      <c r="E82" s="37">
        <v>27</v>
      </c>
      <c r="F82" t="s">
        <v>91</v>
      </c>
      <c r="G82" t="s">
        <v>92</v>
      </c>
      <c r="H82" t="s">
        <v>118</v>
      </c>
      <c r="I82" t="s">
        <v>51</v>
      </c>
      <c r="J82" t="s">
        <v>219</v>
      </c>
      <c r="K82" s="37">
        <v>8</v>
      </c>
      <c r="L82" t="s">
        <v>52</v>
      </c>
      <c r="M82" s="21">
        <v>192600</v>
      </c>
      <c r="N82" s="21">
        <v>2472984</v>
      </c>
      <c r="O82" s="21">
        <v>161784</v>
      </c>
      <c r="P82" s="37">
        <v>4</v>
      </c>
      <c r="Q82" t="s">
        <v>42</v>
      </c>
      <c r="R82" s="37">
        <v>3</v>
      </c>
      <c r="S82" s="37">
        <v>37</v>
      </c>
      <c r="T82" t="s">
        <v>105</v>
      </c>
      <c r="U82" t="s">
        <v>138</v>
      </c>
      <c r="V82" t="s">
        <v>45</v>
      </c>
      <c r="W82" t="str">
        <f t="shared" si="5"/>
        <v>22-30</v>
      </c>
      <c r="X82" t="str">
        <f t="shared" si="6"/>
        <v>6-10 yrs</v>
      </c>
      <c r="Y82" t="str">
        <f t="shared" si="7"/>
        <v>Sep</v>
      </c>
      <c r="Z82">
        <f t="shared" si="8"/>
        <v>2025</v>
      </c>
      <c r="AA82">
        <f t="shared" si="9"/>
        <v>0</v>
      </c>
    </row>
    <row r="83" spans="1:27" ht="15" customHeight="1" x14ac:dyDescent="0.3">
      <c r="A83" t="s">
        <v>266</v>
      </c>
      <c r="B83" s="20">
        <v>45932</v>
      </c>
      <c r="C83" t="s">
        <v>267</v>
      </c>
      <c r="D83" t="s">
        <v>35</v>
      </c>
      <c r="E83" s="37">
        <v>45</v>
      </c>
      <c r="F83" t="s">
        <v>97</v>
      </c>
      <c r="G83" t="s">
        <v>98</v>
      </c>
      <c r="H83" t="s">
        <v>59</v>
      </c>
      <c r="I83" t="s">
        <v>82</v>
      </c>
      <c r="J83" t="s">
        <v>104</v>
      </c>
      <c r="K83" s="37">
        <v>11</v>
      </c>
      <c r="L83" t="s">
        <v>52</v>
      </c>
      <c r="M83" s="21">
        <v>54400</v>
      </c>
      <c r="N83" s="21">
        <v>724608</v>
      </c>
      <c r="O83" s="21">
        <v>71808</v>
      </c>
      <c r="P83" s="37">
        <v>4</v>
      </c>
      <c r="Q83" t="s">
        <v>42</v>
      </c>
      <c r="R83" s="37">
        <v>16</v>
      </c>
      <c r="S83" s="37">
        <v>34</v>
      </c>
      <c r="T83" t="s">
        <v>43</v>
      </c>
      <c r="U83" t="s">
        <v>44</v>
      </c>
      <c r="V83" t="s">
        <v>45</v>
      </c>
      <c r="W83" t="str">
        <f t="shared" si="5"/>
        <v>41-50</v>
      </c>
      <c r="X83" t="str">
        <f t="shared" si="6"/>
        <v>11-20 yrs</v>
      </c>
      <c r="Y83" t="str">
        <f t="shared" si="7"/>
        <v>Oct</v>
      </c>
      <c r="Z83">
        <f t="shared" si="8"/>
        <v>2025</v>
      </c>
      <c r="AA83">
        <f t="shared" si="9"/>
        <v>0</v>
      </c>
    </row>
    <row r="84" spans="1:27" ht="15" customHeight="1" x14ac:dyDescent="0.3">
      <c r="A84" t="s">
        <v>268</v>
      </c>
      <c r="B84" s="20">
        <v>45792</v>
      </c>
      <c r="C84" t="s">
        <v>269</v>
      </c>
      <c r="D84" t="s">
        <v>35</v>
      </c>
      <c r="E84" s="37">
        <v>23</v>
      </c>
      <c r="F84" t="s">
        <v>97</v>
      </c>
      <c r="G84" t="s">
        <v>98</v>
      </c>
      <c r="H84" t="s">
        <v>118</v>
      </c>
      <c r="I84" t="s">
        <v>75</v>
      </c>
      <c r="J84" t="s">
        <v>250</v>
      </c>
      <c r="K84" s="37">
        <v>11</v>
      </c>
      <c r="L84" t="s">
        <v>52</v>
      </c>
      <c r="M84" s="21">
        <v>85600</v>
      </c>
      <c r="N84" s="21">
        <v>1119648</v>
      </c>
      <c r="O84" s="21">
        <v>92448</v>
      </c>
      <c r="P84" s="37">
        <v>4</v>
      </c>
      <c r="Q84" t="s">
        <v>42</v>
      </c>
      <c r="R84" s="37">
        <v>5</v>
      </c>
      <c r="S84" s="37">
        <v>20</v>
      </c>
      <c r="T84" t="s">
        <v>94</v>
      </c>
      <c r="U84" t="s">
        <v>44</v>
      </c>
      <c r="V84" t="s">
        <v>45</v>
      </c>
      <c r="W84" t="str">
        <f t="shared" si="5"/>
        <v>22-30</v>
      </c>
      <c r="X84" t="str">
        <f t="shared" si="6"/>
        <v>11-20 yrs</v>
      </c>
      <c r="Y84" t="str">
        <f t="shared" si="7"/>
        <v>May</v>
      </c>
      <c r="Z84">
        <f t="shared" si="8"/>
        <v>2025</v>
      </c>
      <c r="AA84">
        <f t="shared" si="9"/>
        <v>0</v>
      </c>
    </row>
    <row r="85" spans="1:27" ht="15" customHeight="1" x14ac:dyDescent="0.3">
      <c r="A85" t="s">
        <v>270</v>
      </c>
      <c r="B85" s="20">
        <v>45670</v>
      </c>
      <c r="C85" t="s">
        <v>71</v>
      </c>
      <c r="D85" t="s">
        <v>35</v>
      </c>
      <c r="E85" s="37">
        <v>36</v>
      </c>
      <c r="F85" t="s">
        <v>123</v>
      </c>
      <c r="G85" t="s">
        <v>124</v>
      </c>
      <c r="H85" t="s">
        <v>118</v>
      </c>
      <c r="I85" t="s">
        <v>82</v>
      </c>
      <c r="J85" t="s">
        <v>119</v>
      </c>
      <c r="K85" s="37">
        <v>13</v>
      </c>
      <c r="L85" t="s">
        <v>52</v>
      </c>
      <c r="M85" s="21">
        <v>49700</v>
      </c>
      <c r="N85" s="21">
        <v>650076</v>
      </c>
      <c r="O85" s="21">
        <v>53676</v>
      </c>
      <c r="P85" s="37">
        <v>3</v>
      </c>
      <c r="Q85" t="s">
        <v>42</v>
      </c>
      <c r="R85" s="37">
        <v>2</v>
      </c>
      <c r="S85" s="37">
        <v>7</v>
      </c>
      <c r="T85" t="s">
        <v>129</v>
      </c>
      <c r="U85" t="s">
        <v>63</v>
      </c>
      <c r="V85" t="s">
        <v>45</v>
      </c>
      <c r="W85" t="str">
        <f t="shared" si="5"/>
        <v>31-40</v>
      </c>
      <c r="X85" t="str">
        <f t="shared" si="6"/>
        <v>11-20 yrs</v>
      </c>
      <c r="Y85" t="str">
        <f t="shared" si="7"/>
        <v>Jan</v>
      </c>
      <c r="Z85">
        <f t="shared" si="8"/>
        <v>2025</v>
      </c>
      <c r="AA85">
        <f t="shared" si="9"/>
        <v>0</v>
      </c>
    </row>
    <row r="86" spans="1:27" ht="15" customHeight="1" x14ac:dyDescent="0.3">
      <c r="A86" t="s">
        <v>271</v>
      </c>
      <c r="B86" s="20">
        <v>46000</v>
      </c>
      <c r="C86" t="s">
        <v>272</v>
      </c>
      <c r="D86" t="s">
        <v>35</v>
      </c>
      <c r="E86" s="37">
        <v>52</v>
      </c>
      <c r="F86" t="s">
        <v>49</v>
      </c>
      <c r="G86" t="s">
        <v>50</v>
      </c>
      <c r="H86" t="s">
        <v>74</v>
      </c>
      <c r="I86" t="s">
        <v>39</v>
      </c>
      <c r="J86" t="s">
        <v>152</v>
      </c>
      <c r="K86" s="37">
        <v>9</v>
      </c>
      <c r="L86" t="s">
        <v>52</v>
      </c>
      <c r="M86" s="21">
        <v>46000</v>
      </c>
      <c r="N86" s="21">
        <v>612720</v>
      </c>
      <c r="O86" s="21">
        <v>60720</v>
      </c>
      <c r="P86" s="37">
        <v>2</v>
      </c>
      <c r="Q86" t="s">
        <v>42</v>
      </c>
      <c r="R86" s="37">
        <v>11</v>
      </c>
      <c r="S86" s="37">
        <v>12</v>
      </c>
      <c r="T86" t="s">
        <v>94</v>
      </c>
      <c r="U86" t="s">
        <v>63</v>
      </c>
      <c r="V86" t="s">
        <v>45</v>
      </c>
      <c r="W86" t="str">
        <f t="shared" si="5"/>
        <v>51-58</v>
      </c>
      <c r="X86" t="str">
        <f t="shared" si="6"/>
        <v>6-10 yrs</v>
      </c>
      <c r="Y86" t="str">
        <f t="shared" si="7"/>
        <v>Dec</v>
      </c>
      <c r="Z86">
        <f t="shared" si="8"/>
        <v>2025</v>
      </c>
      <c r="AA86">
        <f t="shared" si="9"/>
        <v>0</v>
      </c>
    </row>
    <row r="87" spans="1:27" ht="15" customHeight="1" x14ac:dyDescent="0.3">
      <c r="A87" t="s">
        <v>273</v>
      </c>
      <c r="B87" s="20">
        <v>45792</v>
      </c>
      <c r="C87" t="s">
        <v>274</v>
      </c>
      <c r="D87" t="s">
        <v>48</v>
      </c>
      <c r="E87" s="37">
        <v>45</v>
      </c>
      <c r="F87" t="s">
        <v>49</v>
      </c>
      <c r="G87" t="s">
        <v>50</v>
      </c>
      <c r="H87" t="s">
        <v>66</v>
      </c>
      <c r="I87" t="s">
        <v>60</v>
      </c>
      <c r="J87" t="s">
        <v>161</v>
      </c>
      <c r="K87" s="37">
        <v>25</v>
      </c>
      <c r="L87" t="s">
        <v>52</v>
      </c>
      <c r="M87" s="21">
        <v>145100</v>
      </c>
      <c r="N87" s="21">
        <v>2019791</v>
      </c>
      <c r="O87" s="21">
        <v>278592</v>
      </c>
      <c r="P87" s="37">
        <v>5</v>
      </c>
      <c r="Q87" t="s">
        <v>42</v>
      </c>
      <c r="R87" s="37">
        <v>17</v>
      </c>
      <c r="S87" s="37">
        <v>18</v>
      </c>
      <c r="T87" t="s">
        <v>53</v>
      </c>
      <c r="U87" t="s">
        <v>44</v>
      </c>
      <c r="V87" t="s">
        <v>69</v>
      </c>
      <c r="W87" t="str">
        <f t="shared" si="5"/>
        <v>41-50</v>
      </c>
      <c r="X87" t="str">
        <f t="shared" si="6"/>
        <v>21-30 yrs</v>
      </c>
      <c r="Y87" t="str">
        <f t="shared" si="7"/>
        <v>May</v>
      </c>
      <c r="Z87">
        <f t="shared" si="8"/>
        <v>2025</v>
      </c>
      <c r="AA87">
        <f t="shared" si="9"/>
        <v>0</v>
      </c>
    </row>
    <row r="88" spans="1:27" ht="15" customHeight="1" x14ac:dyDescent="0.3">
      <c r="A88" t="s">
        <v>275</v>
      </c>
      <c r="B88" s="20">
        <v>45815</v>
      </c>
      <c r="C88" t="s">
        <v>276</v>
      </c>
      <c r="D88" t="s">
        <v>35</v>
      </c>
      <c r="E88" s="37">
        <v>54</v>
      </c>
      <c r="F88" t="s">
        <v>57</v>
      </c>
      <c r="G88" t="s">
        <v>58</v>
      </c>
      <c r="H88" t="s">
        <v>66</v>
      </c>
      <c r="I88" t="s">
        <v>39</v>
      </c>
      <c r="J88" t="s">
        <v>67</v>
      </c>
      <c r="K88" s="37">
        <v>14</v>
      </c>
      <c r="L88" t="s">
        <v>52</v>
      </c>
      <c r="M88" s="21">
        <v>37500</v>
      </c>
      <c r="N88" s="21">
        <v>517499</v>
      </c>
      <c r="O88" s="21">
        <v>67500</v>
      </c>
      <c r="P88" s="37">
        <v>3</v>
      </c>
      <c r="Q88" t="s">
        <v>42</v>
      </c>
      <c r="R88" s="37">
        <v>1</v>
      </c>
      <c r="S88" s="37">
        <v>34</v>
      </c>
      <c r="T88" t="s">
        <v>94</v>
      </c>
      <c r="U88" t="s">
        <v>63</v>
      </c>
      <c r="V88" t="s">
        <v>69</v>
      </c>
      <c r="W88" t="str">
        <f t="shared" si="5"/>
        <v>51-58</v>
      </c>
      <c r="X88" t="str">
        <f t="shared" si="6"/>
        <v>11-20 yrs</v>
      </c>
      <c r="Y88" t="str">
        <f t="shared" si="7"/>
        <v>Jun</v>
      </c>
      <c r="Z88">
        <f t="shared" si="8"/>
        <v>2025</v>
      </c>
      <c r="AA88">
        <f t="shared" si="9"/>
        <v>0</v>
      </c>
    </row>
    <row r="89" spans="1:27" ht="15" customHeight="1" x14ac:dyDescent="0.3">
      <c r="A89" t="s">
        <v>277</v>
      </c>
      <c r="B89" s="20">
        <v>45693</v>
      </c>
      <c r="C89" t="s">
        <v>278</v>
      </c>
      <c r="D89" t="s">
        <v>48</v>
      </c>
      <c r="E89" s="37">
        <v>45</v>
      </c>
      <c r="F89" t="s">
        <v>80</v>
      </c>
      <c r="G89" t="s">
        <v>81</v>
      </c>
      <c r="H89" t="s">
        <v>59</v>
      </c>
      <c r="I89" t="s">
        <v>82</v>
      </c>
      <c r="J89" t="s">
        <v>88</v>
      </c>
      <c r="K89" s="37">
        <v>13</v>
      </c>
      <c r="L89" t="s">
        <v>52</v>
      </c>
      <c r="M89" s="21">
        <v>56000</v>
      </c>
      <c r="N89" s="21">
        <v>766080</v>
      </c>
      <c r="O89" s="21">
        <v>94080</v>
      </c>
      <c r="P89" s="37">
        <v>3</v>
      </c>
      <c r="Q89" t="s">
        <v>42</v>
      </c>
      <c r="R89" s="37">
        <v>5</v>
      </c>
      <c r="S89" s="37">
        <v>40</v>
      </c>
      <c r="T89" t="s">
        <v>94</v>
      </c>
      <c r="U89" t="s">
        <v>44</v>
      </c>
      <c r="V89" t="s">
        <v>45</v>
      </c>
      <c r="W89" t="str">
        <f t="shared" si="5"/>
        <v>41-50</v>
      </c>
      <c r="X89" t="str">
        <f t="shared" si="6"/>
        <v>11-20 yrs</v>
      </c>
      <c r="Y89" t="str">
        <f t="shared" si="7"/>
        <v>Feb</v>
      </c>
      <c r="Z89">
        <f t="shared" si="8"/>
        <v>2025</v>
      </c>
      <c r="AA89">
        <f t="shared" si="9"/>
        <v>0</v>
      </c>
    </row>
    <row r="90" spans="1:27" ht="15" customHeight="1" x14ac:dyDescent="0.3">
      <c r="A90" t="s">
        <v>279</v>
      </c>
      <c r="B90" s="20">
        <v>45923</v>
      </c>
      <c r="C90" t="s">
        <v>280</v>
      </c>
      <c r="D90" t="s">
        <v>35</v>
      </c>
      <c r="E90" s="37">
        <v>29</v>
      </c>
      <c r="F90" t="s">
        <v>86</v>
      </c>
      <c r="G90" t="s">
        <v>87</v>
      </c>
      <c r="H90" t="s">
        <v>59</v>
      </c>
      <c r="I90" t="s">
        <v>39</v>
      </c>
      <c r="J90" t="s">
        <v>141</v>
      </c>
      <c r="K90" s="37">
        <v>2</v>
      </c>
      <c r="L90" t="s">
        <v>52</v>
      </c>
      <c r="M90" s="21">
        <v>28000</v>
      </c>
      <c r="N90" s="21">
        <v>372960</v>
      </c>
      <c r="O90" s="21">
        <v>36960</v>
      </c>
      <c r="P90" s="37">
        <v>3</v>
      </c>
      <c r="Q90" t="s">
        <v>42</v>
      </c>
      <c r="R90" s="37">
        <v>19</v>
      </c>
      <c r="S90" s="37">
        <v>7</v>
      </c>
      <c r="T90" t="s">
        <v>43</v>
      </c>
      <c r="U90" t="s">
        <v>63</v>
      </c>
      <c r="V90" t="s">
        <v>45</v>
      </c>
      <c r="W90" t="str">
        <f t="shared" si="5"/>
        <v>22-30</v>
      </c>
      <c r="X90" t="str">
        <f t="shared" si="6"/>
        <v>0-5 yrs</v>
      </c>
      <c r="Y90" t="str">
        <f t="shared" si="7"/>
        <v>Sep</v>
      </c>
      <c r="Z90">
        <f t="shared" si="8"/>
        <v>2025</v>
      </c>
      <c r="AA90">
        <f t="shared" si="9"/>
        <v>0</v>
      </c>
    </row>
    <row r="91" spans="1:27" ht="15" customHeight="1" x14ac:dyDescent="0.3">
      <c r="A91" t="s">
        <v>281</v>
      </c>
      <c r="B91" s="20">
        <v>45678</v>
      </c>
      <c r="C91" t="s">
        <v>282</v>
      </c>
      <c r="D91" t="s">
        <v>35</v>
      </c>
      <c r="E91" s="37">
        <v>38</v>
      </c>
      <c r="F91" t="s">
        <v>72</v>
      </c>
      <c r="G91" t="s">
        <v>73</v>
      </c>
      <c r="H91" t="s">
        <v>74</v>
      </c>
      <c r="I91" t="s">
        <v>60</v>
      </c>
      <c r="J91" t="s">
        <v>76</v>
      </c>
      <c r="K91" s="37">
        <v>22</v>
      </c>
      <c r="L91" t="s">
        <v>52</v>
      </c>
      <c r="M91" s="21">
        <v>127800</v>
      </c>
      <c r="N91" s="21">
        <v>1840320</v>
      </c>
      <c r="O91" s="21">
        <v>306720</v>
      </c>
      <c r="P91" s="37">
        <v>5</v>
      </c>
      <c r="Q91" t="s">
        <v>42</v>
      </c>
      <c r="R91" s="37">
        <v>20</v>
      </c>
      <c r="S91" s="37">
        <v>19</v>
      </c>
      <c r="T91" t="s">
        <v>43</v>
      </c>
      <c r="U91" t="s">
        <v>44</v>
      </c>
      <c r="V91" t="s">
        <v>45</v>
      </c>
      <c r="W91" t="str">
        <f t="shared" si="5"/>
        <v>31-40</v>
      </c>
      <c r="X91" t="str">
        <f t="shared" si="6"/>
        <v>21-30 yrs</v>
      </c>
      <c r="Y91" t="str">
        <f t="shared" si="7"/>
        <v>Jan</v>
      </c>
      <c r="Z91">
        <f t="shared" si="8"/>
        <v>2025</v>
      </c>
      <c r="AA91">
        <f t="shared" si="9"/>
        <v>0</v>
      </c>
    </row>
    <row r="92" spans="1:27" ht="15" customHeight="1" x14ac:dyDescent="0.3">
      <c r="A92" t="s">
        <v>283</v>
      </c>
      <c r="B92" s="20">
        <v>45813</v>
      </c>
      <c r="C92" t="s">
        <v>284</v>
      </c>
      <c r="D92" t="s">
        <v>48</v>
      </c>
      <c r="E92" s="37">
        <v>55</v>
      </c>
      <c r="F92" t="s">
        <v>123</v>
      </c>
      <c r="G92" t="s">
        <v>124</v>
      </c>
      <c r="H92" t="s">
        <v>66</v>
      </c>
      <c r="I92" t="s">
        <v>39</v>
      </c>
      <c r="J92" t="s">
        <v>93</v>
      </c>
      <c r="K92" s="37">
        <v>8</v>
      </c>
      <c r="L92" t="s">
        <v>52</v>
      </c>
      <c r="M92" s="21">
        <v>49200</v>
      </c>
      <c r="N92" s="21">
        <v>667151</v>
      </c>
      <c r="O92" s="21">
        <v>76752</v>
      </c>
      <c r="P92" s="37">
        <v>3</v>
      </c>
      <c r="Q92" t="s">
        <v>42</v>
      </c>
      <c r="R92" s="37">
        <v>3</v>
      </c>
      <c r="S92" s="37">
        <v>17</v>
      </c>
      <c r="T92" t="s">
        <v>94</v>
      </c>
      <c r="U92" t="s">
        <v>44</v>
      </c>
      <c r="V92" t="s">
        <v>45</v>
      </c>
      <c r="W92" t="str">
        <f t="shared" si="5"/>
        <v>51-58</v>
      </c>
      <c r="X92" t="str">
        <f t="shared" si="6"/>
        <v>6-10 yrs</v>
      </c>
      <c r="Y92" t="str">
        <f t="shared" si="7"/>
        <v>Jun</v>
      </c>
      <c r="Z92">
        <f t="shared" si="8"/>
        <v>2025</v>
      </c>
      <c r="AA92">
        <f t="shared" si="9"/>
        <v>0</v>
      </c>
    </row>
    <row r="93" spans="1:27" ht="15" customHeight="1" x14ac:dyDescent="0.3">
      <c r="A93" t="s">
        <v>285</v>
      </c>
      <c r="B93" s="20">
        <v>45713</v>
      </c>
      <c r="C93" t="s">
        <v>286</v>
      </c>
      <c r="D93" t="s">
        <v>35</v>
      </c>
      <c r="E93" s="37">
        <v>39</v>
      </c>
      <c r="F93" t="s">
        <v>80</v>
      </c>
      <c r="G93" t="s">
        <v>81</v>
      </c>
      <c r="H93" t="s">
        <v>59</v>
      </c>
      <c r="I93" t="s">
        <v>82</v>
      </c>
      <c r="J93" t="s">
        <v>61</v>
      </c>
      <c r="K93" s="37">
        <v>15</v>
      </c>
      <c r="L93" t="s">
        <v>52</v>
      </c>
      <c r="M93" s="21">
        <v>59500</v>
      </c>
      <c r="N93" s="21">
        <v>785400</v>
      </c>
      <c r="O93" s="21">
        <v>71400</v>
      </c>
      <c r="P93" s="37">
        <v>1</v>
      </c>
      <c r="Q93" t="s">
        <v>126</v>
      </c>
      <c r="R93" s="37">
        <v>2</v>
      </c>
      <c r="S93" s="37">
        <v>17</v>
      </c>
      <c r="T93" t="s">
        <v>53</v>
      </c>
      <c r="U93" t="s">
        <v>63</v>
      </c>
      <c r="V93" t="s">
        <v>45</v>
      </c>
      <c r="W93" t="str">
        <f t="shared" si="5"/>
        <v>31-40</v>
      </c>
      <c r="X93" t="str">
        <f t="shared" si="6"/>
        <v>11-20 yrs</v>
      </c>
      <c r="Y93" t="str">
        <f t="shared" si="7"/>
        <v>Feb</v>
      </c>
      <c r="Z93">
        <f t="shared" si="8"/>
        <v>2025</v>
      </c>
      <c r="AA93">
        <f t="shared" si="9"/>
        <v>1</v>
      </c>
    </row>
    <row r="94" spans="1:27" ht="15" customHeight="1" x14ac:dyDescent="0.3">
      <c r="A94" t="s">
        <v>287</v>
      </c>
      <c r="B94" s="20">
        <v>46004</v>
      </c>
      <c r="C94" t="s">
        <v>288</v>
      </c>
      <c r="D94" t="s">
        <v>35</v>
      </c>
      <c r="E94" s="37">
        <v>52</v>
      </c>
      <c r="F94" t="s">
        <v>108</v>
      </c>
      <c r="G94" t="s">
        <v>109</v>
      </c>
      <c r="H94" t="s">
        <v>59</v>
      </c>
      <c r="I94" t="s">
        <v>75</v>
      </c>
      <c r="J94" t="s">
        <v>88</v>
      </c>
      <c r="K94" s="37">
        <v>19</v>
      </c>
      <c r="L94" t="s">
        <v>52</v>
      </c>
      <c r="M94" s="21">
        <v>78900</v>
      </c>
      <c r="N94" s="21">
        <v>1013076</v>
      </c>
      <c r="O94" s="21">
        <v>66276</v>
      </c>
      <c r="P94" s="37">
        <v>3</v>
      </c>
      <c r="Q94" t="s">
        <v>126</v>
      </c>
      <c r="R94" s="37">
        <v>1</v>
      </c>
      <c r="S94" s="37">
        <v>3</v>
      </c>
      <c r="T94" t="s">
        <v>175</v>
      </c>
      <c r="U94" t="s">
        <v>44</v>
      </c>
      <c r="V94" t="s">
        <v>69</v>
      </c>
      <c r="W94" t="str">
        <f t="shared" si="5"/>
        <v>51-58</v>
      </c>
      <c r="X94" t="str">
        <f t="shared" si="6"/>
        <v>11-20 yrs</v>
      </c>
      <c r="Y94" t="str">
        <f t="shared" si="7"/>
        <v>Dec</v>
      </c>
      <c r="Z94">
        <f t="shared" si="8"/>
        <v>2025</v>
      </c>
      <c r="AA94">
        <f t="shared" si="9"/>
        <v>1</v>
      </c>
    </row>
    <row r="95" spans="1:27" ht="15" customHeight="1" x14ac:dyDescent="0.3">
      <c r="A95" t="s">
        <v>289</v>
      </c>
      <c r="B95" s="20">
        <v>45903</v>
      </c>
      <c r="C95" t="s">
        <v>261</v>
      </c>
      <c r="D95" t="s">
        <v>48</v>
      </c>
      <c r="E95" s="37">
        <v>50</v>
      </c>
      <c r="F95" t="s">
        <v>97</v>
      </c>
      <c r="G95" t="s">
        <v>98</v>
      </c>
      <c r="H95" t="s">
        <v>38</v>
      </c>
      <c r="I95" t="s">
        <v>39</v>
      </c>
      <c r="J95" t="s">
        <v>134</v>
      </c>
      <c r="K95" s="37">
        <v>27</v>
      </c>
      <c r="L95" t="s">
        <v>52</v>
      </c>
      <c r="M95" s="21">
        <v>35100</v>
      </c>
      <c r="N95" s="21">
        <v>475955</v>
      </c>
      <c r="O95" s="21">
        <v>54756</v>
      </c>
      <c r="P95" s="37">
        <v>3</v>
      </c>
      <c r="Q95" t="s">
        <v>42</v>
      </c>
      <c r="R95" s="37">
        <v>10</v>
      </c>
      <c r="S95" s="37">
        <v>30</v>
      </c>
      <c r="T95" t="s">
        <v>77</v>
      </c>
      <c r="U95" t="s">
        <v>44</v>
      </c>
      <c r="V95" t="s">
        <v>69</v>
      </c>
      <c r="W95" t="str">
        <f t="shared" si="5"/>
        <v>41-50</v>
      </c>
      <c r="X95" t="str">
        <f t="shared" si="6"/>
        <v>21-30 yrs</v>
      </c>
      <c r="Y95" t="str">
        <f t="shared" si="7"/>
        <v>Sep</v>
      </c>
      <c r="Z95">
        <f t="shared" si="8"/>
        <v>2025</v>
      </c>
      <c r="AA95">
        <f t="shared" si="9"/>
        <v>0</v>
      </c>
    </row>
    <row r="96" spans="1:27" ht="15" customHeight="1" x14ac:dyDescent="0.3">
      <c r="A96" t="s">
        <v>290</v>
      </c>
      <c r="B96" s="20">
        <v>45843</v>
      </c>
      <c r="C96" t="s">
        <v>201</v>
      </c>
      <c r="D96" t="s">
        <v>35</v>
      </c>
      <c r="E96" s="37">
        <v>28</v>
      </c>
      <c r="F96" t="s">
        <v>108</v>
      </c>
      <c r="G96" t="s">
        <v>109</v>
      </c>
      <c r="H96" t="s">
        <v>66</v>
      </c>
      <c r="I96" t="s">
        <v>51</v>
      </c>
      <c r="J96" t="s">
        <v>161</v>
      </c>
      <c r="K96" s="37">
        <v>4</v>
      </c>
      <c r="L96" t="s">
        <v>52</v>
      </c>
      <c r="M96" s="21">
        <v>234800</v>
      </c>
      <c r="N96" s="21">
        <v>3212064</v>
      </c>
      <c r="O96" s="21">
        <v>394464</v>
      </c>
      <c r="P96" s="37">
        <v>4</v>
      </c>
      <c r="Q96" t="s">
        <v>42</v>
      </c>
      <c r="R96" s="37">
        <v>4</v>
      </c>
      <c r="S96" s="37">
        <v>34</v>
      </c>
      <c r="T96" t="s">
        <v>94</v>
      </c>
      <c r="U96" t="s">
        <v>63</v>
      </c>
      <c r="V96" t="s">
        <v>45</v>
      </c>
      <c r="W96" t="str">
        <f t="shared" si="5"/>
        <v>22-30</v>
      </c>
      <c r="X96" t="str">
        <f t="shared" si="6"/>
        <v>0-5 yrs</v>
      </c>
      <c r="Y96" t="str">
        <f t="shared" si="7"/>
        <v>Jul</v>
      </c>
      <c r="Z96">
        <f t="shared" si="8"/>
        <v>2025</v>
      </c>
      <c r="AA96">
        <f t="shared" si="9"/>
        <v>0</v>
      </c>
    </row>
    <row r="97" spans="1:27" ht="15" customHeight="1" x14ac:dyDescent="0.3">
      <c r="A97" t="s">
        <v>291</v>
      </c>
      <c r="B97" s="20">
        <v>45733</v>
      </c>
      <c r="C97" t="s">
        <v>292</v>
      </c>
      <c r="D97" t="s">
        <v>35</v>
      </c>
      <c r="E97" s="37">
        <v>48</v>
      </c>
      <c r="F97" t="s">
        <v>36</v>
      </c>
      <c r="G97" t="s">
        <v>37</v>
      </c>
      <c r="H97" t="s">
        <v>38</v>
      </c>
      <c r="I97" t="s">
        <v>39</v>
      </c>
      <c r="J97" t="s">
        <v>134</v>
      </c>
      <c r="K97" s="37">
        <v>22</v>
      </c>
      <c r="L97" t="s">
        <v>52</v>
      </c>
      <c r="M97" s="21">
        <v>37200</v>
      </c>
      <c r="N97" s="21">
        <v>482112</v>
      </c>
      <c r="O97" s="21">
        <v>35712</v>
      </c>
      <c r="P97" s="37">
        <v>1</v>
      </c>
      <c r="Q97" t="s">
        <v>42</v>
      </c>
      <c r="R97" s="37">
        <v>20</v>
      </c>
      <c r="S97" s="37">
        <v>17</v>
      </c>
      <c r="T97" t="s">
        <v>146</v>
      </c>
      <c r="U97" t="s">
        <v>54</v>
      </c>
      <c r="V97" t="s">
        <v>45</v>
      </c>
      <c r="W97" t="str">
        <f t="shared" si="5"/>
        <v>41-50</v>
      </c>
      <c r="X97" t="str">
        <f t="shared" si="6"/>
        <v>21-30 yrs</v>
      </c>
      <c r="Y97" t="str">
        <f t="shared" si="7"/>
        <v>Mar</v>
      </c>
      <c r="Z97">
        <f t="shared" si="8"/>
        <v>2025</v>
      </c>
      <c r="AA97">
        <f t="shared" si="9"/>
        <v>0</v>
      </c>
    </row>
    <row r="98" spans="1:27" ht="15" customHeight="1" x14ac:dyDescent="0.3">
      <c r="A98" t="s">
        <v>293</v>
      </c>
      <c r="B98" s="20">
        <v>45667</v>
      </c>
      <c r="C98" t="s">
        <v>294</v>
      </c>
      <c r="D98" t="s">
        <v>35</v>
      </c>
      <c r="E98" s="37">
        <v>55</v>
      </c>
      <c r="F98" t="s">
        <v>123</v>
      </c>
      <c r="G98" t="s">
        <v>124</v>
      </c>
      <c r="H98" t="s">
        <v>38</v>
      </c>
      <c r="I98" t="s">
        <v>75</v>
      </c>
      <c r="J98" t="s">
        <v>40</v>
      </c>
      <c r="K98" s="37">
        <v>8</v>
      </c>
      <c r="L98" t="s">
        <v>52</v>
      </c>
      <c r="M98" s="21">
        <v>101400</v>
      </c>
      <c r="N98" s="21">
        <v>1350648</v>
      </c>
      <c r="O98" s="21">
        <v>133848</v>
      </c>
      <c r="P98" s="37">
        <v>5</v>
      </c>
      <c r="Q98" t="s">
        <v>126</v>
      </c>
      <c r="R98" s="37">
        <v>16</v>
      </c>
      <c r="S98" s="37">
        <v>8</v>
      </c>
      <c r="T98" t="s">
        <v>175</v>
      </c>
      <c r="U98" t="s">
        <v>63</v>
      </c>
      <c r="V98" t="s">
        <v>69</v>
      </c>
      <c r="W98" t="str">
        <f t="shared" si="5"/>
        <v>51-58</v>
      </c>
      <c r="X98" t="str">
        <f t="shared" si="6"/>
        <v>6-10 yrs</v>
      </c>
      <c r="Y98" t="str">
        <f t="shared" si="7"/>
        <v>Jan</v>
      </c>
      <c r="Z98">
        <f t="shared" si="8"/>
        <v>2025</v>
      </c>
      <c r="AA98">
        <f t="shared" si="9"/>
        <v>1</v>
      </c>
    </row>
    <row r="99" spans="1:27" ht="15" customHeight="1" x14ac:dyDescent="0.3">
      <c r="A99" t="s">
        <v>295</v>
      </c>
      <c r="B99" s="20">
        <v>45740</v>
      </c>
      <c r="C99" t="s">
        <v>296</v>
      </c>
      <c r="D99" t="s">
        <v>48</v>
      </c>
      <c r="E99" s="37">
        <v>55</v>
      </c>
      <c r="F99" t="s">
        <v>72</v>
      </c>
      <c r="G99" t="s">
        <v>73</v>
      </c>
      <c r="H99" t="s">
        <v>118</v>
      </c>
      <c r="I99" t="s">
        <v>75</v>
      </c>
      <c r="J99" t="s">
        <v>250</v>
      </c>
      <c r="K99" s="37">
        <v>27</v>
      </c>
      <c r="L99" t="s">
        <v>52</v>
      </c>
      <c r="M99" s="21">
        <v>97100</v>
      </c>
      <c r="N99" s="21">
        <v>1246764</v>
      </c>
      <c r="O99" s="21">
        <v>81564</v>
      </c>
      <c r="P99" s="37">
        <v>5</v>
      </c>
      <c r="Q99" t="s">
        <v>42</v>
      </c>
      <c r="R99" s="37">
        <v>7</v>
      </c>
      <c r="S99" s="37">
        <v>12</v>
      </c>
      <c r="T99" t="s">
        <v>77</v>
      </c>
      <c r="U99" t="s">
        <v>44</v>
      </c>
      <c r="V99" t="s">
        <v>45</v>
      </c>
      <c r="W99" t="str">
        <f t="shared" si="5"/>
        <v>51-58</v>
      </c>
      <c r="X99" t="str">
        <f t="shared" si="6"/>
        <v>21-30 yrs</v>
      </c>
      <c r="Y99" t="str">
        <f t="shared" si="7"/>
        <v>Mar</v>
      </c>
      <c r="Z99">
        <f t="shared" si="8"/>
        <v>2025</v>
      </c>
      <c r="AA99">
        <f t="shared" si="9"/>
        <v>0</v>
      </c>
    </row>
    <row r="100" spans="1:27" ht="15" customHeight="1" x14ac:dyDescent="0.3">
      <c r="A100" t="s">
        <v>297</v>
      </c>
      <c r="B100" s="20">
        <v>45823</v>
      </c>
      <c r="C100" t="s">
        <v>186</v>
      </c>
      <c r="D100" t="s">
        <v>35</v>
      </c>
      <c r="E100" s="37">
        <v>41</v>
      </c>
      <c r="F100" t="s">
        <v>36</v>
      </c>
      <c r="G100" t="s">
        <v>37</v>
      </c>
      <c r="H100" t="s">
        <v>66</v>
      </c>
      <c r="I100" t="s">
        <v>82</v>
      </c>
      <c r="J100" t="s">
        <v>149</v>
      </c>
      <c r="K100" s="37">
        <v>10</v>
      </c>
      <c r="L100" t="s">
        <v>120</v>
      </c>
      <c r="M100" s="21">
        <v>77600</v>
      </c>
      <c r="N100" s="21">
        <v>1089504</v>
      </c>
      <c r="O100" s="21">
        <v>158304</v>
      </c>
      <c r="P100" s="37">
        <v>3</v>
      </c>
      <c r="Q100" t="s">
        <v>42</v>
      </c>
      <c r="R100" s="37">
        <v>4</v>
      </c>
      <c r="S100" s="37">
        <v>29</v>
      </c>
      <c r="T100" t="s">
        <v>43</v>
      </c>
      <c r="U100" t="s">
        <v>63</v>
      </c>
      <c r="V100" t="s">
        <v>69</v>
      </c>
      <c r="W100" t="str">
        <f t="shared" si="5"/>
        <v>41-50</v>
      </c>
      <c r="X100" t="str">
        <f t="shared" si="6"/>
        <v>6-10 yrs</v>
      </c>
      <c r="Y100" t="str">
        <f t="shared" si="7"/>
        <v>Jun</v>
      </c>
      <c r="Z100">
        <f t="shared" si="8"/>
        <v>2025</v>
      </c>
      <c r="AA100">
        <f t="shared" si="9"/>
        <v>0</v>
      </c>
    </row>
    <row r="101" spans="1:27" ht="15" customHeight="1" x14ac:dyDescent="0.3">
      <c r="A101" t="s">
        <v>298</v>
      </c>
      <c r="B101" s="20">
        <v>45710</v>
      </c>
      <c r="C101" t="s">
        <v>243</v>
      </c>
      <c r="D101" t="s">
        <v>35</v>
      </c>
      <c r="E101" s="37">
        <v>46</v>
      </c>
      <c r="F101" t="s">
        <v>91</v>
      </c>
      <c r="G101" t="s">
        <v>92</v>
      </c>
      <c r="H101" t="s">
        <v>66</v>
      </c>
      <c r="I101" t="s">
        <v>39</v>
      </c>
      <c r="J101" t="s">
        <v>161</v>
      </c>
      <c r="K101" s="37">
        <v>3</v>
      </c>
      <c r="L101" t="s">
        <v>52</v>
      </c>
      <c r="M101" s="21">
        <v>46600</v>
      </c>
      <c r="N101" s="21">
        <v>643080</v>
      </c>
      <c r="O101" s="21">
        <v>83880</v>
      </c>
      <c r="P101" s="37">
        <v>4</v>
      </c>
      <c r="Q101" t="s">
        <v>126</v>
      </c>
      <c r="R101" s="37">
        <v>17</v>
      </c>
      <c r="S101" s="37">
        <v>9</v>
      </c>
      <c r="T101" t="s">
        <v>146</v>
      </c>
      <c r="U101" t="s">
        <v>44</v>
      </c>
      <c r="V101" t="s">
        <v>69</v>
      </c>
      <c r="W101" t="str">
        <f t="shared" si="5"/>
        <v>41-50</v>
      </c>
      <c r="X101" t="str">
        <f t="shared" si="6"/>
        <v>0-5 yrs</v>
      </c>
      <c r="Y101" t="str">
        <f t="shared" si="7"/>
        <v>Feb</v>
      </c>
      <c r="Z101">
        <f t="shared" si="8"/>
        <v>2025</v>
      </c>
      <c r="AA101">
        <f t="shared" si="9"/>
        <v>1</v>
      </c>
    </row>
    <row r="102" spans="1:27" ht="15" customHeight="1" x14ac:dyDescent="0.3">
      <c r="A102" t="s">
        <v>299</v>
      </c>
      <c r="B102" s="20">
        <v>45742</v>
      </c>
      <c r="C102" t="s">
        <v>300</v>
      </c>
      <c r="D102" t="s">
        <v>35</v>
      </c>
      <c r="E102" s="37">
        <v>32</v>
      </c>
      <c r="F102" t="s">
        <v>49</v>
      </c>
      <c r="G102" t="s">
        <v>50</v>
      </c>
      <c r="H102" t="s">
        <v>66</v>
      </c>
      <c r="I102" t="s">
        <v>60</v>
      </c>
      <c r="J102" t="s">
        <v>161</v>
      </c>
      <c r="K102" s="37">
        <v>24</v>
      </c>
      <c r="L102" t="s">
        <v>52</v>
      </c>
      <c r="M102" s="21">
        <v>159900</v>
      </c>
      <c r="N102" s="21">
        <v>2129868</v>
      </c>
      <c r="O102" s="21">
        <v>211068</v>
      </c>
      <c r="P102" s="37">
        <v>3</v>
      </c>
      <c r="Q102" t="s">
        <v>42</v>
      </c>
      <c r="R102" s="37">
        <v>19</v>
      </c>
      <c r="S102" s="37">
        <v>20</v>
      </c>
      <c r="T102" t="s">
        <v>105</v>
      </c>
      <c r="U102" t="s">
        <v>54</v>
      </c>
      <c r="V102" t="s">
        <v>45</v>
      </c>
      <c r="W102" t="str">
        <f t="shared" si="5"/>
        <v>31-40</v>
      </c>
      <c r="X102" t="str">
        <f t="shared" si="6"/>
        <v>21-30 yrs</v>
      </c>
      <c r="Y102" t="str">
        <f t="shared" si="7"/>
        <v>Mar</v>
      </c>
      <c r="Z102">
        <f t="shared" si="8"/>
        <v>2025</v>
      </c>
      <c r="AA102">
        <f t="shared" si="9"/>
        <v>0</v>
      </c>
    </row>
    <row r="103" spans="1:27" ht="15" customHeight="1" x14ac:dyDescent="0.3">
      <c r="A103" t="s">
        <v>301</v>
      </c>
      <c r="B103" s="20">
        <v>45709</v>
      </c>
      <c r="C103" t="s">
        <v>302</v>
      </c>
      <c r="D103" t="s">
        <v>48</v>
      </c>
      <c r="E103" s="37">
        <v>33</v>
      </c>
      <c r="F103" t="s">
        <v>91</v>
      </c>
      <c r="G103" t="s">
        <v>92</v>
      </c>
      <c r="H103" t="s">
        <v>66</v>
      </c>
      <c r="I103" t="s">
        <v>75</v>
      </c>
      <c r="J103" t="s">
        <v>67</v>
      </c>
      <c r="K103" s="37">
        <v>29</v>
      </c>
      <c r="L103" t="s">
        <v>41</v>
      </c>
      <c r="M103" s="21">
        <v>111500</v>
      </c>
      <c r="N103" s="21">
        <v>1565460</v>
      </c>
      <c r="O103" s="21">
        <v>227460</v>
      </c>
      <c r="P103" s="37">
        <v>4</v>
      </c>
      <c r="Q103" t="s">
        <v>42</v>
      </c>
      <c r="R103" s="37">
        <v>10</v>
      </c>
      <c r="S103" s="37">
        <v>24</v>
      </c>
      <c r="T103" t="s">
        <v>43</v>
      </c>
      <c r="U103" t="s">
        <v>63</v>
      </c>
      <c r="V103" t="s">
        <v>45</v>
      </c>
      <c r="W103" t="str">
        <f t="shared" si="5"/>
        <v>31-40</v>
      </c>
      <c r="X103" t="str">
        <f t="shared" si="6"/>
        <v>21-30 yrs</v>
      </c>
      <c r="Y103" t="str">
        <f t="shared" si="7"/>
        <v>Feb</v>
      </c>
      <c r="Z103">
        <f t="shared" si="8"/>
        <v>2025</v>
      </c>
      <c r="AA103">
        <f t="shared" si="9"/>
        <v>0</v>
      </c>
    </row>
    <row r="104" spans="1:27" ht="15" customHeight="1" x14ac:dyDescent="0.3">
      <c r="A104" t="s">
        <v>303</v>
      </c>
      <c r="B104" s="20">
        <v>45870</v>
      </c>
      <c r="C104" t="s">
        <v>156</v>
      </c>
      <c r="D104" t="s">
        <v>48</v>
      </c>
      <c r="E104" s="37">
        <v>44</v>
      </c>
      <c r="F104" t="s">
        <v>72</v>
      </c>
      <c r="G104" t="s">
        <v>73</v>
      </c>
      <c r="H104" t="s">
        <v>66</v>
      </c>
      <c r="I104" t="s">
        <v>82</v>
      </c>
      <c r="J104" t="s">
        <v>67</v>
      </c>
      <c r="K104" s="37">
        <v>28</v>
      </c>
      <c r="L104" t="s">
        <v>52</v>
      </c>
      <c r="M104" s="21">
        <v>69200</v>
      </c>
      <c r="N104" s="21">
        <v>888528</v>
      </c>
      <c r="O104" s="21">
        <v>58128</v>
      </c>
      <c r="P104" s="37">
        <v>3</v>
      </c>
      <c r="Q104" t="s">
        <v>126</v>
      </c>
      <c r="R104" s="37">
        <v>11</v>
      </c>
      <c r="S104" s="37">
        <v>24</v>
      </c>
      <c r="T104" t="s">
        <v>146</v>
      </c>
      <c r="U104" t="s">
        <v>44</v>
      </c>
      <c r="V104" t="s">
        <v>69</v>
      </c>
      <c r="W104" t="str">
        <f t="shared" si="5"/>
        <v>41-50</v>
      </c>
      <c r="X104" t="str">
        <f t="shared" si="6"/>
        <v>21-30 yrs</v>
      </c>
      <c r="Y104" t="str">
        <f t="shared" si="7"/>
        <v>Aug</v>
      </c>
      <c r="Z104">
        <f t="shared" si="8"/>
        <v>2025</v>
      </c>
      <c r="AA104">
        <f t="shared" si="9"/>
        <v>1</v>
      </c>
    </row>
    <row r="105" spans="1:27" ht="15" customHeight="1" x14ac:dyDescent="0.3">
      <c r="A105" t="s">
        <v>304</v>
      </c>
      <c r="B105" s="20">
        <v>45956</v>
      </c>
      <c r="C105" t="s">
        <v>305</v>
      </c>
      <c r="D105" t="s">
        <v>48</v>
      </c>
      <c r="E105" s="37">
        <v>25</v>
      </c>
      <c r="F105" t="s">
        <v>72</v>
      </c>
      <c r="G105" t="s">
        <v>73</v>
      </c>
      <c r="H105" t="s">
        <v>38</v>
      </c>
      <c r="I105" t="s">
        <v>60</v>
      </c>
      <c r="J105" t="s">
        <v>134</v>
      </c>
      <c r="K105" s="37">
        <v>10</v>
      </c>
      <c r="L105" t="s">
        <v>52</v>
      </c>
      <c r="M105" s="21">
        <v>149100</v>
      </c>
      <c r="N105" s="21">
        <v>2093363</v>
      </c>
      <c r="O105" s="21">
        <v>304164</v>
      </c>
      <c r="P105" s="37">
        <v>4</v>
      </c>
      <c r="Q105" t="s">
        <v>42</v>
      </c>
      <c r="R105" s="37">
        <v>15</v>
      </c>
      <c r="S105" s="37">
        <v>12</v>
      </c>
      <c r="T105" t="s">
        <v>175</v>
      </c>
      <c r="U105" t="s">
        <v>63</v>
      </c>
      <c r="V105" t="s">
        <v>69</v>
      </c>
      <c r="W105" t="str">
        <f t="shared" si="5"/>
        <v>22-30</v>
      </c>
      <c r="X105" t="str">
        <f t="shared" si="6"/>
        <v>6-10 yrs</v>
      </c>
      <c r="Y105" t="str">
        <f t="shared" si="7"/>
        <v>Oct</v>
      </c>
      <c r="Z105">
        <f t="shared" si="8"/>
        <v>2025</v>
      </c>
      <c r="AA105">
        <f t="shared" si="9"/>
        <v>0</v>
      </c>
    </row>
    <row r="106" spans="1:27" ht="15" customHeight="1" x14ac:dyDescent="0.3">
      <c r="A106" t="s">
        <v>306</v>
      </c>
      <c r="B106" s="20">
        <v>45783</v>
      </c>
      <c r="C106" t="s">
        <v>307</v>
      </c>
      <c r="D106" t="s">
        <v>35</v>
      </c>
      <c r="E106" s="37">
        <v>35</v>
      </c>
      <c r="F106" t="s">
        <v>91</v>
      </c>
      <c r="G106" t="s">
        <v>92</v>
      </c>
      <c r="H106" t="s">
        <v>118</v>
      </c>
      <c r="I106" t="s">
        <v>82</v>
      </c>
      <c r="J106" t="s">
        <v>182</v>
      </c>
      <c r="K106" s="37">
        <v>15</v>
      </c>
      <c r="L106" t="s">
        <v>52</v>
      </c>
      <c r="M106" s="21">
        <v>50700</v>
      </c>
      <c r="N106" s="21">
        <v>717912</v>
      </c>
      <c r="O106" s="21">
        <v>109512</v>
      </c>
      <c r="P106" s="37">
        <v>5</v>
      </c>
      <c r="Q106" t="s">
        <v>42</v>
      </c>
      <c r="R106" s="37">
        <v>3</v>
      </c>
      <c r="S106" s="37">
        <v>19</v>
      </c>
      <c r="T106" t="s">
        <v>129</v>
      </c>
      <c r="U106" t="s">
        <v>54</v>
      </c>
      <c r="V106" t="s">
        <v>45</v>
      </c>
      <c r="W106" t="str">
        <f t="shared" si="5"/>
        <v>31-40</v>
      </c>
      <c r="X106" t="str">
        <f t="shared" si="6"/>
        <v>11-20 yrs</v>
      </c>
      <c r="Y106" t="str">
        <f t="shared" si="7"/>
        <v>May</v>
      </c>
      <c r="Z106">
        <f t="shared" si="8"/>
        <v>2025</v>
      </c>
      <c r="AA106">
        <f t="shared" si="9"/>
        <v>0</v>
      </c>
    </row>
    <row r="107" spans="1:27" ht="15" customHeight="1" x14ac:dyDescent="0.3">
      <c r="A107" t="s">
        <v>308</v>
      </c>
      <c r="B107" s="20">
        <v>45707</v>
      </c>
      <c r="C107" t="s">
        <v>309</v>
      </c>
      <c r="D107" t="s">
        <v>35</v>
      </c>
      <c r="E107" s="37">
        <v>42</v>
      </c>
      <c r="F107" t="s">
        <v>49</v>
      </c>
      <c r="G107" t="s">
        <v>50</v>
      </c>
      <c r="H107" t="s">
        <v>59</v>
      </c>
      <c r="I107" t="s">
        <v>82</v>
      </c>
      <c r="J107" t="s">
        <v>104</v>
      </c>
      <c r="K107" s="37">
        <v>12</v>
      </c>
      <c r="L107" t="s">
        <v>52</v>
      </c>
      <c r="M107" s="21">
        <v>54900</v>
      </c>
      <c r="N107" s="21">
        <v>737856</v>
      </c>
      <c r="O107" s="21">
        <v>79056</v>
      </c>
      <c r="P107" s="37">
        <v>4</v>
      </c>
      <c r="Q107" t="s">
        <v>126</v>
      </c>
      <c r="R107" s="37">
        <v>15</v>
      </c>
      <c r="S107" s="37">
        <v>3</v>
      </c>
      <c r="T107" t="s">
        <v>77</v>
      </c>
      <c r="U107" t="s">
        <v>63</v>
      </c>
      <c r="V107" t="s">
        <v>45</v>
      </c>
      <c r="W107" t="str">
        <f t="shared" si="5"/>
        <v>41-50</v>
      </c>
      <c r="X107" t="str">
        <f t="shared" si="6"/>
        <v>11-20 yrs</v>
      </c>
      <c r="Y107" t="str">
        <f t="shared" si="7"/>
        <v>Feb</v>
      </c>
      <c r="Z107">
        <f t="shared" si="8"/>
        <v>2025</v>
      </c>
      <c r="AA107">
        <f t="shared" si="9"/>
        <v>1</v>
      </c>
    </row>
    <row r="108" spans="1:27" ht="15" customHeight="1" x14ac:dyDescent="0.3">
      <c r="A108" t="s">
        <v>310</v>
      </c>
      <c r="B108" s="20">
        <v>46018</v>
      </c>
      <c r="C108" t="s">
        <v>311</v>
      </c>
      <c r="D108" t="s">
        <v>35</v>
      </c>
      <c r="E108" s="37">
        <v>40</v>
      </c>
      <c r="F108" t="s">
        <v>97</v>
      </c>
      <c r="G108" t="s">
        <v>98</v>
      </c>
      <c r="H108" t="s">
        <v>59</v>
      </c>
      <c r="I108" t="s">
        <v>75</v>
      </c>
      <c r="J108" t="s">
        <v>141</v>
      </c>
      <c r="K108" s="37">
        <v>5</v>
      </c>
      <c r="L108" t="s">
        <v>52</v>
      </c>
      <c r="M108" s="21">
        <v>92200</v>
      </c>
      <c r="N108" s="21">
        <v>1250231</v>
      </c>
      <c r="O108" s="21">
        <v>143832</v>
      </c>
      <c r="P108" s="37">
        <v>3</v>
      </c>
      <c r="Q108" t="s">
        <v>126</v>
      </c>
      <c r="R108" s="37">
        <v>16</v>
      </c>
      <c r="S108" s="37">
        <v>32</v>
      </c>
      <c r="T108" t="s">
        <v>62</v>
      </c>
      <c r="U108" t="s">
        <v>44</v>
      </c>
      <c r="V108" t="s">
        <v>69</v>
      </c>
      <c r="W108" t="str">
        <f t="shared" si="5"/>
        <v>31-40</v>
      </c>
      <c r="X108" t="str">
        <f t="shared" si="6"/>
        <v>0-5 yrs</v>
      </c>
      <c r="Y108" t="str">
        <f t="shared" si="7"/>
        <v>Dec</v>
      </c>
      <c r="Z108">
        <f t="shared" si="8"/>
        <v>2025</v>
      </c>
      <c r="AA108">
        <f t="shared" si="9"/>
        <v>1</v>
      </c>
    </row>
    <row r="109" spans="1:27" ht="15" customHeight="1" x14ac:dyDescent="0.3">
      <c r="A109" t="s">
        <v>312</v>
      </c>
      <c r="B109" s="20">
        <v>45821</v>
      </c>
      <c r="C109" t="s">
        <v>313</v>
      </c>
      <c r="D109" t="s">
        <v>48</v>
      </c>
      <c r="E109" s="37">
        <v>38</v>
      </c>
      <c r="F109" t="s">
        <v>97</v>
      </c>
      <c r="G109" t="s">
        <v>98</v>
      </c>
      <c r="H109" t="s">
        <v>59</v>
      </c>
      <c r="I109" t="s">
        <v>75</v>
      </c>
      <c r="J109" t="s">
        <v>61</v>
      </c>
      <c r="K109" s="37">
        <v>14</v>
      </c>
      <c r="L109" t="s">
        <v>52</v>
      </c>
      <c r="M109" s="21">
        <v>92700</v>
      </c>
      <c r="N109" s="21">
        <v>1234764</v>
      </c>
      <c r="O109" s="21">
        <v>122364</v>
      </c>
      <c r="P109" s="37">
        <v>4</v>
      </c>
      <c r="Q109" t="s">
        <v>42</v>
      </c>
      <c r="R109" s="37">
        <v>19</v>
      </c>
      <c r="S109" s="37">
        <v>9</v>
      </c>
      <c r="T109" t="s">
        <v>62</v>
      </c>
      <c r="U109" t="s">
        <v>44</v>
      </c>
      <c r="V109" t="s">
        <v>45</v>
      </c>
      <c r="W109" t="str">
        <f t="shared" si="5"/>
        <v>31-40</v>
      </c>
      <c r="X109" t="str">
        <f t="shared" si="6"/>
        <v>11-20 yrs</v>
      </c>
      <c r="Y109" t="str">
        <f t="shared" si="7"/>
        <v>Jun</v>
      </c>
      <c r="Z109">
        <f t="shared" si="8"/>
        <v>2025</v>
      </c>
      <c r="AA109">
        <f t="shared" si="9"/>
        <v>0</v>
      </c>
    </row>
    <row r="110" spans="1:27" ht="15" customHeight="1" x14ac:dyDescent="0.3">
      <c r="A110" t="s">
        <v>314</v>
      </c>
      <c r="B110" s="20">
        <v>45904</v>
      </c>
      <c r="C110" t="s">
        <v>315</v>
      </c>
      <c r="D110" t="s">
        <v>48</v>
      </c>
      <c r="E110" s="37">
        <v>40</v>
      </c>
      <c r="F110" t="s">
        <v>49</v>
      </c>
      <c r="G110" t="s">
        <v>50</v>
      </c>
      <c r="H110" t="s">
        <v>118</v>
      </c>
      <c r="I110" t="s">
        <v>39</v>
      </c>
      <c r="J110" t="s">
        <v>219</v>
      </c>
      <c r="K110" s="37">
        <v>28</v>
      </c>
      <c r="L110" t="s">
        <v>52</v>
      </c>
      <c r="M110" s="21">
        <v>34600</v>
      </c>
      <c r="N110" s="21">
        <v>465024</v>
      </c>
      <c r="O110" s="21">
        <v>49824</v>
      </c>
      <c r="P110" s="37">
        <v>5</v>
      </c>
      <c r="Q110" t="s">
        <v>42</v>
      </c>
      <c r="R110" s="37">
        <v>3</v>
      </c>
      <c r="S110" s="37">
        <v>38</v>
      </c>
      <c r="T110" t="s">
        <v>94</v>
      </c>
      <c r="U110" t="s">
        <v>63</v>
      </c>
      <c r="V110" t="s">
        <v>69</v>
      </c>
      <c r="W110" t="str">
        <f t="shared" si="5"/>
        <v>31-40</v>
      </c>
      <c r="X110" t="str">
        <f t="shared" si="6"/>
        <v>21-30 yrs</v>
      </c>
      <c r="Y110" t="str">
        <f t="shared" si="7"/>
        <v>Sep</v>
      </c>
      <c r="Z110">
        <f t="shared" si="8"/>
        <v>2025</v>
      </c>
      <c r="AA110">
        <f t="shared" si="9"/>
        <v>0</v>
      </c>
    </row>
    <row r="111" spans="1:27" ht="15" customHeight="1" x14ac:dyDescent="0.3">
      <c r="A111" t="s">
        <v>316</v>
      </c>
      <c r="B111" s="20">
        <v>45820</v>
      </c>
      <c r="C111" t="s">
        <v>317</v>
      </c>
      <c r="D111" t="s">
        <v>48</v>
      </c>
      <c r="E111" s="37">
        <v>52</v>
      </c>
      <c r="F111" t="s">
        <v>123</v>
      </c>
      <c r="G111" t="s">
        <v>124</v>
      </c>
      <c r="H111" t="s">
        <v>59</v>
      </c>
      <c r="I111" t="s">
        <v>51</v>
      </c>
      <c r="J111" t="s">
        <v>125</v>
      </c>
      <c r="K111" s="37">
        <v>9</v>
      </c>
      <c r="L111" t="s">
        <v>52</v>
      </c>
      <c r="M111" s="21">
        <v>184400</v>
      </c>
      <c r="N111" s="21">
        <v>2411952</v>
      </c>
      <c r="O111" s="21">
        <v>199152</v>
      </c>
      <c r="P111" s="37">
        <v>5</v>
      </c>
      <c r="Q111" t="s">
        <v>42</v>
      </c>
      <c r="R111" s="37">
        <v>15</v>
      </c>
      <c r="S111" s="37">
        <v>15</v>
      </c>
      <c r="T111" t="s">
        <v>43</v>
      </c>
      <c r="U111" t="s">
        <v>44</v>
      </c>
      <c r="V111" t="s">
        <v>45</v>
      </c>
      <c r="W111" t="str">
        <f t="shared" si="5"/>
        <v>51-58</v>
      </c>
      <c r="X111" t="str">
        <f t="shared" si="6"/>
        <v>6-10 yrs</v>
      </c>
      <c r="Y111" t="str">
        <f t="shared" si="7"/>
        <v>Jun</v>
      </c>
      <c r="Z111">
        <f t="shared" si="8"/>
        <v>2025</v>
      </c>
      <c r="AA111">
        <f t="shared" si="9"/>
        <v>0</v>
      </c>
    </row>
    <row r="112" spans="1:27" ht="15" customHeight="1" x14ac:dyDescent="0.3">
      <c r="A112" t="s">
        <v>318</v>
      </c>
      <c r="B112" s="20">
        <v>45883</v>
      </c>
      <c r="C112" t="s">
        <v>319</v>
      </c>
      <c r="D112" t="s">
        <v>35</v>
      </c>
      <c r="E112" s="37">
        <v>41</v>
      </c>
      <c r="F112" t="s">
        <v>86</v>
      </c>
      <c r="G112" t="s">
        <v>87</v>
      </c>
      <c r="H112" t="s">
        <v>118</v>
      </c>
      <c r="I112" t="s">
        <v>39</v>
      </c>
      <c r="J112" t="s">
        <v>137</v>
      </c>
      <c r="K112" s="37">
        <v>17</v>
      </c>
      <c r="L112" t="s">
        <v>52</v>
      </c>
      <c r="M112" s="21">
        <v>32800</v>
      </c>
      <c r="N112" s="21">
        <v>464448</v>
      </c>
      <c r="O112" s="21">
        <v>70848</v>
      </c>
      <c r="P112" s="37">
        <v>1</v>
      </c>
      <c r="Q112" t="s">
        <v>42</v>
      </c>
      <c r="R112" s="37">
        <v>19</v>
      </c>
      <c r="S112" s="37">
        <v>23</v>
      </c>
      <c r="T112" t="s">
        <v>94</v>
      </c>
      <c r="U112" t="s">
        <v>44</v>
      </c>
      <c r="V112" t="s">
        <v>45</v>
      </c>
      <c r="W112" t="str">
        <f t="shared" si="5"/>
        <v>41-50</v>
      </c>
      <c r="X112" t="str">
        <f t="shared" si="6"/>
        <v>11-20 yrs</v>
      </c>
      <c r="Y112" t="str">
        <f t="shared" si="7"/>
        <v>Aug</v>
      </c>
      <c r="Z112">
        <f t="shared" si="8"/>
        <v>2025</v>
      </c>
      <c r="AA112">
        <f t="shared" si="9"/>
        <v>0</v>
      </c>
    </row>
    <row r="113" spans="1:27" ht="15" customHeight="1" x14ac:dyDescent="0.3">
      <c r="A113" t="s">
        <v>320</v>
      </c>
      <c r="B113" s="20">
        <v>45714</v>
      </c>
      <c r="C113" t="s">
        <v>321</v>
      </c>
      <c r="D113" t="s">
        <v>48</v>
      </c>
      <c r="E113" s="37">
        <v>24</v>
      </c>
      <c r="F113" t="s">
        <v>57</v>
      </c>
      <c r="G113" t="s">
        <v>58</v>
      </c>
      <c r="H113" t="s">
        <v>38</v>
      </c>
      <c r="I113" t="s">
        <v>82</v>
      </c>
      <c r="J113" t="s">
        <v>40</v>
      </c>
      <c r="K113" s="37">
        <v>18</v>
      </c>
      <c r="L113" t="s">
        <v>120</v>
      </c>
      <c r="M113" s="21">
        <v>60100</v>
      </c>
      <c r="N113" s="21">
        <v>793320</v>
      </c>
      <c r="O113" s="21">
        <v>72120</v>
      </c>
      <c r="P113" s="37">
        <v>2</v>
      </c>
      <c r="Q113" t="s">
        <v>126</v>
      </c>
      <c r="R113" s="37">
        <v>3</v>
      </c>
      <c r="S113" s="37">
        <v>6</v>
      </c>
      <c r="T113" t="s">
        <v>43</v>
      </c>
      <c r="U113" t="s">
        <v>63</v>
      </c>
      <c r="V113" t="s">
        <v>45</v>
      </c>
      <c r="W113" t="str">
        <f t="shared" si="5"/>
        <v>22-30</v>
      </c>
      <c r="X113" t="str">
        <f t="shared" si="6"/>
        <v>11-20 yrs</v>
      </c>
      <c r="Y113" t="str">
        <f t="shared" si="7"/>
        <v>Feb</v>
      </c>
      <c r="Z113">
        <f t="shared" si="8"/>
        <v>2025</v>
      </c>
      <c r="AA113">
        <f t="shared" si="9"/>
        <v>1</v>
      </c>
    </row>
    <row r="114" spans="1:27" ht="15" customHeight="1" x14ac:dyDescent="0.3">
      <c r="A114" t="s">
        <v>322</v>
      </c>
      <c r="B114" s="20">
        <v>45835</v>
      </c>
      <c r="C114" t="s">
        <v>323</v>
      </c>
      <c r="D114" t="s">
        <v>35</v>
      </c>
      <c r="E114" s="37">
        <v>38</v>
      </c>
      <c r="F114" t="s">
        <v>86</v>
      </c>
      <c r="G114" t="s">
        <v>87</v>
      </c>
      <c r="H114" t="s">
        <v>38</v>
      </c>
      <c r="I114" t="s">
        <v>82</v>
      </c>
      <c r="J114" t="s">
        <v>99</v>
      </c>
      <c r="K114" s="37">
        <v>9</v>
      </c>
      <c r="L114" t="s">
        <v>52</v>
      </c>
      <c r="M114" s="21">
        <v>67500</v>
      </c>
      <c r="N114" s="21">
        <v>955800</v>
      </c>
      <c r="O114" s="21">
        <v>145800</v>
      </c>
      <c r="P114" s="37">
        <v>4</v>
      </c>
      <c r="Q114" t="s">
        <v>42</v>
      </c>
      <c r="R114" s="37">
        <v>15</v>
      </c>
      <c r="S114" s="37">
        <v>38</v>
      </c>
      <c r="T114" t="s">
        <v>43</v>
      </c>
      <c r="U114" t="s">
        <v>44</v>
      </c>
      <c r="V114" t="s">
        <v>45</v>
      </c>
      <c r="W114" t="str">
        <f t="shared" si="5"/>
        <v>31-40</v>
      </c>
      <c r="X114" t="str">
        <f t="shared" si="6"/>
        <v>6-10 yrs</v>
      </c>
      <c r="Y114" t="str">
        <f t="shared" si="7"/>
        <v>Jun</v>
      </c>
      <c r="Z114">
        <f t="shared" si="8"/>
        <v>2025</v>
      </c>
      <c r="AA114">
        <f t="shared" si="9"/>
        <v>0</v>
      </c>
    </row>
    <row r="115" spans="1:27" ht="15" customHeight="1" x14ac:dyDescent="0.3">
      <c r="A115" t="s">
        <v>324</v>
      </c>
      <c r="B115" s="20">
        <v>45659</v>
      </c>
      <c r="C115" t="s">
        <v>311</v>
      </c>
      <c r="D115" t="s">
        <v>35</v>
      </c>
      <c r="E115" s="37">
        <v>53</v>
      </c>
      <c r="F115" t="s">
        <v>57</v>
      </c>
      <c r="G115" t="s">
        <v>58</v>
      </c>
      <c r="H115" t="s">
        <v>118</v>
      </c>
      <c r="I115" t="s">
        <v>82</v>
      </c>
      <c r="J115" t="s">
        <v>137</v>
      </c>
      <c r="K115" s="37">
        <v>13</v>
      </c>
      <c r="L115" t="s">
        <v>52</v>
      </c>
      <c r="M115" s="21">
        <v>44700</v>
      </c>
      <c r="N115" s="21">
        <v>573948</v>
      </c>
      <c r="O115" s="21">
        <v>37548</v>
      </c>
      <c r="P115" s="37">
        <v>4</v>
      </c>
      <c r="Q115" t="s">
        <v>42</v>
      </c>
      <c r="R115" s="37">
        <v>13</v>
      </c>
      <c r="S115" s="37">
        <v>26</v>
      </c>
      <c r="T115" t="s">
        <v>175</v>
      </c>
      <c r="U115" t="s">
        <v>63</v>
      </c>
      <c r="V115" t="s">
        <v>45</v>
      </c>
      <c r="W115" t="str">
        <f t="shared" si="5"/>
        <v>51-58</v>
      </c>
      <c r="X115" t="str">
        <f t="shared" si="6"/>
        <v>11-20 yrs</v>
      </c>
      <c r="Y115" t="str">
        <f t="shared" si="7"/>
        <v>Jan</v>
      </c>
      <c r="Z115">
        <f t="shared" si="8"/>
        <v>2025</v>
      </c>
      <c r="AA115">
        <f t="shared" si="9"/>
        <v>0</v>
      </c>
    </row>
    <row r="116" spans="1:27" ht="15" customHeight="1" x14ac:dyDescent="0.3">
      <c r="A116" t="s">
        <v>325</v>
      </c>
      <c r="B116" s="20">
        <v>45798</v>
      </c>
      <c r="C116" t="s">
        <v>269</v>
      </c>
      <c r="D116" t="s">
        <v>35</v>
      </c>
      <c r="E116" s="37">
        <v>54</v>
      </c>
      <c r="F116" t="s">
        <v>49</v>
      </c>
      <c r="G116" t="s">
        <v>50</v>
      </c>
      <c r="H116" t="s">
        <v>66</v>
      </c>
      <c r="I116" t="s">
        <v>39</v>
      </c>
      <c r="J116" t="s">
        <v>149</v>
      </c>
      <c r="K116" s="37">
        <v>22</v>
      </c>
      <c r="L116" t="s">
        <v>41</v>
      </c>
      <c r="M116" s="21">
        <v>40300</v>
      </c>
      <c r="N116" s="21">
        <v>565812</v>
      </c>
      <c r="O116" s="21">
        <v>82212</v>
      </c>
      <c r="P116" s="37">
        <v>5</v>
      </c>
      <c r="Q116" t="s">
        <v>42</v>
      </c>
      <c r="R116" s="37">
        <v>9</v>
      </c>
      <c r="S116" s="37">
        <v>7</v>
      </c>
      <c r="T116" t="s">
        <v>77</v>
      </c>
      <c r="U116" t="s">
        <v>44</v>
      </c>
      <c r="V116" t="s">
        <v>45</v>
      </c>
      <c r="W116" t="str">
        <f t="shared" si="5"/>
        <v>51-58</v>
      </c>
      <c r="X116" t="str">
        <f t="shared" si="6"/>
        <v>21-30 yrs</v>
      </c>
      <c r="Y116" t="str">
        <f t="shared" si="7"/>
        <v>May</v>
      </c>
      <c r="Z116">
        <f t="shared" si="8"/>
        <v>2025</v>
      </c>
      <c r="AA116">
        <f t="shared" si="9"/>
        <v>0</v>
      </c>
    </row>
    <row r="117" spans="1:27" ht="15" customHeight="1" x14ac:dyDescent="0.3">
      <c r="A117" t="s">
        <v>326</v>
      </c>
      <c r="B117" s="20">
        <v>46007</v>
      </c>
      <c r="C117" t="s">
        <v>327</v>
      </c>
      <c r="D117" t="s">
        <v>35</v>
      </c>
      <c r="E117" s="37">
        <v>36</v>
      </c>
      <c r="F117" t="s">
        <v>72</v>
      </c>
      <c r="G117" t="s">
        <v>73</v>
      </c>
      <c r="H117" t="s">
        <v>66</v>
      </c>
      <c r="I117" t="s">
        <v>82</v>
      </c>
      <c r="J117" t="s">
        <v>149</v>
      </c>
      <c r="K117" s="37">
        <v>1</v>
      </c>
      <c r="L117" t="s">
        <v>52</v>
      </c>
      <c r="M117" s="21">
        <v>75400</v>
      </c>
      <c r="N117" s="21">
        <v>1076712</v>
      </c>
      <c r="O117" s="21">
        <v>171912</v>
      </c>
      <c r="P117" s="37">
        <v>3</v>
      </c>
      <c r="Q117" t="s">
        <v>42</v>
      </c>
      <c r="R117" s="37">
        <v>0</v>
      </c>
      <c r="S117" s="37">
        <v>27</v>
      </c>
      <c r="T117" t="s">
        <v>68</v>
      </c>
      <c r="U117" t="s">
        <v>44</v>
      </c>
      <c r="V117" t="s">
        <v>69</v>
      </c>
      <c r="W117" t="str">
        <f t="shared" si="5"/>
        <v>31-40</v>
      </c>
      <c r="X117" t="str">
        <f t="shared" si="6"/>
        <v>0-5 yrs</v>
      </c>
      <c r="Y117" t="str">
        <f t="shared" si="7"/>
        <v>Dec</v>
      </c>
      <c r="Z117">
        <f t="shared" si="8"/>
        <v>2025</v>
      </c>
      <c r="AA117">
        <f t="shared" si="9"/>
        <v>0</v>
      </c>
    </row>
    <row r="118" spans="1:27" ht="15" customHeight="1" x14ac:dyDescent="0.3">
      <c r="A118" t="s">
        <v>328</v>
      </c>
      <c r="B118" s="20">
        <v>45714</v>
      </c>
      <c r="C118" t="s">
        <v>329</v>
      </c>
      <c r="D118" t="s">
        <v>35</v>
      </c>
      <c r="E118" s="37">
        <v>40</v>
      </c>
      <c r="F118" t="s">
        <v>91</v>
      </c>
      <c r="G118" t="s">
        <v>92</v>
      </c>
      <c r="H118" t="s">
        <v>74</v>
      </c>
      <c r="I118" t="s">
        <v>82</v>
      </c>
      <c r="J118" t="s">
        <v>152</v>
      </c>
      <c r="K118" s="37">
        <v>30</v>
      </c>
      <c r="L118" t="s">
        <v>52</v>
      </c>
      <c r="M118" s="21">
        <v>53300</v>
      </c>
      <c r="N118" s="21">
        <v>741936</v>
      </c>
      <c r="O118" s="21">
        <v>102336</v>
      </c>
      <c r="P118" s="37">
        <v>3</v>
      </c>
      <c r="Q118" t="s">
        <v>42</v>
      </c>
      <c r="R118" s="37">
        <v>4</v>
      </c>
      <c r="S118" s="37">
        <v>24</v>
      </c>
      <c r="T118" t="s">
        <v>105</v>
      </c>
      <c r="U118" t="s">
        <v>63</v>
      </c>
      <c r="V118" t="s">
        <v>45</v>
      </c>
      <c r="W118" t="str">
        <f t="shared" si="5"/>
        <v>31-40</v>
      </c>
      <c r="X118" t="str">
        <f t="shared" si="6"/>
        <v>21-30 yrs</v>
      </c>
      <c r="Y118" t="str">
        <f t="shared" si="7"/>
        <v>Feb</v>
      </c>
      <c r="Z118">
        <f t="shared" si="8"/>
        <v>2025</v>
      </c>
      <c r="AA118">
        <f t="shared" si="9"/>
        <v>0</v>
      </c>
    </row>
    <row r="119" spans="1:27" ht="15" customHeight="1" x14ac:dyDescent="0.3">
      <c r="A119" t="s">
        <v>330</v>
      </c>
      <c r="B119" s="20">
        <v>45801</v>
      </c>
      <c r="C119" t="s">
        <v>331</v>
      </c>
      <c r="D119" t="s">
        <v>35</v>
      </c>
      <c r="E119" s="37">
        <v>49</v>
      </c>
      <c r="F119" t="s">
        <v>91</v>
      </c>
      <c r="G119" t="s">
        <v>92</v>
      </c>
      <c r="H119" t="s">
        <v>74</v>
      </c>
      <c r="I119" t="s">
        <v>82</v>
      </c>
      <c r="J119" t="s">
        <v>83</v>
      </c>
      <c r="K119" s="37">
        <v>27</v>
      </c>
      <c r="L119" t="s">
        <v>52</v>
      </c>
      <c r="M119" s="21">
        <v>61600</v>
      </c>
      <c r="N119" s="21">
        <v>864864</v>
      </c>
      <c r="O119" s="21">
        <v>125664</v>
      </c>
      <c r="P119" s="37">
        <v>4</v>
      </c>
      <c r="Q119" t="s">
        <v>42</v>
      </c>
      <c r="R119" s="37">
        <v>1</v>
      </c>
      <c r="S119" s="37">
        <v>21</v>
      </c>
      <c r="T119" t="s">
        <v>105</v>
      </c>
      <c r="U119" t="s">
        <v>54</v>
      </c>
      <c r="V119" t="s">
        <v>45</v>
      </c>
      <c r="W119" t="str">
        <f t="shared" si="5"/>
        <v>41-50</v>
      </c>
      <c r="X119" t="str">
        <f t="shared" si="6"/>
        <v>21-30 yrs</v>
      </c>
      <c r="Y119" t="str">
        <f t="shared" si="7"/>
        <v>May</v>
      </c>
      <c r="Z119">
        <f t="shared" si="8"/>
        <v>2025</v>
      </c>
      <c r="AA119">
        <f t="shared" si="9"/>
        <v>0</v>
      </c>
    </row>
    <row r="120" spans="1:27" ht="15" customHeight="1" x14ac:dyDescent="0.3">
      <c r="A120" t="s">
        <v>332</v>
      </c>
      <c r="B120" s="20">
        <v>45724</v>
      </c>
      <c r="C120" t="s">
        <v>333</v>
      </c>
      <c r="D120" t="s">
        <v>35</v>
      </c>
      <c r="E120" s="37">
        <v>55</v>
      </c>
      <c r="F120" t="s">
        <v>91</v>
      </c>
      <c r="G120" t="s">
        <v>92</v>
      </c>
      <c r="H120" t="s">
        <v>74</v>
      </c>
      <c r="I120" t="s">
        <v>39</v>
      </c>
      <c r="J120" t="s">
        <v>83</v>
      </c>
      <c r="K120" s="37">
        <v>24</v>
      </c>
      <c r="L120" t="s">
        <v>52</v>
      </c>
      <c r="M120" s="21">
        <v>40800</v>
      </c>
      <c r="N120" s="21">
        <v>567936</v>
      </c>
      <c r="O120" s="21">
        <v>78336</v>
      </c>
      <c r="P120" s="37">
        <v>4</v>
      </c>
      <c r="Q120" t="s">
        <v>42</v>
      </c>
      <c r="R120" s="37">
        <v>2</v>
      </c>
      <c r="S120" s="37">
        <v>32</v>
      </c>
      <c r="T120" t="s">
        <v>53</v>
      </c>
      <c r="U120" t="s">
        <v>63</v>
      </c>
      <c r="V120" t="s">
        <v>69</v>
      </c>
      <c r="W120" t="str">
        <f t="shared" si="5"/>
        <v>51-58</v>
      </c>
      <c r="X120" t="str">
        <f t="shared" si="6"/>
        <v>21-30 yrs</v>
      </c>
      <c r="Y120" t="str">
        <f t="shared" si="7"/>
        <v>Mar</v>
      </c>
      <c r="Z120">
        <f t="shared" si="8"/>
        <v>2025</v>
      </c>
      <c r="AA120">
        <f t="shared" si="9"/>
        <v>0</v>
      </c>
    </row>
    <row r="121" spans="1:27" ht="15" customHeight="1" x14ac:dyDescent="0.3">
      <c r="A121" t="s">
        <v>334</v>
      </c>
      <c r="B121" s="20">
        <v>45729</v>
      </c>
      <c r="C121" t="s">
        <v>218</v>
      </c>
      <c r="D121" t="s">
        <v>35</v>
      </c>
      <c r="E121" s="37">
        <v>27</v>
      </c>
      <c r="F121" t="s">
        <v>91</v>
      </c>
      <c r="G121" t="s">
        <v>92</v>
      </c>
      <c r="H121" t="s">
        <v>59</v>
      </c>
      <c r="I121" t="s">
        <v>51</v>
      </c>
      <c r="J121" t="s">
        <v>61</v>
      </c>
      <c r="K121" s="37">
        <v>3</v>
      </c>
      <c r="L121" t="s">
        <v>41</v>
      </c>
      <c r="M121" s="21">
        <v>180800</v>
      </c>
      <c r="N121" s="21">
        <v>2386560</v>
      </c>
      <c r="O121" s="21">
        <v>216960</v>
      </c>
      <c r="P121" s="37">
        <v>2</v>
      </c>
      <c r="Q121" t="s">
        <v>42</v>
      </c>
      <c r="R121" s="37">
        <v>20</v>
      </c>
      <c r="S121" s="37">
        <v>13</v>
      </c>
      <c r="T121" t="s">
        <v>53</v>
      </c>
      <c r="U121" t="s">
        <v>54</v>
      </c>
      <c r="V121" t="s">
        <v>45</v>
      </c>
      <c r="W121" t="str">
        <f t="shared" si="5"/>
        <v>22-30</v>
      </c>
      <c r="X121" t="str">
        <f t="shared" si="6"/>
        <v>0-5 yrs</v>
      </c>
      <c r="Y121" t="str">
        <f t="shared" si="7"/>
        <v>Mar</v>
      </c>
      <c r="Z121">
        <f t="shared" si="8"/>
        <v>2025</v>
      </c>
      <c r="AA121">
        <f t="shared" si="9"/>
        <v>0</v>
      </c>
    </row>
    <row r="122" spans="1:27" ht="15" customHeight="1" x14ac:dyDescent="0.3">
      <c r="A122" t="s">
        <v>335</v>
      </c>
      <c r="B122" s="20">
        <v>45919</v>
      </c>
      <c r="C122" t="s">
        <v>336</v>
      </c>
      <c r="D122" t="s">
        <v>48</v>
      </c>
      <c r="E122" s="37">
        <v>27</v>
      </c>
      <c r="F122" t="s">
        <v>57</v>
      </c>
      <c r="G122" t="s">
        <v>58</v>
      </c>
      <c r="H122" t="s">
        <v>38</v>
      </c>
      <c r="I122" t="s">
        <v>82</v>
      </c>
      <c r="J122" t="s">
        <v>110</v>
      </c>
      <c r="K122" s="37">
        <v>20</v>
      </c>
      <c r="L122" t="s">
        <v>52</v>
      </c>
      <c r="M122" s="21">
        <v>55100</v>
      </c>
      <c r="N122" s="21">
        <v>793440</v>
      </c>
      <c r="O122" s="21">
        <v>132240</v>
      </c>
      <c r="P122" s="37">
        <v>2</v>
      </c>
      <c r="Q122" t="s">
        <v>42</v>
      </c>
      <c r="R122" s="37">
        <v>7</v>
      </c>
      <c r="S122" s="37">
        <v>23</v>
      </c>
      <c r="T122" t="s">
        <v>129</v>
      </c>
      <c r="U122" t="s">
        <v>54</v>
      </c>
      <c r="V122" t="s">
        <v>69</v>
      </c>
      <c r="W122" t="str">
        <f t="shared" si="5"/>
        <v>22-30</v>
      </c>
      <c r="X122" t="str">
        <f t="shared" si="6"/>
        <v>11-20 yrs</v>
      </c>
      <c r="Y122" t="str">
        <f t="shared" si="7"/>
        <v>Sep</v>
      </c>
      <c r="Z122">
        <f t="shared" si="8"/>
        <v>2025</v>
      </c>
      <c r="AA122">
        <f t="shared" si="9"/>
        <v>0</v>
      </c>
    </row>
    <row r="123" spans="1:27" ht="15" customHeight="1" x14ac:dyDescent="0.3">
      <c r="A123" t="s">
        <v>337</v>
      </c>
      <c r="B123" s="20">
        <v>45681</v>
      </c>
      <c r="C123" t="s">
        <v>338</v>
      </c>
      <c r="D123" t="s">
        <v>48</v>
      </c>
      <c r="E123" s="37">
        <v>40</v>
      </c>
      <c r="F123" t="s">
        <v>91</v>
      </c>
      <c r="G123" t="s">
        <v>92</v>
      </c>
      <c r="H123" t="s">
        <v>74</v>
      </c>
      <c r="I123" t="s">
        <v>51</v>
      </c>
      <c r="J123" t="s">
        <v>152</v>
      </c>
      <c r="K123" s="37">
        <v>26</v>
      </c>
      <c r="L123" t="s">
        <v>52</v>
      </c>
      <c r="M123" s="21">
        <v>241100</v>
      </c>
      <c r="N123" s="21">
        <v>3327179</v>
      </c>
      <c r="O123" s="21">
        <v>433980</v>
      </c>
      <c r="P123" s="37">
        <v>3</v>
      </c>
      <c r="Q123" t="s">
        <v>42</v>
      </c>
      <c r="R123" s="37">
        <v>20</v>
      </c>
      <c r="S123" s="37">
        <v>35</v>
      </c>
      <c r="T123" t="s">
        <v>77</v>
      </c>
      <c r="U123" t="s">
        <v>44</v>
      </c>
      <c r="V123" t="s">
        <v>69</v>
      </c>
      <c r="W123" t="str">
        <f t="shared" si="5"/>
        <v>31-40</v>
      </c>
      <c r="X123" t="str">
        <f t="shared" si="6"/>
        <v>21-30 yrs</v>
      </c>
      <c r="Y123" t="str">
        <f t="shared" si="7"/>
        <v>Jan</v>
      </c>
      <c r="Z123">
        <f t="shared" si="8"/>
        <v>2025</v>
      </c>
      <c r="AA123">
        <f t="shared" si="9"/>
        <v>0</v>
      </c>
    </row>
    <row r="124" spans="1:27" ht="15" customHeight="1" x14ac:dyDescent="0.3">
      <c r="A124" t="s">
        <v>339</v>
      </c>
      <c r="B124" s="20">
        <v>45975</v>
      </c>
      <c r="C124" t="s">
        <v>340</v>
      </c>
      <c r="D124" t="s">
        <v>35</v>
      </c>
      <c r="E124" s="37">
        <v>56</v>
      </c>
      <c r="F124" t="s">
        <v>91</v>
      </c>
      <c r="G124" t="s">
        <v>92</v>
      </c>
      <c r="H124" t="s">
        <v>66</v>
      </c>
      <c r="I124" t="s">
        <v>75</v>
      </c>
      <c r="J124" t="s">
        <v>149</v>
      </c>
      <c r="K124" s="37">
        <v>26</v>
      </c>
      <c r="L124" t="s">
        <v>41</v>
      </c>
      <c r="M124" s="21">
        <v>116400</v>
      </c>
      <c r="N124" s="21">
        <v>1606319</v>
      </c>
      <c r="O124" s="21">
        <v>209520</v>
      </c>
      <c r="P124" s="37">
        <v>4</v>
      </c>
      <c r="Q124" t="s">
        <v>42</v>
      </c>
      <c r="R124" s="37">
        <v>15</v>
      </c>
      <c r="S124" s="37">
        <v>28</v>
      </c>
      <c r="T124" t="s">
        <v>68</v>
      </c>
      <c r="U124" t="s">
        <v>44</v>
      </c>
      <c r="V124" t="s">
        <v>69</v>
      </c>
      <c r="W124" t="str">
        <f t="shared" si="5"/>
        <v>51-58</v>
      </c>
      <c r="X124" t="str">
        <f t="shared" si="6"/>
        <v>21-30 yrs</v>
      </c>
      <c r="Y124" t="str">
        <f t="shared" si="7"/>
        <v>Nov</v>
      </c>
      <c r="Z124">
        <f t="shared" si="8"/>
        <v>2025</v>
      </c>
      <c r="AA124">
        <f t="shared" si="9"/>
        <v>0</v>
      </c>
    </row>
    <row r="125" spans="1:27" ht="15" customHeight="1" x14ac:dyDescent="0.3">
      <c r="A125" t="s">
        <v>341</v>
      </c>
      <c r="B125" s="20">
        <v>45919</v>
      </c>
      <c r="C125" t="s">
        <v>342</v>
      </c>
      <c r="D125" t="s">
        <v>48</v>
      </c>
      <c r="E125" s="37">
        <v>41</v>
      </c>
      <c r="F125" t="s">
        <v>36</v>
      </c>
      <c r="G125" t="s">
        <v>37</v>
      </c>
      <c r="H125" t="s">
        <v>59</v>
      </c>
      <c r="I125" t="s">
        <v>39</v>
      </c>
      <c r="J125" t="s">
        <v>88</v>
      </c>
      <c r="K125" s="37">
        <v>8</v>
      </c>
      <c r="L125" t="s">
        <v>41</v>
      </c>
      <c r="M125" s="21">
        <v>35900</v>
      </c>
      <c r="N125" s="21">
        <v>504035</v>
      </c>
      <c r="O125" s="21">
        <v>73236</v>
      </c>
      <c r="P125" s="37">
        <v>5</v>
      </c>
      <c r="Q125" t="s">
        <v>42</v>
      </c>
      <c r="R125" s="37">
        <v>12</v>
      </c>
      <c r="S125" s="37">
        <v>22</v>
      </c>
      <c r="T125" t="s">
        <v>77</v>
      </c>
      <c r="U125" t="s">
        <v>44</v>
      </c>
      <c r="V125" t="s">
        <v>69</v>
      </c>
      <c r="W125" t="str">
        <f t="shared" si="5"/>
        <v>41-50</v>
      </c>
      <c r="X125" t="str">
        <f t="shared" si="6"/>
        <v>6-10 yrs</v>
      </c>
      <c r="Y125" t="str">
        <f t="shared" si="7"/>
        <v>Sep</v>
      </c>
      <c r="Z125">
        <f t="shared" si="8"/>
        <v>2025</v>
      </c>
      <c r="AA125">
        <f t="shared" si="9"/>
        <v>0</v>
      </c>
    </row>
    <row r="126" spans="1:27" ht="15" customHeight="1" x14ac:dyDescent="0.3">
      <c r="A126" t="s">
        <v>343</v>
      </c>
      <c r="B126" s="20">
        <v>45918</v>
      </c>
      <c r="C126" t="s">
        <v>344</v>
      </c>
      <c r="D126" t="s">
        <v>48</v>
      </c>
      <c r="E126" s="37">
        <v>41</v>
      </c>
      <c r="F126" t="s">
        <v>91</v>
      </c>
      <c r="G126" t="s">
        <v>92</v>
      </c>
      <c r="H126" t="s">
        <v>74</v>
      </c>
      <c r="I126" t="s">
        <v>39</v>
      </c>
      <c r="J126" t="s">
        <v>115</v>
      </c>
      <c r="K126" s="37">
        <v>27</v>
      </c>
      <c r="L126" t="s">
        <v>52</v>
      </c>
      <c r="M126" s="21">
        <v>44000</v>
      </c>
      <c r="N126" s="21">
        <v>633600</v>
      </c>
      <c r="O126" s="21">
        <v>105600</v>
      </c>
      <c r="P126" s="37">
        <v>3</v>
      </c>
      <c r="Q126" t="s">
        <v>42</v>
      </c>
      <c r="R126" s="37">
        <v>8</v>
      </c>
      <c r="S126" s="37">
        <v>0</v>
      </c>
      <c r="T126" t="s">
        <v>77</v>
      </c>
      <c r="U126" t="s">
        <v>63</v>
      </c>
      <c r="V126" t="s">
        <v>69</v>
      </c>
      <c r="W126" t="str">
        <f t="shared" si="5"/>
        <v>41-50</v>
      </c>
      <c r="X126" t="str">
        <f t="shared" si="6"/>
        <v>21-30 yrs</v>
      </c>
      <c r="Y126" t="str">
        <f t="shared" si="7"/>
        <v>Sep</v>
      </c>
      <c r="Z126">
        <f t="shared" si="8"/>
        <v>2025</v>
      </c>
      <c r="AA126">
        <f t="shared" si="9"/>
        <v>0</v>
      </c>
    </row>
    <row r="127" spans="1:27" ht="15" customHeight="1" x14ac:dyDescent="0.3">
      <c r="A127" t="s">
        <v>345</v>
      </c>
      <c r="B127" s="20">
        <v>45880</v>
      </c>
      <c r="C127" t="s">
        <v>346</v>
      </c>
      <c r="D127" t="s">
        <v>35</v>
      </c>
      <c r="E127" s="37">
        <v>47</v>
      </c>
      <c r="F127" t="s">
        <v>72</v>
      </c>
      <c r="G127" t="s">
        <v>73</v>
      </c>
      <c r="H127" t="s">
        <v>38</v>
      </c>
      <c r="I127" t="s">
        <v>82</v>
      </c>
      <c r="J127" t="s">
        <v>99</v>
      </c>
      <c r="K127" s="37">
        <v>28</v>
      </c>
      <c r="L127" t="s">
        <v>52</v>
      </c>
      <c r="M127" s="21">
        <v>60400</v>
      </c>
      <c r="N127" s="21">
        <v>811776</v>
      </c>
      <c r="O127" s="21">
        <v>86976</v>
      </c>
      <c r="P127" s="37">
        <v>3</v>
      </c>
      <c r="Q127" t="s">
        <v>42</v>
      </c>
      <c r="R127" s="37">
        <v>16</v>
      </c>
      <c r="S127" s="37">
        <v>12</v>
      </c>
      <c r="T127" t="s">
        <v>43</v>
      </c>
      <c r="U127" t="s">
        <v>54</v>
      </c>
      <c r="V127" t="s">
        <v>69</v>
      </c>
      <c r="W127" t="str">
        <f t="shared" si="5"/>
        <v>41-50</v>
      </c>
      <c r="X127" t="str">
        <f t="shared" si="6"/>
        <v>21-30 yrs</v>
      </c>
      <c r="Y127" t="str">
        <f t="shared" si="7"/>
        <v>Aug</v>
      </c>
      <c r="Z127">
        <f t="shared" si="8"/>
        <v>2025</v>
      </c>
      <c r="AA127">
        <f t="shared" si="9"/>
        <v>0</v>
      </c>
    </row>
    <row r="128" spans="1:27" ht="15" customHeight="1" x14ac:dyDescent="0.3">
      <c r="A128" t="s">
        <v>347</v>
      </c>
      <c r="B128" s="20">
        <v>45975</v>
      </c>
      <c r="C128" t="s">
        <v>348</v>
      </c>
      <c r="D128" t="s">
        <v>48</v>
      </c>
      <c r="E128" s="37">
        <v>42</v>
      </c>
      <c r="F128" t="s">
        <v>36</v>
      </c>
      <c r="G128" t="s">
        <v>37</v>
      </c>
      <c r="H128" t="s">
        <v>66</v>
      </c>
      <c r="I128" t="s">
        <v>82</v>
      </c>
      <c r="J128" t="s">
        <v>170</v>
      </c>
      <c r="K128" s="37">
        <v>21</v>
      </c>
      <c r="L128" t="s">
        <v>120</v>
      </c>
      <c r="M128" s="21">
        <v>63800</v>
      </c>
      <c r="N128" s="21">
        <v>811536</v>
      </c>
      <c r="O128" s="21">
        <v>45936</v>
      </c>
      <c r="P128" s="37">
        <v>4</v>
      </c>
      <c r="Q128" t="s">
        <v>126</v>
      </c>
      <c r="R128" s="37">
        <v>18</v>
      </c>
      <c r="S128" s="37">
        <v>38</v>
      </c>
      <c r="T128" t="s">
        <v>94</v>
      </c>
      <c r="U128" t="s">
        <v>54</v>
      </c>
      <c r="V128" t="s">
        <v>45</v>
      </c>
      <c r="W128" t="str">
        <f t="shared" si="5"/>
        <v>41-50</v>
      </c>
      <c r="X128" t="str">
        <f t="shared" si="6"/>
        <v>21-30 yrs</v>
      </c>
      <c r="Y128" t="str">
        <f t="shared" si="7"/>
        <v>Nov</v>
      </c>
      <c r="Z128">
        <f t="shared" si="8"/>
        <v>2025</v>
      </c>
      <c r="AA128">
        <f t="shared" si="9"/>
        <v>1</v>
      </c>
    </row>
    <row r="129" spans="1:27" ht="15" customHeight="1" x14ac:dyDescent="0.3">
      <c r="A129" t="s">
        <v>349</v>
      </c>
      <c r="B129" s="20">
        <v>45855</v>
      </c>
      <c r="C129" t="s">
        <v>350</v>
      </c>
      <c r="D129" t="s">
        <v>48</v>
      </c>
      <c r="E129" s="37">
        <v>22</v>
      </c>
      <c r="F129" t="s">
        <v>72</v>
      </c>
      <c r="G129" t="s">
        <v>73</v>
      </c>
      <c r="H129" t="s">
        <v>66</v>
      </c>
      <c r="I129" t="s">
        <v>82</v>
      </c>
      <c r="J129" t="s">
        <v>67</v>
      </c>
      <c r="K129" s="37">
        <v>20</v>
      </c>
      <c r="L129" t="s">
        <v>52</v>
      </c>
      <c r="M129" s="21">
        <v>70800</v>
      </c>
      <c r="N129" s="21">
        <v>926064</v>
      </c>
      <c r="O129" s="21">
        <v>76464</v>
      </c>
      <c r="P129" s="37">
        <v>4</v>
      </c>
      <c r="Q129" t="s">
        <v>42</v>
      </c>
      <c r="R129" s="37">
        <v>4</v>
      </c>
      <c r="S129" s="37">
        <v>7</v>
      </c>
      <c r="T129" t="s">
        <v>175</v>
      </c>
      <c r="U129" t="s">
        <v>63</v>
      </c>
      <c r="V129" t="s">
        <v>69</v>
      </c>
      <c r="W129" t="str">
        <f t="shared" si="5"/>
        <v>22-30</v>
      </c>
      <c r="X129" t="str">
        <f t="shared" si="6"/>
        <v>11-20 yrs</v>
      </c>
      <c r="Y129" t="str">
        <f t="shared" si="7"/>
        <v>Jul</v>
      </c>
      <c r="Z129">
        <f t="shared" si="8"/>
        <v>2025</v>
      </c>
      <c r="AA129">
        <f t="shared" si="9"/>
        <v>0</v>
      </c>
    </row>
    <row r="130" spans="1:27" ht="15" customHeight="1" x14ac:dyDescent="0.3">
      <c r="A130" t="s">
        <v>351</v>
      </c>
      <c r="B130" s="20">
        <v>45932</v>
      </c>
      <c r="C130" t="s">
        <v>352</v>
      </c>
      <c r="D130" t="s">
        <v>48</v>
      </c>
      <c r="E130" s="37">
        <v>23</v>
      </c>
      <c r="F130" t="s">
        <v>123</v>
      </c>
      <c r="G130" t="s">
        <v>124</v>
      </c>
      <c r="H130" t="s">
        <v>66</v>
      </c>
      <c r="I130" t="s">
        <v>82</v>
      </c>
      <c r="J130" t="s">
        <v>93</v>
      </c>
      <c r="K130" s="37">
        <v>4</v>
      </c>
      <c r="L130" t="s">
        <v>52</v>
      </c>
      <c r="M130" s="21">
        <v>64300</v>
      </c>
      <c r="N130" s="21">
        <v>895055</v>
      </c>
      <c r="O130" s="21">
        <v>123456</v>
      </c>
      <c r="P130" s="37">
        <v>2</v>
      </c>
      <c r="Q130" t="s">
        <v>126</v>
      </c>
      <c r="R130" s="37">
        <v>14</v>
      </c>
      <c r="S130" s="37">
        <v>40</v>
      </c>
      <c r="T130" t="s">
        <v>94</v>
      </c>
      <c r="U130" t="s">
        <v>44</v>
      </c>
      <c r="V130" t="s">
        <v>45</v>
      </c>
      <c r="W130" t="str">
        <f t="shared" ref="W130:W193" si="10">IF(E130&lt;=30,"22-30",IF(E130&lt;=40,"31-40",IF(E130&lt;=50,"41-50","51-58")))</f>
        <v>22-30</v>
      </c>
      <c r="X130" t="str">
        <f t="shared" ref="X130:X193" si="11">IF(K130&lt;=5,"0-5 yrs",IF(K130&lt;=10,"6-10 yrs",IF(K130&lt;=20,"11-20 yrs","21-30 yrs")))</f>
        <v>0-5 yrs</v>
      </c>
      <c r="Y130" t="str">
        <f t="shared" ref="Y130:Y193" si="12">TEXT(B130,"mmm")</f>
        <v>Oct</v>
      </c>
      <c r="Z130">
        <f t="shared" ref="Z130:Z193" si="13">YEAR(B130)</f>
        <v>2025</v>
      </c>
      <c r="AA130">
        <f t="shared" ref="AA130:AA193" si="14">IF(Q130="Yes",1,0)</f>
        <v>1</v>
      </c>
    </row>
    <row r="131" spans="1:27" ht="15" customHeight="1" x14ac:dyDescent="0.3">
      <c r="A131" t="s">
        <v>353</v>
      </c>
      <c r="B131" s="20">
        <v>45962</v>
      </c>
      <c r="C131" t="s">
        <v>354</v>
      </c>
      <c r="D131" t="s">
        <v>48</v>
      </c>
      <c r="E131" s="37">
        <v>35</v>
      </c>
      <c r="F131" t="s">
        <v>86</v>
      </c>
      <c r="G131" t="s">
        <v>87</v>
      </c>
      <c r="H131" t="s">
        <v>38</v>
      </c>
      <c r="I131" t="s">
        <v>39</v>
      </c>
      <c r="J131" t="s">
        <v>110</v>
      </c>
      <c r="K131" s="37">
        <v>2</v>
      </c>
      <c r="L131" t="s">
        <v>52</v>
      </c>
      <c r="M131" s="21">
        <v>31400</v>
      </c>
      <c r="N131" s="21">
        <v>448392</v>
      </c>
      <c r="O131" s="21">
        <v>71592</v>
      </c>
      <c r="P131" s="37">
        <v>2</v>
      </c>
      <c r="Q131" t="s">
        <v>42</v>
      </c>
      <c r="R131" s="37">
        <v>7</v>
      </c>
      <c r="S131" s="37">
        <v>1</v>
      </c>
      <c r="T131" t="s">
        <v>68</v>
      </c>
      <c r="U131" t="s">
        <v>63</v>
      </c>
      <c r="V131" t="s">
        <v>45</v>
      </c>
      <c r="W131" t="str">
        <f t="shared" si="10"/>
        <v>31-40</v>
      </c>
      <c r="X131" t="str">
        <f t="shared" si="11"/>
        <v>0-5 yrs</v>
      </c>
      <c r="Y131" t="str">
        <f t="shared" si="12"/>
        <v>Nov</v>
      </c>
      <c r="Z131">
        <f t="shared" si="13"/>
        <v>2025</v>
      </c>
      <c r="AA131">
        <f t="shared" si="14"/>
        <v>0</v>
      </c>
    </row>
    <row r="132" spans="1:27" ht="15" customHeight="1" x14ac:dyDescent="0.3">
      <c r="A132" t="s">
        <v>355</v>
      </c>
      <c r="B132" s="20">
        <v>45719</v>
      </c>
      <c r="C132" t="s">
        <v>356</v>
      </c>
      <c r="D132" t="s">
        <v>35</v>
      </c>
      <c r="E132" s="37">
        <v>42</v>
      </c>
      <c r="F132" t="s">
        <v>108</v>
      </c>
      <c r="G132" t="s">
        <v>109</v>
      </c>
      <c r="H132" t="s">
        <v>38</v>
      </c>
      <c r="I132" t="s">
        <v>82</v>
      </c>
      <c r="J132" t="s">
        <v>99</v>
      </c>
      <c r="K132" s="37">
        <v>5</v>
      </c>
      <c r="L132" t="s">
        <v>41</v>
      </c>
      <c r="M132" s="21">
        <v>61900</v>
      </c>
      <c r="N132" s="21">
        <v>824508</v>
      </c>
      <c r="O132" s="21">
        <v>81708</v>
      </c>
      <c r="P132" s="37">
        <v>4</v>
      </c>
      <c r="Q132" t="s">
        <v>42</v>
      </c>
      <c r="R132" s="37">
        <v>20</v>
      </c>
      <c r="S132" s="37">
        <v>37</v>
      </c>
      <c r="T132" t="s">
        <v>129</v>
      </c>
      <c r="U132" t="s">
        <v>63</v>
      </c>
      <c r="V132" t="s">
        <v>69</v>
      </c>
      <c r="W132" t="str">
        <f t="shared" si="10"/>
        <v>41-50</v>
      </c>
      <c r="X132" t="str">
        <f t="shared" si="11"/>
        <v>0-5 yrs</v>
      </c>
      <c r="Y132" t="str">
        <f t="shared" si="12"/>
        <v>Mar</v>
      </c>
      <c r="Z132">
        <f t="shared" si="13"/>
        <v>2025</v>
      </c>
      <c r="AA132">
        <f t="shared" si="14"/>
        <v>0</v>
      </c>
    </row>
    <row r="133" spans="1:27" ht="15" customHeight="1" x14ac:dyDescent="0.3">
      <c r="A133" t="s">
        <v>357</v>
      </c>
      <c r="B133" s="20">
        <v>45766</v>
      </c>
      <c r="C133" t="s">
        <v>358</v>
      </c>
      <c r="D133" t="s">
        <v>48</v>
      </c>
      <c r="E133" s="37">
        <v>44</v>
      </c>
      <c r="F133" t="s">
        <v>72</v>
      </c>
      <c r="G133" t="s">
        <v>73</v>
      </c>
      <c r="H133" t="s">
        <v>118</v>
      </c>
      <c r="I133" t="s">
        <v>39</v>
      </c>
      <c r="J133" t="s">
        <v>182</v>
      </c>
      <c r="K133" s="37">
        <v>24</v>
      </c>
      <c r="L133" t="s">
        <v>52</v>
      </c>
      <c r="M133" s="21">
        <v>33400</v>
      </c>
      <c r="N133" s="21">
        <v>452903</v>
      </c>
      <c r="O133" s="21">
        <v>52104</v>
      </c>
      <c r="P133" s="37">
        <v>4</v>
      </c>
      <c r="Q133" t="s">
        <v>42</v>
      </c>
      <c r="R133" s="37">
        <v>6</v>
      </c>
      <c r="S133" s="37">
        <v>3</v>
      </c>
      <c r="T133" t="s">
        <v>146</v>
      </c>
      <c r="U133" t="s">
        <v>54</v>
      </c>
      <c r="V133" t="s">
        <v>69</v>
      </c>
      <c r="W133" t="str">
        <f t="shared" si="10"/>
        <v>41-50</v>
      </c>
      <c r="X133" t="str">
        <f t="shared" si="11"/>
        <v>21-30 yrs</v>
      </c>
      <c r="Y133" t="str">
        <f t="shared" si="12"/>
        <v>Apr</v>
      </c>
      <c r="Z133">
        <f t="shared" si="13"/>
        <v>2025</v>
      </c>
      <c r="AA133">
        <f t="shared" si="14"/>
        <v>0</v>
      </c>
    </row>
    <row r="134" spans="1:27" ht="15" customHeight="1" x14ac:dyDescent="0.3">
      <c r="A134" t="s">
        <v>359</v>
      </c>
      <c r="B134" s="20">
        <v>45773</v>
      </c>
      <c r="C134" t="s">
        <v>360</v>
      </c>
      <c r="D134" t="s">
        <v>35</v>
      </c>
      <c r="E134" s="37">
        <v>52</v>
      </c>
      <c r="F134" t="s">
        <v>108</v>
      </c>
      <c r="G134" t="s">
        <v>109</v>
      </c>
      <c r="H134" t="s">
        <v>38</v>
      </c>
      <c r="I134" t="s">
        <v>60</v>
      </c>
      <c r="J134" t="s">
        <v>134</v>
      </c>
      <c r="K134" s="37">
        <v>15</v>
      </c>
      <c r="L134" t="s">
        <v>52</v>
      </c>
      <c r="M134" s="21">
        <v>161800</v>
      </c>
      <c r="N134" s="21">
        <v>2174592</v>
      </c>
      <c r="O134" s="21">
        <v>232992</v>
      </c>
      <c r="P134" s="37">
        <v>4</v>
      </c>
      <c r="Q134" t="s">
        <v>126</v>
      </c>
      <c r="R134" s="37">
        <v>4</v>
      </c>
      <c r="S134" s="37">
        <v>29</v>
      </c>
      <c r="T134" t="s">
        <v>77</v>
      </c>
      <c r="U134" t="s">
        <v>54</v>
      </c>
      <c r="V134" t="s">
        <v>45</v>
      </c>
      <c r="W134" t="str">
        <f t="shared" si="10"/>
        <v>51-58</v>
      </c>
      <c r="X134" t="str">
        <f t="shared" si="11"/>
        <v>11-20 yrs</v>
      </c>
      <c r="Y134" t="str">
        <f t="shared" si="12"/>
        <v>Apr</v>
      </c>
      <c r="Z134">
        <f t="shared" si="13"/>
        <v>2025</v>
      </c>
      <c r="AA134">
        <f t="shared" si="14"/>
        <v>1</v>
      </c>
    </row>
    <row r="135" spans="1:27" ht="15" customHeight="1" x14ac:dyDescent="0.3">
      <c r="A135" t="s">
        <v>361</v>
      </c>
      <c r="B135" s="20">
        <v>45812</v>
      </c>
      <c r="C135" t="s">
        <v>362</v>
      </c>
      <c r="D135" t="s">
        <v>35</v>
      </c>
      <c r="E135" s="37">
        <v>27</v>
      </c>
      <c r="F135" t="s">
        <v>36</v>
      </c>
      <c r="G135" t="s">
        <v>37</v>
      </c>
      <c r="H135" t="s">
        <v>66</v>
      </c>
      <c r="I135" t="s">
        <v>60</v>
      </c>
      <c r="J135" t="s">
        <v>67</v>
      </c>
      <c r="K135" s="37">
        <v>4</v>
      </c>
      <c r="L135" t="s">
        <v>120</v>
      </c>
      <c r="M135" s="21">
        <v>145800</v>
      </c>
      <c r="N135" s="21">
        <v>2064528</v>
      </c>
      <c r="O135" s="21">
        <v>314928</v>
      </c>
      <c r="P135" s="37">
        <v>4</v>
      </c>
      <c r="Q135" t="s">
        <v>42</v>
      </c>
      <c r="R135" s="37">
        <v>16</v>
      </c>
      <c r="S135" s="37">
        <v>28</v>
      </c>
      <c r="T135" t="s">
        <v>53</v>
      </c>
      <c r="U135" t="s">
        <v>44</v>
      </c>
      <c r="V135" t="s">
        <v>45</v>
      </c>
      <c r="W135" t="str">
        <f t="shared" si="10"/>
        <v>22-30</v>
      </c>
      <c r="X135" t="str">
        <f t="shared" si="11"/>
        <v>0-5 yrs</v>
      </c>
      <c r="Y135" t="str">
        <f t="shared" si="12"/>
        <v>Jun</v>
      </c>
      <c r="Z135">
        <f t="shared" si="13"/>
        <v>2025</v>
      </c>
      <c r="AA135">
        <f t="shared" si="14"/>
        <v>0</v>
      </c>
    </row>
    <row r="136" spans="1:27" ht="15" customHeight="1" x14ac:dyDescent="0.3">
      <c r="A136" t="s">
        <v>363</v>
      </c>
      <c r="B136" s="20">
        <v>45872</v>
      </c>
      <c r="C136" t="s">
        <v>364</v>
      </c>
      <c r="D136" t="s">
        <v>48</v>
      </c>
      <c r="E136" s="37">
        <v>34</v>
      </c>
      <c r="F136" t="s">
        <v>86</v>
      </c>
      <c r="G136" t="s">
        <v>87</v>
      </c>
      <c r="H136" t="s">
        <v>38</v>
      </c>
      <c r="I136" t="s">
        <v>39</v>
      </c>
      <c r="J136" t="s">
        <v>40</v>
      </c>
      <c r="K136" s="37">
        <v>2</v>
      </c>
      <c r="L136" t="s">
        <v>52</v>
      </c>
      <c r="M136" s="21">
        <v>33300</v>
      </c>
      <c r="N136" s="21">
        <v>431568</v>
      </c>
      <c r="O136" s="21">
        <v>31968</v>
      </c>
      <c r="P136" s="37">
        <v>2</v>
      </c>
      <c r="Q136" t="s">
        <v>42</v>
      </c>
      <c r="R136" s="37">
        <v>11</v>
      </c>
      <c r="S136" s="37">
        <v>20</v>
      </c>
      <c r="T136" t="s">
        <v>94</v>
      </c>
      <c r="U136" t="s">
        <v>63</v>
      </c>
      <c r="V136" t="s">
        <v>69</v>
      </c>
      <c r="W136" t="str">
        <f t="shared" si="10"/>
        <v>31-40</v>
      </c>
      <c r="X136" t="str">
        <f t="shared" si="11"/>
        <v>0-5 yrs</v>
      </c>
      <c r="Y136" t="str">
        <f t="shared" si="12"/>
        <v>Aug</v>
      </c>
      <c r="Z136">
        <f t="shared" si="13"/>
        <v>2025</v>
      </c>
      <c r="AA136">
        <f t="shared" si="14"/>
        <v>0</v>
      </c>
    </row>
    <row r="137" spans="1:27" ht="15" customHeight="1" x14ac:dyDescent="0.3">
      <c r="A137" t="s">
        <v>365</v>
      </c>
      <c r="B137" s="20">
        <v>45982</v>
      </c>
      <c r="C137" t="s">
        <v>366</v>
      </c>
      <c r="D137" t="s">
        <v>35</v>
      </c>
      <c r="E137" s="37">
        <v>57</v>
      </c>
      <c r="F137" t="s">
        <v>80</v>
      </c>
      <c r="G137" t="s">
        <v>81</v>
      </c>
      <c r="H137" t="s">
        <v>74</v>
      </c>
      <c r="I137" t="s">
        <v>75</v>
      </c>
      <c r="J137" t="s">
        <v>367</v>
      </c>
      <c r="K137" s="37">
        <v>7</v>
      </c>
      <c r="L137" t="s">
        <v>52</v>
      </c>
      <c r="M137" s="21">
        <v>107100</v>
      </c>
      <c r="N137" s="21">
        <v>1439424</v>
      </c>
      <c r="O137" s="21">
        <v>154224</v>
      </c>
      <c r="P137" s="37">
        <v>4</v>
      </c>
      <c r="Q137" t="s">
        <v>126</v>
      </c>
      <c r="R137" s="37">
        <v>4</v>
      </c>
      <c r="S137" s="37">
        <v>16</v>
      </c>
      <c r="T137" t="s">
        <v>146</v>
      </c>
      <c r="U137" t="s">
        <v>63</v>
      </c>
      <c r="V137" t="s">
        <v>69</v>
      </c>
      <c r="W137" t="str">
        <f t="shared" si="10"/>
        <v>51-58</v>
      </c>
      <c r="X137" t="str">
        <f t="shared" si="11"/>
        <v>6-10 yrs</v>
      </c>
      <c r="Y137" t="str">
        <f t="shared" si="12"/>
        <v>Nov</v>
      </c>
      <c r="Z137">
        <f t="shared" si="13"/>
        <v>2025</v>
      </c>
      <c r="AA137">
        <f t="shared" si="14"/>
        <v>1</v>
      </c>
    </row>
    <row r="138" spans="1:27" ht="15" customHeight="1" x14ac:dyDescent="0.3">
      <c r="A138" t="s">
        <v>368</v>
      </c>
      <c r="B138" s="20">
        <v>45934</v>
      </c>
      <c r="C138" t="s">
        <v>369</v>
      </c>
      <c r="D138" t="s">
        <v>48</v>
      </c>
      <c r="E138" s="37">
        <v>33</v>
      </c>
      <c r="F138" t="s">
        <v>97</v>
      </c>
      <c r="G138" t="s">
        <v>98</v>
      </c>
      <c r="H138" t="s">
        <v>38</v>
      </c>
      <c r="I138" t="s">
        <v>75</v>
      </c>
      <c r="J138" t="s">
        <v>110</v>
      </c>
      <c r="K138" s="37">
        <v>4</v>
      </c>
      <c r="L138" t="s">
        <v>52</v>
      </c>
      <c r="M138" s="21">
        <v>81600</v>
      </c>
      <c r="N138" s="21">
        <v>1155456</v>
      </c>
      <c r="O138" s="21">
        <v>176256</v>
      </c>
      <c r="P138" s="37">
        <v>5</v>
      </c>
      <c r="Q138" t="s">
        <v>126</v>
      </c>
      <c r="R138" s="37">
        <v>18</v>
      </c>
      <c r="S138" s="37">
        <v>25</v>
      </c>
      <c r="T138" t="s">
        <v>53</v>
      </c>
      <c r="U138" t="s">
        <v>54</v>
      </c>
      <c r="V138" t="s">
        <v>45</v>
      </c>
      <c r="W138" t="str">
        <f t="shared" si="10"/>
        <v>31-40</v>
      </c>
      <c r="X138" t="str">
        <f t="shared" si="11"/>
        <v>0-5 yrs</v>
      </c>
      <c r="Y138" t="str">
        <f t="shared" si="12"/>
        <v>Oct</v>
      </c>
      <c r="Z138">
        <f t="shared" si="13"/>
        <v>2025</v>
      </c>
      <c r="AA138">
        <f t="shared" si="14"/>
        <v>1</v>
      </c>
    </row>
    <row r="139" spans="1:27" ht="15" customHeight="1" x14ac:dyDescent="0.3">
      <c r="A139" t="s">
        <v>370</v>
      </c>
      <c r="B139" s="20">
        <v>45658</v>
      </c>
      <c r="C139" t="s">
        <v>167</v>
      </c>
      <c r="D139" t="s">
        <v>35</v>
      </c>
      <c r="E139" s="37">
        <v>48</v>
      </c>
      <c r="F139" t="s">
        <v>91</v>
      </c>
      <c r="G139" t="s">
        <v>92</v>
      </c>
      <c r="H139" t="s">
        <v>66</v>
      </c>
      <c r="I139" t="s">
        <v>75</v>
      </c>
      <c r="J139" t="s">
        <v>67</v>
      </c>
      <c r="K139" s="37">
        <v>13</v>
      </c>
      <c r="L139" t="s">
        <v>52</v>
      </c>
      <c r="M139" s="21">
        <v>100400</v>
      </c>
      <c r="N139" s="21">
        <v>1373472</v>
      </c>
      <c r="O139" s="21">
        <v>168672</v>
      </c>
      <c r="P139" s="37">
        <v>4</v>
      </c>
      <c r="Q139" t="s">
        <v>42</v>
      </c>
      <c r="R139" s="37">
        <v>2</v>
      </c>
      <c r="S139" s="37">
        <v>8</v>
      </c>
      <c r="T139" t="s">
        <v>77</v>
      </c>
      <c r="U139" t="s">
        <v>54</v>
      </c>
      <c r="V139" t="s">
        <v>69</v>
      </c>
      <c r="W139" t="str">
        <f t="shared" si="10"/>
        <v>41-50</v>
      </c>
      <c r="X139" t="str">
        <f t="shared" si="11"/>
        <v>11-20 yrs</v>
      </c>
      <c r="Y139" t="str">
        <f t="shared" si="12"/>
        <v>Jan</v>
      </c>
      <c r="Z139">
        <f t="shared" si="13"/>
        <v>2025</v>
      </c>
      <c r="AA139">
        <f t="shared" si="14"/>
        <v>0</v>
      </c>
    </row>
    <row r="140" spans="1:27" ht="15" customHeight="1" x14ac:dyDescent="0.3">
      <c r="A140" t="s">
        <v>371</v>
      </c>
      <c r="B140" s="20">
        <v>45915</v>
      </c>
      <c r="C140" t="s">
        <v>372</v>
      </c>
      <c r="D140" t="s">
        <v>48</v>
      </c>
      <c r="E140" s="37">
        <v>24</v>
      </c>
      <c r="F140" t="s">
        <v>36</v>
      </c>
      <c r="G140" t="s">
        <v>37</v>
      </c>
      <c r="H140" t="s">
        <v>66</v>
      </c>
      <c r="I140" t="s">
        <v>75</v>
      </c>
      <c r="J140" t="s">
        <v>93</v>
      </c>
      <c r="K140" s="37">
        <v>21</v>
      </c>
      <c r="L140" t="s">
        <v>52</v>
      </c>
      <c r="M140" s="21">
        <v>111300</v>
      </c>
      <c r="N140" s="21">
        <v>1535939</v>
      </c>
      <c r="O140" s="21">
        <v>200340</v>
      </c>
      <c r="P140" s="37">
        <v>3</v>
      </c>
      <c r="Q140" t="s">
        <v>42</v>
      </c>
      <c r="R140" s="37">
        <v>15</v>
      </c>
      <c r="S140" s="37">
        <v>11</v>
      </c>
      <c r="T140" t="s">
        <v>62</v>
      </c>
      <c r="U140" t="s">
        <v>44</v>
      </c>
      <c r="V140" t="s">
        <v>45</v>
      </c>
      <c r="W140" t="str">
        <f t="shared" si="10"/>
        <v>22-30</v>
      </c>
      <c r="X140" t="str">
        <f t="shared" si="11"/>
        <v>21-30 yrs</v>
      </c>
      <c r="Y140" t="str">
        <f t="shared" si="12"/>
        <v>Sep</v>
      </c>
      <c r="Z140">
        <f t="shared" si="13"/>
        <v>2025</v>
      </c>
      <c r="AA140">
        <f t="shared" si="14"/>
        <v>0</v>
      </c>
    </row>
    <row r="141" spans="1:27" ht="15" customHeight="1" x14ac:dyDescent="0.3">
      <c r="A141" t="s">
        <v>373</v>
      </c>
      <c r="B141" s="20">
        <v>45847</v>
      </c>
      <c r="C141" t="s">
        <v>374</v>
      </c>
      <c r="D141" t="s">
        <v>48</v>
      </c>
      <c r="E141" s="37">
        <v>47</v>
      </c>
      <c r="F141" t="s">
        <v>108</v>
      </c>
      <c r="G141" t="s">
        <v>109</v>
      </c>
      <c r="H141" t="s">
        <v>38</v>
      </c>
      <c r="I141" t="s">
        <v>39</v>
      </c>
      <c r="J141" t="s">
        <v>40</v>
      </c>
      <c r="K141" s="37">
        <v>0</v>
      </c>
      <c r="L141" t="s">
        <v>52</v>
      </c>
      <c r="M141" s="21">
        <v>38600</v>
      </c>
      <c r="N141" s="21">
        <v>490992</v>
      </c>
      <c r="O141" s="21">
        <v>27792</v>
      </c>
      <c r="P141" s="37">
        <v>1</v>
      </c>
      <c r="Q141" t="s">
        <v>42</v>
      </c>
      <c r="R141" s="37">
        <v>8</v>
      </c>
      <c r="S141" s="37">
        <v>0</v>
      </c>
      <c r="T141" t="s">
        <v>53</v>
      </c>
      <c r="U141" t="s">
        <v>63</v>
      </c>
      <c r="V141" t="s">
        <v>69</v>
      </c>
      <c r="W141" t="str">
        <f t="shared" si="10"/>
        <v>41-50</v>
      </c>
      <c r="X141" t="str">
        <f t="shared" si="11"/>
        <v>0-5 yrs</v>
      </c>
      <c r="Y141" t="str">
        <f t="shared" si="12"/>
        <v>Jul</v>
      </c>
      <c r="Z141">
        <f t="shared" si="13"/>
        <v>2025</v>
      </c>
      <c r="AA141">
        <f t="shared" si="14"/>
        <v>0</v>
      </c>
    </row>
    <row r="142" spans="1:27" ht="15" customHeight="1" x14ac:dyDescent="0.3">
      <c r="A142" t="s">
        <v>375</v>
      </c>
      <c r="B142" s="20">
        <v>45810</v>
      </c>
      <c r="C142" t="s">
        <v>376</v>
      </c>
      <c r="D142" t="s">
        <v>48</v>
      </c>
      <c r="E142" s="37">
        <v>51</v>
      </c>
      <c r="F142" t="s">
        <v>97</v>
      </c>
      <c r="G142" t="s">
        <v>98</v>
      </c>
      <c r="H142" t="s">
        <v>66</v>
      </c>
      <c r="I142" t="s">
        <v>82</v>
      </c>
      <c r="J142" t="s">
        <v>149</v>
      </c>
      <c r="K142" s="37">
        <v>12</v>
      </c>
      <c r="L142" t="s">
        <v>120</v>
      </c>
      <c r="M142" s="21">
        <v>55500</v>
      </c>
      <c r="N142" s="21">
        <v>792540</v>
      </c>
      <c r="O142" s="21">
        <v>126540</v>
      </c>
      <c r="P142" s="37">
        <v>4</v>
      </c>
      <c r="Q142" t="s">
        <v>42</v>
      </c>
      <c r="R142" s="37">
        <v>7</v>
      </c>
      <c r="S142" s="37">
        <v>16</v>
      </c>
      <c r="T142" t="s">
        <v>94</v>
      </c>
      <c r="U142" t="s">
        <v>138</v>
      </c>
      <c r="V142" t="s">
        <v>69</v>
      </c>
      <c r="W142" t="str">
        <f t="shared" si="10"/>
        <v>51-58</v>
      </c>
      <c r="X142" t="str">
        <f t="shared" si="11"/>
        <v>11-20 yrs</v>
      </c>
      <c r="Y142" t="str">
        <f t="shared" si="12"/>
        <v>Jun</v>
      </c>
      <c r="Z142">
        <f t="shared" si="13"/>
        <v>2025</v>
      </c>
      <c r="AA142">
        <f t="shared" si="14"/>
        <v>0</v>
      </c>
    </row>
    <row r="143" spans="1:27" ht="15" customHeight="1" x14ac:dyDescent="0.3">
      <c r="A143" t="s">
        <v>377</v>
      </c>
      <c r="B143" s="20">
        <v>45680</v>
      </c>
      <c r="C143" t="s">
        <v>378</v>
      </c>
      <c r="D143" t="s">
        <v>35</v>
      </c>
      <c r="E143" s="37">
        <v>52</v>
      </c>
      <c r="F143" t="s">
        <v>86</v>
      </c>
      <c r="G143" t="s">
        <v>87</v>
      </c>
      <c r="H143" t="s">
        <v>66</v>
      </c>
      <c r="I143" t="s">
        <v>75</v>
      </c>
      <c r="J143" t="s">
        <v>170</v>
      </c>
      <c r="K143" s="37">
        <v>21</v>
      </c>
      <c r="L143" t="s">
        <v>52</v>
      </c>
      <c r="M143" s="21">
        <v>101700</v>
      </c>
      <c r="N143" s="21">
        <v>1318032</v>
      </c>
      <c r="O143" s="21">
        <v>97632</v>
      </c>
      <c r="P143" s="37">
        <v>4</v>
      </c>
      <c r="Q143" t="s">
        <v>42</v>
      </c>
      <c r="R143" s="37">
        <v>20</v>
      </c>
      <c r="S143" s="37">
        <v>18</v>
      </c>
      <c r="T143" t="s">
        <v>146</v>
      </c>
      <c r="U143" t="s">
        <v>44</v>
      </c>
      <c r="V143" t="s">
        <v>45</v>
      </c>
      <c r="W143" t="str">
        <f t="shared" si="10"/>
        <v>51-58</v>
      </c>
      <c r="X143" t="str">
        <f t="shared" si="11"/>
        <v>21-30 yrs</v>
      </c>
      <c r="Y143" t="str">
        <f t="shared" si="12"/>
        <v>Jan</v>
      </c>
      <c r="Z143">
        <f t="shared" si="13"/>
        <v>2025</v>
      </c>
      <c r="AA143">
        <f t="shared" si="14"/>
        <v>0</v>
      </c>
    </row>
    <row r="144" spans="1:27" ht="15" customHeight="1" x14ac:dyDescent="0.3">
      <c r="A144" t="s">
        <v>379</v>
      </c>
      <c r="B144" s="20">
        <v>45706</v>
      </c>
      <c r="C144" t="s">
        <v>380</v>
      </c>
      <c r="D144" t="s">
        <v>35</v>
      </c>
      <c r="E144" s="37">
        <v>57</v>
      </c>
      <c r="F144" t="s">
        <v>72</v>
      </c>
      <c r="G144" t="s">
        <v>73</v>
      </c>
      <c r="H144" t="s">
        <v>66</v>
      </c>
      <c r="I144" t="s">
        <v>75</v>
      </c>
      <c r="J144" t="s">
        <v>93</v>
      </c>
      <c r="K144" s="37">
        <v>13</v>
      </c>
      <c r="L144" t="s">
        <v>52</v>
      </c>
      <c r="M144" s="21">
        <v>92200</v>
      </c>
      <c r="N144" s="21">
        <v>1217040</v>
      </c>
      <c r="O144" s="21">
        <v>110640</v>
      </c>
      <c r="P144" s="37">
        <v>3</v>
      </c>
      <c r="Q144" t="s">
        <v>42</v>
      </c>
      <c r="R144" s="37">
        <v>3</v>
      </c>
      <c r="S144" s="37">
        <v>12</v>
      </c>
      <c r="T144" t="s">
        <v>94</v>
      </c>
      <c r="U144" t="s">
        <v>63</v>
      </c>
      <c r="V144" t="s">
        <v>69</v>
      </c>
      <c r="W144" t="str">
        <f t="shared" si="10"/>
        <v>51-58</v>
      </c>
      <c r="X144" t="str">
        <f t="shared" si="11"/>
        <v>11-20 yrs</v>
      </c>
      <c r="Y144" t="str">
        <f t="shared" si="12"/>
        <v>Feb</v>
      </c>
      <c r="Z144">
        <f t="shared" si="13"/>
        <v>2025</v>
      </c>
      <c r="AA144">
        <f t="shared" si="14"/>
        <v>0</v>
      </c>
    </row>
    <row r="145" spans="1:27" ht="15" customHeight="1" x14ac:dyDescent="0.3">
      <c r="A145" t="s">
        <v>381</v>
      </c>
      <c r="B145" s="20">
        <v>46002</v>
      </c>
      <c r="C145" t="s">
        <v>382</v>
      </c>
      <c r="D145" t="s">
        <v>48</v>
      </c>
      <c r="E145" s="37">
        <v>33</v>
      </c>
      <c r="F145" t="s">
        <v>108</v>
      </c>
      <c r="G145" t="s">
        <v>109</v>
      </c>
      <c r="H145" t="s">
        <v>66</v>
      </c>
      <c r="I145" t="s">
        <v>39</v>
      </c>
      <c r="J145" t="s">
        <v>93</v>
      </c>
      <c r="K145" s="37">
        <v>28</v>
      </c>
      <c r="L145" t="s">
        <v>52</v>
      </c>
      <c r="M145" s="21">
        <v>38600</v>
      </c>
      <c r="N145" s="21">
        <v>537312</v>
      </c>
      <c r="O145" s="21">
        <v>74112</v>
      </c>
      <c r="P145" s="37">
        <v>2</v>
      </c>
      <c r="Q145" t="s">
        <v>42</v>
      </c>
      <c r="R145" s="37">
        <v>8</v>
      </c>
      <c r="S145" s="37">
        <v>5</v>
      </c>
      <c r="T145" t="s">
        <v>146</v>
      </c>
      <c r="U145" t="s">
        <v>54</v>
      </c>
      <c r="V145" t="s">
        <v>69</v>
      </c>
      <c r="W145" t="str">
        <f t="shared" si="10"/>
        <v>31-40</v>
      </c>
      <c r="X145" t="str">
        <f t="shared" si="11"/>
        <v>21-30 yrs</v>
      </c>
      <c r="Y145" t="str">
        <f t="shared" si="12"/>
        <v>Dec</v>
      </c>
      <c r="Z145">
        <f t="shared" si="13"/>
        <v>2025</v>
      </c>
      <c r="AA145">
        <f t="shared" si="14"/>
        <v>0</v>
      </c>
    </row>
    <row r="146" spans="1:27" ht="15" customHeight="1" x14ac:dyDescent="0.3">
      <c r="A146" t="s">
        <v>383</v>
      </c>
      <c r="B146" s="20">
        <v>45859</v>
      </c>
      <c r="C146" t="s">
        <v>384</v>
      </c>
      <c r="D146" t="s">
        <v>48</v>
      </c>
      <c r="E146" s="37">
        <v>30</v>
      </c>
      <c r="F146" t="s">
        <v>86</v>
      </c>
      <c r="G146" t="s">
        <v>87</v>
      </c>
      <c r="H146" t="s">
        <v>66</v>
      </c>
      <c r="I146" t="s">
        <v>75</v>
      </c>
      <c r="J146" t="s">
        <v>170</v>
      </c>
      <c r="K146" s="37">
        <v>12</v>
      </c>
      <c r="L146" t="s">
        <v>52</v>
      </c>
      <c r="M146" s="21">
        <v>97800</v>
      </c>
      <c r="N146" s="21">
        <v>1396584</v>
      </c>
      <c r="O146" s="21">
        <v>222984</v>
      </c>
      <c r="P146" s="37">
        <v>4</v>
      </c>
      <c r="Q146" t="s">
        <v>126</v>
      </c>
      <c r="R146" s="37">
        <v>0</v>
      </c>
      <c r="S146" s="37">
        <v>26</v>
      </c>
      <c r="T146" t="s">
        <v>175</v>
      </c>
      <c r="U146" t="s">
        <v>63</v>
      </c>
      <c r="V146" t="s">
        <v>69</v>
      </c>
      <c r="W146" t="str">
        <f t="shared" si="10"/>
        <v>22-30</v>
      </c>
      <c r="X146" t="str">
        <f t="shared" si="11"/>
        <v>11-20 yrs</v>
      </c>
      <c r="Y146" t="str">
        <f t="shared" si="12"/>
        <v>Jul</v>
      </c>
      <c r="Z146">
        <f t="shared" si="13"/>
        <v>2025</v>
      </c>
      <c r="AA146">
        <f t="shared" si="14"/>
        <v>1</v>
      </c>
    </row>
    <row r="147" spans="1:27" ht="15" customHeight="1" x14ac:dyDescent="0.3">
      <c r="A147" t="s">
        <v>385</v>
      </c>
      <c r="B147" s="20">
        <v>45728</v>
      </c>
      <c r="C147" t="s">
        <v>386</v>
      </c>
      <c r="D147" t="s">
        <v>48</v>
      </c>
      <c r="E147" s="37">
        <v>54</v>
      </c>
      <c r="F147" t="s">
        <v>72</v>
      </c>
      <c r="G147" t="s">
        <v>73</v>
      </c>
      <c r="H147" t="s">
        <v>74</v>
      </c>
      <c r="I147" t="s">
        <v>51</v>
      </c>
      <c r="J147" t="s">
        <v>152</v>
      </c>
      <c r="K147" s="37">
        <v>29</v>
      </c>
      <c r="L147" t="s">
        <v>52</v>
      </c>
      <c r="M147" s="21">
        <v>235900</v>
      </c>
      <c r="N147" s="21">
        <v>3255419</v>
      </c>
      <c r="O147" s="21">
        <v>424620</v>
      </c>
      <c r="P147" s="37">
        <v>5</v>
      </c>
      <c r="Q147" t="s">
        <v>126</v>
      </c>
      <c r="R147" s="37">
        <v>15</v>
      </c>
      <c r="S147" s="37">
        <v>38</v>
      </c>
      <c r="T147" t="s">
        <v>175</v>
      </c>
      <c r="U147" t="s">
        <v>63</v>
      </c>
      <c r="V147" t="s">
        <v>69</v>
      </c>
      <c r="W147" t="str">
        <f t="shared" si="10"/>
        <v>51-58</v>
      </c>
      <c r="X147" t="str">
        <f t="shared" si="11"/>
        <v>21-30 yrs</v>
      </c>
      <c r="Y147" t="str">
        <f t="shared" si="12"/>
        <v>Mar</v>
      </c>
      <c r="Z147">
        <f t="shared" si="13"/>
        <v>2025</v>
      </c>
      <c r="AA147">
        <f t="shared" si="14"/>
        <v>1</v>
      </c>
    </row>
    <row r="148" spans="1:27" ht="15" customHeight="1" x14ac:dyDescent="0.3">
      <c r="A148" t="s">
        <v>387</v>
      </c>
      <c r="B148" s="20">
        <v>45691</v>
      </c>
      <c r="C148" t="s">
        <v>388</v>
      </c>
      <c r="D148" t="s">
        <v>35</v>
      </c>
      <c r="E148" s="37">
        <v>34</v>
      </c>
      <c r="F148" t="s">
        <v>86</v>
      </c>
      <c r="G148" t="s">
        <v>87</v>
      </c>
      <c r="H148" t="s">
        <v>66</v>
      </c>
      <c r="I148" t="s">
        <v>82</v>
      </c>
      <c r="J148" t="s">
        <v>93</v>
      </c>
      <c r="K148" s="37">
        <v>15</v>
      </c>
      <c r="L148" t="s">
        <v>52</v>
      </c>
      <c r="M148" s="21">
        <v>75700</v>
      </c>
      <c r="N148" s="21">
        <v>1053744</v>
      </c>
      <c r="O148" s="21">
        <v>145344</v>
      </c>
      <c r="P148" s="37">
        <v>4</v>
      </c>
      <c r="Q148" t="s">
        <v>42</v>
      </c>
      <c r="R148" s="37">
        <v>12</v>
      </c>
      <c r="S148" s="37">
        <v>33</v>
      </c>
      <c r="T148" t="s">
        <v>175</v>
      </c>
      <c r="U148" t="s">
        <v>44</v>
      </c>
      <c r="V148" t="s">
        <v>45</v>
      </c>
      <c r="W148" t="str">
        <f t="shared" si="10"/>
        <v>31-40</v>
      </c>
      <c r="X148" t="str">
        <f t="shared" si="11"/>
        <v>11-20 yrs</v>
      </c>
      <c r="Y148" t="str">
        <f t="shared" si="12"/>
        <v>Feb</v>
      </c>
      <c r="Z148">
        <f t="shared" si="13"/>
        <v>2025</v>
      </c>
      <c r="AA148">
        <f t="shared" si="14"/>
        <v>0</v>
      </c>
    </row>
    <row r="149" spans="1:27" ht="15" customHeight="1" x14ac:dyDescent="0.3">
      <c r="A149" t="s">
        <v>389</v>
      </c>
      <c r="B149" s="20">
        <v>45661</v>
      </c>
      <c r="C149" t="s">
        <v>390</v>
      </c>
      <c r="D149" t="s">
        <v>35</v>
      </c>
      <c r="E149" s="37">
        <v>42</v>
      </c>
      <c r="F149" t="s">
        <v>72</v>
      </c>
      <c r="G149" t="s">
        <v>73</v>
      </c>
      <c r="H149" t="s">
        <v>66</v>
      </c>
      <c r="I149" t="s">
        <v>82</v>
      </c>
      <c r="J149" t="s">
        <v>67</v>
      </c>
      <c r="K149" s="37">
        <v>27</v>
      </c>
      <c r="L149" t="s">
        <v>52</v>
      </c>
      <c r="M149" s="21">
        <v>70600</v>
      </c>
      <c r="N149" s="21">
        <v>991223</v>
      </c>
      <c r="O149" s="21">
        <v>144024</v>
      </c>
      <c r="P149" s="37">
        <v>4</v>
      </c>
      <c r="Q149" t="s">
        <v>42</v>
      </c>
      <c r="R149" s="37">
        <v>14</v>
      </c>
      <c r="S149" s="37">
        <v>9</v>
      </c>
      <c r="T149" t="s">
        <v>146</v>
      </c>
      <c r="U149" t="s">
        <v>54</v>
      </c>
      <c r="V149" t="s">
        <v>45</v>
      </c>
      <c r="W149" t="str">
        <f t="shared" si="10"/>
        <v>41-50</v>
      </c>
      <c r="X149" t="str">
        <f t="shared" si="11"/>
        <v>21-30 yrs</v>
      </c>
      <c r="Y149" t="str">
        <f t="shared" si="12"/>
        <v>Jan</v>
      </c>
      <c r="Z149">
        <f t="shared" si="13"/>
        <v>2025</v>
      </c>
      <c r="AA149">
        <f t="shared" si="14"/>
        <v>0</v>
      </c>
    </row>
    <row r="150" spans="1:27" ht="15" customHeight="1" x14ac:dyDescent="0.3">
      <c r="A150" t="s">
        <v>391</v>
      </c>
      <c r="B150" s="20">
        <v>45957</v>
      </c>
      <c r="C150" t="s">
        <v>392</v>
      </c>
      <c r="D150" t="s">
        <v>48</v>
      </c>
      <c r="E150" s="37">
        <v>38</v>
      </c>
      <c r="F150" t="s">
        <v>97</v>
      </c>
      <c r="G150" t="s">
        <v>98</v>
      </c>
      <c r="H150" t="s">
        <v>38</v>
      </c>
      <c r="I150" t="s">
        <v>75</v>
      </c>
      <c r="J150" t="s">
        <v>99</v>
      </c>
      <c r="K150" s="37">
        <v>3</v>
      </c>
      <c r="L150" t="s">
        <v>52</v>
      </c>
      <c r="M150" s="21">
        <v>85700</v>
      </c>
      <c r="N150" s="21">
        <v>1192944</v>
      </c>
      <c r="O150" s="21">
        <v>164544</v>
      </c>
      <c r="P150" s="37">
        <v>4</v>
      </c>
      <c r="Q150" t="s">
        <v>42</v>
      </c>
      <c r="R150" s="37">
        <v>16</v>
      </c>
      <c r="S150" s="37">
        <v>39</v>
      </c>
      <c r="T150" t="s">
        <v>129</v>
      </c>
      <c r="U150" t="s">
        <v>54</v>
      </c>
      <c r="V150" t="s">
        <v>45</v>
      </c>
      <c r="W150" t="str">
        <f t="shared" si="10"/>
        <v>31-40</v>
      </c>
      <c r="X150" t="str">
        <f t="shared" si="11"/>
        <v>0-5 yrs</v>
      </c>
      <c r="Y150" t="str">
        <f t="shared" si="12"/>
        <v>Oct</v>
      </c>
      <c r="Z150">
        <f t="shared" si="13"/>
        <v>2025</v>
      </c>
      <c r="AA150">
        <f t="shared" si="14"/>
        <v>0</v>
      </c>
    </row>
    <row r="151" spans="1:27" ht="15" customHeight="1" x14ac:dyDescent="0.3">
      <c r="A151" t="s">
        <v>393</v>
      </c>
      <c r="B151" s="20">
        <v>45969</v>
      </c>
      <c r="C151" t="s">
        <v>394</v>
      </c>
      <c r="D151" t="s">
        <v>35</v>
      </c>
      <c r="E151" s="37">
        <v>58</v>
      </c>
      <c r="F151" t="s">
        <v>97</v>
      </c>
      <c r="G151" t="s">
        <v>98</v>
      </c>
      <c r="H151" t="s">
        <v>66</v>
      </c>
      <c r="I151" t="s">
        <v>82</v>
      </c>
      <c r="J151" t="s">
        <v>161</v>
      </c>
      <c r="K151" s="37">
        <v>0</v>
      </c>
      <c r="L151" t="s">
        <v>52</v>
      </c>
      <c r="M151" s="21">
        <v>59400</v>
      </c>
      <c r="N151" s="21">
        <v>819719</v>
      </c>
      <c r="O151" s="21">
        <v>106920</v>
      </c>
      <c r="P151" s="37">
        <v>4</v>
      </c>
      <c r="Q151" t="s">
        <v>42</v>
      </c>
      <c r="R151" s="37">
        <v>20</v>
      </c>
      <c r="S151" s="37">
        <v>35</v>
      </c>
      <c r="T151" t="s">
        <v>94</v>
      </c>
      <c r="U151" t="s">
        <v>54</v>
      </c>
      <c r="V151" t="s">
        <v>45</v>
      </c>
      <c r="W151" t="str">
        <f t="shared" si="10"/>
        <v>51-58</v>
      </c>
      <c r="X151" t="str">
        <f t="shared" si="11"/>
        <v>0-5 yrs</v>
      </c>
      <c r="Y151" t="str">
        <f t="shared" si="12"/>
        <v>Nov</v>
      </c>
      <c r="Z151">
        <f t="shared" si="13"/>
        <v>2025</v>
      </c>
      <c r="AA151">
        <f t="shared" si="14"/>
        <v>0</v>
      </c>
    </row>
    <row r="152" spans="1:27" ht="15" customHeight="1" x14ac:dyDescent="0.3">
      <c r="A152" t="s">
        <v>395</v>
      </c>
      <c r="B152" s="20">
        <v>45699</v>
      </c>
      <c r="C152" t="s">
        <v>396</v>
      </c>
      <c r="D152" t="s">
        <v>48</v>
      </c>
      <c r="E152" s="37">
        <v>43</v>
      </c>
      <c r="F152" t="s">
        <v>123</v>
      </c>
      <c r="G152" t="s">
        <v>124</v>
      </c>
      <c r="H152" t="s">
        <v>118</v>
      </c>
      <c r="I152" t="s">
        <v>75</v>
      </c>
      <c r="J152" t="s">
        <v>219</v>
      </c>
      <c r="K152" s="37">
        <v>1</v>
      </c>
      <c r="L152" t="s">
        <v>52</v>
      </c>
      <c r="M152" s="21">
        <v>83900</v>
      </c>
      <c r="N152" s="21">
        <v>1067208</v>
      </c>
      <c r="O152" s="21">
        <v>60408</v>
      </c>
      <c r="P152" s="37">
        <v>4</v>
      </c>
      <c r="Q152" t="s">
        <v>42</v>
      </c>
      <c r="R152" s="37">
        <v>7</v>
      </c>
      <c r="S152" s="37">
        <v>8</v>
      </c>
      <c r="T152" t="s">
        <v>94</v>
      </c>
      <c r="U152" t="s">
        <v>63</v>
      </c>
      <c r="V152" t="s">
        <v>45</v>
      </c>
      <c r="W152" t="str">
        <f t="shared" si="10"/>
        <v>41-50</v>
      </c>
      <c r="X152" t="str">
        <f t="shared" si="11"/>
        <v>0-5 yrs</v>
      </c>
      <c r="Y152" t="str">
        <f t="shared" si="12"/>
        <v>Feb</v>
      </c>
      <c r="Z152">
        <f t="shared" si="13"/>
        <v>2025</v>
      </c>
      <c r="AA152">
        <f t="shared" si="14"/>
        <v>0</v>
      </c>
    </row>
    <row r="153" spans="1:27" ht="15" customHeight="1" x14ac:dyDescent="0.3">
      <c r="A153" t="s">
        <v>397</v>
      </c>
      <c r="B153" s="20">
        <v>45833</v>
      </c>
      <c r="C153" t="s">
        <v>364</v>
      </c>
      <c r="D153" t="s">
        <v>48</v>
      </c>
      <c r="E153" s="37">
        <v>47</v>
      </c>
      <c r="F153" t="s">
        <v>57</v>
      </c>
      <c r="G153" t="s">
        <v>58</v>
      </c>
      <c r="H153" t="s">
        <v>38</v>
      </c>
      <c r="I153" t="s">
        <v>75</v>
      </c>
      <c r="J153" t="s">
        <v>134</v>
      </c>
      <c r="K153" s="37">
        <v>26</v>
      </c>
      <c r="L153" t="s">
        <v>52</v>
      </c>
      <c r="M153" s="21">
        <v>77200</v>
      </c>
      <c r="N153" s="21">
        <v>1083888</v>
      </c>
      <c r="O153" s="21">
        <v>157488</v>
      </c>
      <c r="P153" s="37">
        <v>4</v>
      </c>
      <c r="Q153" t="s">
        <v>42</v>
      </c>
      <c r="R153" s="37">
        <v>10</v>
      </c>
      <c r="S153" s="37">
        <v>0</v>
      </c>
      <c r="T153" t="s">
        <v>68</v>
      </c>
      <c r="U153" t="s">
        <v>54</v>
      </c>
      <c r="V153" t="s">
        <v>69</v>
      </c>
      <c r="W153" t="str">
        <f t="shared" si="10"/>
        <v>41-50</v>
      </c>
      <c r="X153" t="str">
        <f t="shared" si="11"/>
        <v>21-30 yrs</v>
      </c>
      <c r="Y153" t="str">
        <f t="shared" si="12"/>
        <v>Jun</v>
      </c>
      <c r="Z153">
        <f t="shared" si="13"/>
        <v>2025</v>
      </c>
      <c r="AA153">
        <f t="shared" si="14"/>
        <v>0</v>
      </c>
    </row>
    <row r="154" spans="1:27" ht="15" customHeight="1" x14ac:dyDescent="0.3">
      <c r="A154" t="s">
        <v>398</v>
      </c>
      <c r="B154" s="20">
        <v>45702</v>
      </c>
      <c r="C154" t="s">
        <v>399</v>
      </c>
      <c r="D154" t="s">
        <v>48</v>
      </c>
      <c r="E154" s="37">
        <v>47</v>
      </c>
      <c r="F154" t="s">
        <v>108</v>
      </c>
      <c r="G154" t="s">
        <v>109</v>
      </c>
      <c r="H154" t="s">
        <v>118</v>
      </c>
      <c r="I154" t="s">
        <v>82</v>
      </c>
      <c r="J154" t="s">
        <v>250</v>
      </c>
      <c r="K154" s="37">
        <v>10</v>
      </c>
      <c r="L154" t="s">
        <v>52</v>
      </c>
      <c r="M154" s="21">
        <v>53000</v>
      </c>
      <c r="N154" s="21">
        <v>699600</v>
      </c>
      <c r="O154" s="21">
        <v>63600</v>
      </c>
      <c r="P154" s="37">
        <v>4</v>
      </c>
      <c r="Q154" t="s">
        <v>42</v>
      </c>
      <c r="R154" s="37">
        <v>20</v>
      </c>
      <c r="S154" s="37">
        <v>4</v>
      </c>
      <c r="T154" t="s">
        <v>43</v>
      </c>
      <c r="U154" t="s">
        <v>44</v>
      </c>
      <c r="V154" t="s">
        <v>45</v>
      </c>
      <c r="W154" t="str">
        <f t="shared" si="10"/>
        <v>41-50</v>
      </c>
      <c r="X154" t="str">
        <f t="shared" si="11"/>
        <v>6-10 yrs</v>
      </c>
      <c r="Y154" t="str">
        <f t="shared" si="12"/>
        <v>Feb</v>
      </c>
      <c r="Z154">
        <f t="shared" si="13"/>
        <v>2025</v>
      </c>
      <c r="AA154">
        <f t="shared" si="14"/>
        <v>0</v>
      </c>
    </row>
    <row r="155" spans="1:27" ht="15" customHeight="1" x14ac:dyDescent="0.3">
      <c r="A155" t="s">
        <v>400</v>
      </c>
      <c r="B155" s="20">
        <v>45987</v>
      </c>
      <c r="C155" t="s">
        <v>401</v>
      </c>
      <c r="D155" t="s">
        <v>35</v>
      </c>
      <c r="E155" s="37">
        <v>51</v>
      </c>
      <c r="F155" t="s">
        <v>97</v>
      </c>
      <c r="G155" t="s">
        <v>98</v>
      </c>
      <c r="H155" t="s">
        <v>66</v>
      </c>
      <c r="I155" t="s">
        <v>39</v>
      </c>
      <c r="J155" t="s">
        <v>170</v>
      </c>
      <c r="K155" s="37">
        <v>11</v>
      </c>
      <c r="L155" t="s">
        <v>41</v>
      </c>
      <c r="M155" s="21">
        <v>50000</v>
      </c>
      <c r="N155" s="21">
        <v>702000</v>
      </c>
      <c r="O155" s="21">
        <v>102000</v>
      </c>
      <c r="P155" s="37">
        <v>5</v>
      </c>
      <c r="Q155" t="s">
        <v>42</v>
      </c>
      <c r="R155" s="37">
        <v>5</v>
      </c>
      <c r="S155" s="37">
        <v>40</v>
      </c>
      <c r="T155" t="s">
        <v>53</v>
      </c>
      <c r="U155" t="s">
        <v>54</v>
      </c>
      <c r="V155" t="s">
        <v>45</v>
      </c>
      <c r="W155" t="str">
        <f t="shared" si="10"/>
        <v>51-58</v>
      </c>
      <c r="X155" t="str">
        <f t="shared" si="11"/>
        <v>11-20 yrs</v>
      </c>
      <c r="Y155" t="str">
        <f t="shared" si="12"/>
        <v>Nov</v>
      </c>
      <c r="Z155">
        <f t="shared" si="13"/>
        <v>2025</v>
      </c>
      <c r="AA155">
        <f t="shared" si="14"/>
        <v>0</v>
      </c>
    </row>
    <row r="156" spans="1:27" ht="15" customHeight="1" x14ac:dyDescent="0.3">
      <c r="A156" t="s">
        <v>402</v>
      </c>
      <c r="B156" s="20">
        <v>45938</v>
      </c>
      <c r="C156" t="s">
        <v>403</v>
      </c>
      <c r="D156" t="s">
        <v>35</v>
      </c>
      <c r="E156" s="37">
        <v>58</v>
      </c>
      <c r="F156" t="s">
        <v>91</v>
      </c>
      <c r="G156" t="s">
        <v>92</v>
      </c>
      <c r="H156" t="s">
        <v>118</v>
      </c>
      <c r="I156" t="s">
        <v>39</v>
      </c>
      <c r="J156" t="s">
        <v>119</v>
      </c>
      <c r="K156" s="37">
        <v>25</v>
      </c>
      <c r="L156" t="s">
        <v>52</v>
      </c>
      <c r="M156" s="21">
        <v>39200</v>
      </c>
      <c r="N156" s="21">
        <v>545664</v>
      </c>
      <c r="O156" s="21">
        <v>75264</v>
      </c>
      <c r="P156" s="37">
        <v>3</v>
      </c>
      <c r="Q156" t="s">
        <v>42</v>
      </c>
      <c r="R156" s="37">
        <v>10</v>
      </c>
      <c r="S156" s="37">
        <v>15</v>
      </c>
      <c r="T156" t="s">
        <v>62</v>
      </c>
      <c r="U156" t="s">
        <v>54</v>
      </c>
      <c r="V156" t="s">
        <v>69</v>
      </c>
      <c r="W156" t="str">
        <f t="shared" si="10"/>
        <v>51-58</v>
      </c>
      <c r="X156" t="str">
        <f t="shared" si="11"/>
        <v>21-30 yrs</v>
      </c>
      <c r="Y156" t="str">
        <f t="shared" si="12"/>
        <v>Oct</v>
      </c>
      <c r="Z156">
        <f t="shared" si="13"/>
        <v>2025</v>
      </c>
      <c r="AA156">
        <f t="shared" si="14"/>
        <v>0</v>
      </c>
    </row>
    <row r="157" spans="1:27" ht="15" customHeight="1" x14ac:dyDescent="0.3">
      <c r="A157" t="s">
        <v>404</v>
      </c>
      <c r="B157" s="20">
        <v>45846</v>
      </c>
      <c r="C157" t="s">
        <v>405</v>
      </c>
      <c r="D157" t="s">
        <v>48</v>
      </c>
      <c r="E157" s="37">
        <v>51</v>
      </c>
      <c r="F157" t="s">
        <v>108</v>
      </c>
      <c r="G157" t="s">
        <v>109</v>
      </c>
      <c r="H157" t="s">
        <v>66</v>
      </c>
      <c r="I157" t="s">
        <v>75</v>
      </c>
      <c r="J157" t="s">
        <v>149</v>
      </c>
      <c r="K157" s="37">
        <v>23</v>
      </c>
      <c r="L157" t="s">
        <v>52</v>
      </c>
      <c r="M157" s="21">
        <v>116500</v>
      </c>
      <c r="N157" s="21">
        <v>1593720</v>
      </c>
      <c r="O157" s="21">
        <v>195720</v>
      </c>
      <c r="P157" s="37">
        <v>5</v>
      </c>
      <c r="Q157" t="s">
        <v>42</v>
      </c>
      <c r="R157" s="37">
        <v>9</v>
      </c>
      <c r="S157" s="37">
        <v>20</v>
      </c>
      <c r="T157" t="s">
        <v>77</v>
      </c>
      <c r="U157" t="s">
        <v>138</v>
      </c>
      <c r="V157" t="s">
        <v>69</v>
      </c>
      <c r="W157" t="str">
        <f t="shared" si="10"/>
        <v>51-58</v>
      </c>
      <c r="X157" t="str">
        <f t="shared" si="11"/>
        <v>21-30 yrs</v>
      </c>
      <c r="Y157" t="str">
        <f t="shared" si="12"/>
        <v>Jul</v>
      </c>
      <c r="Z157">
        <f t="shared" si="13"/>
        <v>2025</v>
      </c>
      <c r="AA157">
        <f t="shared" si="14"/>
        <v>0</v>
      </c>
    </row>
    <row r="158" spans="1:27" ht="15" customHeight="1" x14ac:dyDescent="0.3">
      <c r="A158" t="s">
        <v>406</v>
      </c>
      <c r="B158" s="20">
        <v>45944</v>
      </c>
      <c r="C158" t="s">
        <v>407</v>
      </c>
      <c r="D158" t="s">
        <v>48</v>
      </c>
      <c r="E158" s="37">
        <v>34</v>
      </c>
      <c r="F158" t="s">
        <v>49</v>
      </c>
      <c r="G158" t="s">
        <v>50</v>
      </c>
      <c r="H158" t="s">
        <v>118</v>
      </c>
      <c r="I158" t="s">
        <v>39</v>
      </c>
      <c r="J158" t="s">
        <v>182</v>
      </c>
      <c r="K158" s="37">
        <v>1</v>
      </c>
      <c r="L158" t="s">
        <v>120</v>
      </c>
      <c r="M158" s="21">
        <v>28800</v>
      </c>
      <c r="N158" s="21">
        <v>400896</v>
      </c>
      <c r="O158" s="21">
        <v>55296</v>
      </c>
      <c r="P158" s="37">
        <v>3</v>
      </c>
      <c r="Q158" t="s">
        <v>42</v>
      </c>
      <c r="R158" s="37">
        <v>20</v>
      </c>
      <c r="S158" s="37">
        <v>29</v>
      </c>
      <c r="T158" t="s">
        <v>105</v>
      </c>
      <c r="U158" t="s">
        <v>44</v>
      </c>
      <c r="V158" t="s">
        <v>69</v>
      </c>
      <c r="W158" t="str">
        <f t="shared" si="10"/>
        <v>31-40</v>
      </c>
      <c r="X158" t="str">
        <f t="shared" si="11"/>
        <v>0-5 yrs</v>
      </c>
      <c r="Y158" t="str">
        <f t="shared" si="12"/>
        <v>Oct</v>
      </c>
      <c r="Z158">
        <f t="shared" si="13"/>
        <v>2025</v>
      </c>
      <c r="AA158">
        <f t="shared" si="14"/>
        <v>0</v>
      </c>
    </row>
    <row r="159" spans="1:27" ht="15" customHeight="1" x14ac:dyDescent="0.3">
      <c r="A159" t="s">
        <v>408</v>
      </c>
      <c r="B159" s="20">
        <v>45712</v>
      </c>
      <c r="C159" t="s">
        <v>409</v>
      </c>
      <c r="D159" t="s">
        <v>48</v>
      </c>
      <c r="E159" s="37">
        <v>50</v>
      </c>
      <c r="F159" t="s">
        <v>123</v>
      </c>
      <c r="G159" t="s">
        <v>124</v>
      </c>
      <c r="H159" t="s">
        <v>66</v>
      </c>
      <c r="I159" t="s">
        <v>82</v>
      </c>
      <c r="J159" t="s">
        <v>161</v>
      </c>
      <c r="K159" s="37">
        <v>17</v>
      </c>
      <c r="L159" t="s">
        <v>41</v>
      </c>
      <c r="M159" s="21">
        <v>75900</v>
      </c>
      <c r="N159" s="21">
        <v>1092960</v>
      </c>
      <c r="O159" s="21">
        <v>182160</v>
      </c>
      <c r="P159" s="37">
        <v>1</v>
      </c>
      <c r="Q159" t="s">
        <v>42</v>
      </c>
      <c r="R159" s="37">
        <v>8</v>
      </c>
      <c r="S159" s="37">
        <v>40</v>
      </c>
      <c r="T159" t="s">
        <v>146</v>
      </c>
      <c r="U159" t="s">
        <v>44</v>
      </c>
      <c r="V159" t="s">
        <v>69</v>
      </c>
      <c r="W159" t="str">
        <f t="shared" si="10"/>
        <v>41-50</v>
      </c>
      <c r="X159" t="str">
        <f t="shared" si="11"/>
        <v>11-20 yrs</v>
      </c>
      <c r="Y159" t="str">
        <f t="shared" si="12"/>
        <v>Feb</v>
      </c>
      <c r="Z159">
        <f t="shared" si="13"/>
        <v>2025</v>
      </c>
      <c r="AA159">
        <f t="shared" si="14"/>
        <v>0</v>
      </c>
    </row>
    <row r="160" spans="1:27" ht="15" customHeight="1" x14ac:dyDescent="0.3">
      <c r="A160" t="s">
        <v>410</v>
      </c>
      <c r="B160" s="20">
        <v>45708</v>
      </c>
      <c r="C160" t="s">
        <v>411</v>
      </c>
      <c r="D160" t="s">
        <v>35</v>
      </c>
      <c r="E160" s="37">
        <v>32</v>
      </c>
      <c r="F160" t="s">
        <v>72</v>
      </c>
      <c r="G160" t="s">
        <v>73</v>
      </c>
      <c r="H160" t="s">
        <v>59</v>
      </c>
      <c r="I160" t="s">
        <v>82</v>
      </c>
      <c r="J160" t="s">
        <v>141</v>
      </c>
      <c r="K160" s="37">
        <v>18</v>
      </c>
      <c r="L160" t="s">
        <v>52</v>
      </c>
      <c r="M160" s="21">
        <v>50100</v>
      </c>
      <c r="N160" s="21">
        <v>709416</v>
      </c>
      <c r="O160" s="21">
        <v>108216</v>
      </c>
      <c r="P160" s="37">
        <v>5</v>
      </c>
      <c r="Q160" t="s">
        <v>42</v>
      </c>
      <c r="R160" s="37">
        <v>20</v>
      </c>
      <c r="S160" s="37">
        <v>13</v>
      </c>
      <c r="T160" t="s">
        <v>53</v>
      </c>
      <c r="U160" t="s">
        <v>138</v>
      </c>
      <c r="V160" t="s">
        <v>45</v>
      </c>
      <c r="W160" t="str">
        <f t="shared" si="10"/>
        <v>31-40</v>
      </c>
      <c r="X160" t="str">
        <f t="shared" si="11"/>
        <v>11-20 yrs</v>
      </c>
      <c r="Y160" t="str">
        <f t="shared" si="12"/>
        <v>Feb</v>
      </c>
      <c r="Z160">
        <f t="shared" si="13"/>
        <v>2025</v>
      </c>
      <c r="AA160">
        <f t="shared" si="14"/>
        <v>0</v>
      </c>
    </row>
    <row r="161" spans="1:27" ht="15" customHeight="1" x14ac:dyDescent="0.3">
      <c r="A161" t="s">
        <v>412</v>
      </c>
      <c r="B161" s="20">
        <v>45713</v>
      </c>
      <c r="C161" t="s">
        <v>413</v>
      </c>
      <c r="D161" t="s">
        <v>35</v>
      </c>
      <c r="E161" s="37">
        <v>40</v>
      </c>
      <c r="F161" t="s">
        <v>57</v>
      </c>
      <c r="G161" t="s">
        <v>58</v>
      </c>
      <c r="H161" t="s">
        <v>38</v>
      </c>
      <c r="I161" t="s">
        <v>75</v>
      </c>
      <c r="J161" t="s">
        <v>40</v>
      </c>
      <c r="K161" s="37">
        <v>3</v>
      </c>
      <c r="L161" t="s">
        <v>52</v>
      </c>
      <c r="M161" s="21">
        <v>102100</v>
      </c>
      <c r="N161" s="21">
        <v>1372224</v>
      </c>
      <c r="O161" s="21">
        <v>147024</v>
      </c>
      <c r="P161" s="37">
        <v>2</v>
      </c>
      <c r="Q161" t="s">
        <v>42</v>
      </c>
      <c r="R161" s="37">
        <v>3</v>
      </c>
      <c r="S161" s="37">
        <v>33</v>
      </c>
      <c r="T161" t="s">
        <v>77</v>
      </c>
      <c r="U161" t="s">
        <v>44</v>
      </c>
      <c r="V161" t="s">
        <v>45</v>
      </c>
      <c r="W161" t="str">
        <f t="shared" si="10"/>
        <v>31-40</v>
      </c>
      <c r="X161" t="str">
        <f t="shared" si="11"/>
        <v>0-5 yrs</v>
      </c>
      <c r="Y161" t="str">
        <f t="shared" si="12"/>
        <v>Feb</v>
      </c>
      <c r="Z161">
        <f t="shared" si="13"/>
        <v>2025</v>
      </c>
      <c r="AA161">
        <f t="shared" si="14"/>
        <v>0</v>
      </c>
    </row>
    <row r="162" spans="1:27" ht="15" customHeight="1" x14ac:dyDescent="0.3">
      <c r="A162" t="s">
        <v>414</v>
      </c>
      <c r="B162" s="20">
        <v>45997</v>
      </c>
      <c r="C162" t="s">
        <v>415</v>
      </c>
      <c r="D162" t="s">
        <v>35</v>
      </c>
      <c r="E162" s="37">
        <v>26</v>
      </c>
      <c r="F162" t="s">
        <v>36</v>
      </c>
      <c r="G162" t="s">
        <v>37</v>
      </c>
      <c r="H162" t="s">
        <v>74</v>
      </c>
      <c r="I162" t="s">
        <v>39</v>
      </c>
      <c r="J162" t="s">
        <v>152</v>
      </c>
      <c r="K162" s="37">
        <v>27</v>
      </c>
      <c r="L162" t="s">
        <v>52</v>
      </c>
      <c r="M162" s="21">
        <v>32900</v>
      </c>
      <c r="N162" s="21">
        <v>473760</v>
      </c>
      <c r="O162" s="21">
        <v>78960</v>
      </c>
      <c r="P162" s="37">
        <v>3</v>
      </c>
      <c r="Q162" t="s">
        <v>42</v>
      </c>
      <c r="R162" s="37">
        <v>19</v>
      </c>
      <c r="S162" s="37">
        <v>2</v>
      </c>
      <c r="T162" t="s">
        <v>105</v>
      </c>
      <c r="U162" t="s">
        <v>44</v>
      </c>
      <c r="V162" t="s">
        <v>69</v>
      </c>
      <c r="W162" t="str">
        <f t="shared" si="10"/>
        <v>22-30</v>
      </c>
      <c r="X162" t="str">
        <f t="shared" si="11"/>
        <v>21-30 yrs</v>
      </c>
      <c r="Y162" t="str">
        <f t="shared" si="12"/>
        <v>Dec</v>
      </c>
      <c r="Z162">
        <f t="shared" si="13"/>
        <v>2025</v>
      </c>
      <c r="AA162">
        <f t="shared" si="14"/>
        <v>0</v>
      </c>
    </row>
    <row r="163" spans="1:27" ht="15" customHeight="1" x14ac:dyDescent="0.3">
      <c r="A163" t="s">
        <v>416</v>
      </c>
      <c r="B163" s="20">
        <v>45886</v>
      </c>
      <c r="C163" t="s">
        <v>405</v>
      </c>
      <c r="D163" t="s">
        <v>48</v>
      </c>
      <c r="E163" s="37">
        <v>26</v>
      </c>
      <c r="F163" t="s">
        <v>57</v>
      </c>
      <c r="G163" t="s">
        <v>58</v>
      </c>
      <c r="H163" t="s">
        <v>59</v>
      </c>
      <c r="I163" t="s">
        <v>60</v>
      </c>
      <c r="J163" t="s">
        <v>88</v>
      </c>
      <c r="K163" s="37">
        <v>24</v>
      </c>
      <c r="L163" t="s">
        <v>52</v>
      </c>
      <c r="M163" s="21">
        <v>114600</v>
      </c>
      <c r="N163" s="21">
        <v>1471464</v>
      </c>
      <c r="O163" s="21">
        <v>96264</v>
      </c>
      <c r="P163" s="37">
        <v>3</v>
      </c>
      <c r="Q163" t="s">
        <v>42</v>
      </c>
      <c r="R163" s="37">
        <v>3</v>
      </c>
      <c r="S163" s="37">
        <v>38</v>
      </c>
      <c r="T163" t="s">
        <v>77</v>
      </c>
      <c r="U163" t="s">
        <v>63</v>
      </c>
      <c r="V163" t="s">
        <v>45</v>
      </c>
      <c r="W163" t="str">
        <f t="shared" si="10"/>
        <v>22-30</v>
      </c>
      <c r="X163" t="str">
        <f t="shared" si="11"/>
        <v>21-30 yrs</v>
      </c>
      <c r="Y163" t="str">
        <f t="shared" si="12"/>
        <v>Aug</v>
      </c>
      <c r="Z163">
        <f t="shared" si="13"/>
        <v>2025</v>
      </c>
      <c r="AA163">
        <f t="shared" si="14"/>
        <v>0</v>
      </c>
    </row>
    <row r="164" spans="1:27" ht="15" customHeight="1" x14ac:dyDescent="0.3">
      <c r="A164" t="s">
        <v>417</v>
      </c>
      <c r="B164" s="20">
        <v>45764</v>
      </c>
      <c r="C164" t="s">
        <v>380</v>
      </c>
      <c r="D164" t="s">
        <v>35</v>
      </c>
      <c r="E164" s="37">
        <v>53</v>
      </c>
      <c r="F164" t="s">
        <v>86</v>
      </c>
      <c r="G164" t="s">
        <v>87</v>
      </c>
      <c r="H164" t="s">
        <v>74</v>
      </c>
      <c r="I164" t="s">
        <v>82</v>
      </c>
      <c r="J164" t="s">
        <v>83</v>
      </c>
      <c r="K164" s="37">
        <v>9</v>
      </c>
      <c r="L164" t="s">
        <v>52</v>
      </c>
      <c r="M164" s="21">
        <v>59000</v>
      </c>
      <c r="N164" s="21">
        <v>842520</v>
      </c>
      <c r="O164" s="21">
        <v>134520</v>
      </c>
      <c r="P164" s="37">
        <v>4</v>
      </c>
      <c r="Q164" t="s">
        <v>126</v>
      </c>
      <c r="R164" s="37">
        <v>4</v>
      </c>
      <c r="S164" s="37">
        <v>37</v>
      </c>
      <c r="T164" t="s">
        <v>68</v>
      </c>
      <c r="U164" t="s">
        <v>63</v>
      </c>
      <c r="V164" t="s">
        <v>45</v>
      </c>
      <c r="W164" t="str">
        <f t="shared" si="10"/>
        <v>51-58</v>
      </c>
      <c r="X164" t="str">
        <f t="shared" si="11"/>
        <v>6-10 yrs</v>
      </c>
      <c r="Y164" t="str">
        <f t="shared" si="12"/>
        <v>Apr</v>
      </c>
      <c r="Z164">
        <f t="shared" si="13"/>
        <v>2025</v>
      </c>
      <c r="AA164">
        <f t="shared" si="14"/>
        <v>1</v>
      </c>
    </row>
    <row r="165" spans="1:27" ht="15" customHeight="1" x14ac:dyDescent="0.3">
      <c r="A165" t="s">
        <v>418</v>
      </c>
      <c r="B165" s="20">
        <v>45669</v>
      </c>
      <c r="C165" t="s">
        <v>245</v>
      </c>
      <c r="D165" t="s">
        <v>48</v>
      </c>
      <c r="E165" s="37">
        <v>36</v>
      </c>
      <c r="F165" t="s">
        <v>57</v>
      </c>
      <c r="G165" t="s">
        <v>58</v>
      </c>
      <c r="H165" t="s">
        <v>66</v>
      </c>
      <c r="I165" t="s">
        <v>60</v>
      </c>
      <c r="J165" t="s">
        <v>93</v>
      </c>
      <c r="K165" s="37">
        <v>6</v>
      </c>
      <c r="L165" t="s">
        <v>41</v>
      </c>
      <c r="M165" s="21">
        <v>147600</v>
      </c>
      <c r="N165" s="21">
        <v>1859760</v>
      </c>
      <c r="O165" s="21">
        <v>88560</v>
      </c>
      <c r="P165" s="37">
        <v>2</v>
      </c>
      <c r="Q165" t="s">
        <v>126</v>
      </c>
      <c r="R165" s="37">
        <v>5</v>
      </c>
      <c r="S165" s="37">
        <v>5</v>
      </c>
      <c r="T165" t="s">
        <v>53</v>
      </c>
      <c r="U165" t="s">
        <v>54</v>
      </c>
      <c r="V165" t="s">
        <v>45</v>
      </c>
      <c r="W165" t="str">
        <f t="shared" si="10"/>
        <v>31-40</v>
      </c>
      <c r="X165" t="str">
        <f t="shared" si="11"/>
        <v>6-10 yrs</v>
      </c>
      <c r="Y165" t="str">
        <f t="shared" si="12"/>
        <v>Jan</v>
      </c>
      <c r="Z165">
        <f t="shared" si="13"/>
        <v>2025</v>
      </c>
      <c r="AA165">
        <f t="shared" si="14"/>
        <v>1</v>
      </c>
    </row>
    <row r="166" spans="1:27" ht="15" customHeight="1" x14ac:dyDescent="0.3">
      <c r="A166" t="s">
        <v>419</v>
      </c>
      <c r="B166" s="20">
        <v>45901</v>
      </c>
      <c r="C166" t="s">
        <v>313</v>
      </c>
      <c r="D166" t="s">
        <v>48</v>
      </c>
      <c r="E166" s="37">
        <v>38</v>
      </c>
      <c r="F166" t="s">
        <v>80</v>
      </c>
      <c r="G166" t="s">
        <v>81</v>
      </c>
      <c r="H166" t="s">
        <v>66</v>
      </c>
      <c r="I166" t="s">
        <v>82</v>
      </c>
      <c r="J166" t="s">
        <v>149</v>
      </c>
      <c r="K166" s="37">
        <v>17</v>
      </c>
      <c r="L166" t="s">
        <v>52</v>
      </c>
      <c r="M166" s="21">
        <v>73500</v>
      </c>
      <c r="N166" s="21">
        <v>943740</v>
      </c>
      <c r="O166" s="21">
        <v>61740</v>
      </c>
      <c r="P166" s="37">
        <v>4</v>
      </c>
      <c r="Q166" t="s">
        <v>42</v>
      </c>
      <c r="R166" s="37">
        <v>1</v>
      </c>
      <c r="S166" s="37">
        <v>3</v>
      </c>
      <c r="T166" t="s">
        <v>77</v>
      </c>
      <c r="U166" t="s">
        <v>63</v>
      </c>
      <c r="V166" t="s">
        <v>45</v>
      </c>
      <c r="W166" t="str">
        <f t="shared" si="10"/>
        <v>31-40</v>
      </c>
      <c r="X166" t="str">
        <f t="shared" si="11"/>
        <v>11-20 yrs</v>
      </c>
      <c r="Y166" t="str">
        <f t="shared" si="12"/>
        <v>Sep</v>
      </c>
      <c r="Z166">
        <f t="shared" si="13"/>
        <v>2025</v>
      </c>
      <c r="AA166">
        <f t="shared" si="14"/>
        <v>0</v>
      </c>
    </row>
    <row r="167" spans="1:27" ht="15" customHeight="1" x14ac:dyDescent="0.3">
      <c r="A167" t="s">
        <v>420</v>
      </c>
      <c r="B167" s="20">
        <v>45892</v>
      </c>
      <c r="C167" t="s">
        <v>336</v>
      </c>
      <c r="D167" t="s">
        <v>48</v>
      </c>
      <c r="E167" s="37">
        <v>26</v>
      </c>
      <c r="F167" t="s">
        <v>97</v>
      </c>
      <c r="G167" t="s">
        <v>98</v>
      </c>
      <c r="H167" t="s">
        <v>38</v>
      </c>
      <c r="I167" t="s">
        <v>51</v>
      </c>
      <c r="J167" t="s">
        <v>40</v>
      </c>
      <c r="K167" s="37">
        <v>18</v>
      </c>
      <c r="L167" t="s">
        <v>52</v>
      </c>
      <c r="M167" s="21">
        <v>189500</v>
      </c>
      <c r="N167" s="21">
        <v>2683320</v>
      </c>
      <c r="O167" s="21">
        <v>409320</v>
      </c>
      <c r="P167" s="37">
        <v>3</v>
      </c>
      <c r="Q167" t="s">
        <v>42</v>
      </c>
      <c r="R167" s="37">
        <v>1</v>
      </c>
      <c r="S167" s="37">
        <v>21</v>
      </c>
      <c r="T167" t="s">
        <v>105</v>
      </c>
      <c r="U167" t="s">
        <v>63</v>
      </c>
      <c r="V167" t="s">
        <v>69</v>
      </c>
      <c r="W167" t="str">
        <f t="shared" si="10"/>
        <v>22-30</v>
      </c>
      <c r="X167" t="str">
        <f t="shared" si="11"/>
        <v>11-20 yrs</v>
      </c>
      <c r="Y167" t="str">
        <f t="shared" si="12"/>
        <v>Aug</v>
      </c>
      <c r="Z167">
        <f t="shared" si="13"/>
        <v>2025</v>
      </c>
      <c r="AA167">
        <f t="shared" si="14"/>
        <v>0</v>
      </c>
    </row>
    <row r="168" spans="1:27" ht="15" customHeight="1" x14ac:dyDescent="0.3">
      <c r="A168" t="s">
        <v>421</v>
      </c>
      <c r="B168" s="20">
        <v>45704</v>
      </c>
      <c r="C168" t="s">
        <v>422</v>
      </c>
      <c r="D168" t="s">
        <v>48</v>
      </c>
      <c r="E168" s="37">
        <v>39</v>
      </c>
      <c r="F168" t="s">
        <v>123</v>
      </c>
      <c r="G168" t="s">
        <v>124</v>
      </c>
      <c r="H168" t="s">
        <v>59</v>
      </c>
      <c r="I168" t="s">
        <v>39</v>
      </c>
      <c r="J168" t="s">
        <v>104</v>
      </c>
      <c r="K168" s="37">
        <v>11</v>
      </c>
      <c r="L168" t="s">
        <v>52</v>
      </c>
      <c r="M168" s="21">
        <v>31300</v>
      </c>
      <c r="N168" s="21">
        <v>413160</v>
      </c>
      <c r="O168" s="21">
        <v>37560</v>
      </c>
      <c r="P168" s="37">
        <v>4</v>
      </c>
      <c r="Q168" t="s">
        <v>42</v>
      </c>
      <c r="R168" s="37">
        <v>13</v>
      </c>
      <c r="S168" s="37">
        <v>4</v>
      </c>
      <c r="T168" t="s">
        <v>43</v>
      </c>
      <c r="U168" t="s">
        <v>44</v>
      </c>
      <c r="V168" t="s">
        <v>69</v>
      </c>
      <c r="W168" t="str">
        <f t="shared" si="10"/>
        <v>31-40</v>
      </c>
      <c r="X168" t="str">
        <f t="shared" si="11"/>
        <v>11-20 yrs</v>
      </c>
      <c r="Y168" t="str">
        <f t="shared" si="12"/>
        <v>Feb</v>
      </c>
      <c r="Z168">
        <f t="shared" si="13"/>
        <v>2025</v>
      </c>
      <c r="AA168">
        <f t="shared" si="14"/>
        <v>0</v>
      </c>
    </row>
    <row r="169" spans="1:27" ht="15" customHeight="1" x14ac:dyDescent="0.3">
      <c r="A169" t="s">
        <v>423</v>
      </c>
      <c r="B169" s="20">
        <v>45786</v>
      </c>
      <c r="C169" t="s">
        <v>292</v>
      </c>
      <c r="D169" t="s">
        <v>35</v>
      </c>
      <c r="E169" s="37">
        <v>51</v>
      </c>
      <c r="F169" t="s">
        <v>57</v>
      </c>
      <c r="G169" t="s">
        <v>58</v>
      </c>
      <c r="H169" t="s">
        <v>118</v>
      </c>
      <c r="I169" t="s">
        <v>75</v>
      </c>
      <c r="J169" t="s">
        <v>182</v>
      </c>
      <c r="K169" s="37">
        <v>21</v>
      </c>
      <c r="L169" t="s">
        <v>52</v>
      </c>
      <c r="M169" s="21">
        <v>100600</v>
      </c>
      <c r="N169" s="21">
        <v>1327920</v>
      </c>
      <c r="O169" s="21">
        <v>120720</v>
      </c>
      <c r="P169" s="37">
        <v>5</v>
      </c>
      <c r="Q169" t="s">
        <v>42</v>
      </c>
      <c r="R169" s="37">
        <v>7</v>
      </c>
      <c r="S169" s="37">
        <v>25</v>
      </c>
      <c r="T169" t="s">
        <v>129</v>
      </c>
      <c r="U169" t="s">
        <v>44</v>
      </c>
      <c r="V169" t="s">
        <v>45</v>
      </c>
      <c r="W169" t="str">
        <f t="shared" si="10"/>
        <v>51-58</v>
      </c>
      <c r="X169" t="str">
        <f t="shared" si="11"/>
        <v>21-30 yrs</v>
      </c>
      <c r="Y169" t="str">
        <f t="shared" si="12"/>
        <v>May</v>
      </c>
      <c r="Z169">
        <f t="shared" si="13"/>
        <v>2025</v>
      </c>
      <c r="AA169">
        <f t="shared" si="14"/>
        <v>0</v>
      </c>
    </row>
    <row r="170" spans="1:27" ht="15" customHeight="1" x14ac:dyDescent="0.3">
      <c r="A170" t="s">
        <v>424</v>
      </c>
      <c r="B170" s="20">
        <v>45759</v>
      </c>
      <c r="C170" t="s">
        <v>425</v>
      </c>
      <c r="D170" t="s">
        <v>48</v>
      </c>
      <c r="E170" s="37">
        <v>48</v>
      </c>
      <c r="F170" t="s">
        <v>108</v>
      </c>
      <c r="G170" t="s">
        <v>109</v>
      </c>
      <c r="H170" t="s">
        <v>66</v>
      </c>
      <c r="I170" t="s">
        <v>39</v>
      </c>
      <c r="J170" t="s">
        <v>93</v>
      </c>
      <c r="K170" s="37">
        <v>1</v>
      </c>
      <c r="L170" t="s">
        <v>52</v>
      </c>
      <c r="M170" s="21">
        <v>38500</v>
      </c>
      <c r="N170" s="21">
        <v>503580</v>
      </c>
      <c r="O170" s="21">
        <v>41580</v>
      </c>
      <c r="P170" s="37">
        <v>4</v>
      </c>
      <c r="Q170" t="s">
        <v>42</v>
      </c>
      <c r="R170" s="37">
        <v>10</v>
      </c>
      <c r="S170" s="37">
        <v>38</v>
      </c>
      <c r="T170" t="s">
        <v>43</v>
      </c>
      <c r="U170" t="s">
        <v>44</v>
      </c>
      <c r="V170" t="s">
        <v>69</v>
      </c>
      <c r="W170" t="str">
        <f t="shared" si="10"/>
        <v>41-50</v>
      </c>
      <c r="X170" t="str">
        <f t="shared" si="11"/>
        <v>0-5 yrs</v>
      </c>
      <c r="Y170" t="str">
        <f t="shared" si="12"/>
        <v>Apr</v>
      </c>
      <c r="Z170">
        <f t="shared" si="13"/>
        <v>2025</v>
      </c>
      <c r="AA170">
        <f t="shared" si="14"/>
        <v>0</v>
      </c>
    </row>
    <row r="171" spans="1:27" ht="15" customHeight="1" x14ac:dyDescent="0.3">
      <c r="A171" t="s">
        <v>426</v>
      </c>
      <c r="B171" s="20">
        <v>45951</v>
      </c>
      <c r="C171" t="s">
        <v>427</v>
      </c>
      <c r="D171" t="s">
        <v>35</v>
      </c>
      <c r="E171" s="37">
        <v>23</v>
      </c>
      <c r="F171" t="s">
        <v>36</v>
      </c>
      <c r="G171" t="s">
        <v>37</v>
      </c>
      <c r="H171" t="s">
        <v>38</v>
      </c>
      <c r="I171" t="s">
        <v>51</v>
      </c>
      <c r="J171" t="s">
        <v>40</v>
      </c>
      <c r="K171" s="37">
        <v>9</v>
      </c>
      <c r="L171" t="s">
        <v>52</v>
      </c>
      <c r="M171" s="21">
        <v>234900</v>
      </c>
      <c r="N171" s="21">
        <v>3213432</v>
      </c>
      <c r="O171" s="21">
        <v>394632</v>
      </c>
      <c r="P171" s="37">
        <v>4</v>
      </c>
      <c r="Q171" t="s">
        <v>42</v>
      </c>
      <c r="R171" s="37">
        <v>1</v>
      </c>
      <c r="S171" s="37">
        <v>28</v>
      </c>
      <c r="T171" t="s">
        <v>53</v>
      </c>
      <c r="U171" t="s">
        <v>54</v>
      </c>
      <c r="V171" t="s">
        <v>69</v>
      </c>
      <c r="W171" t="str">
        <f t="shared" si="10"/>
        <v>22-30</v>
      </c>
      <c r="X171" t="str">
        <f t="shared" si="11"/>
        <v>6-10 yrs</v>
      </c>
      <c r="Y171" t="str">
        <f t="shared" si="12"/>
        <v>Oct</v>
      </c>
      <c r="Z171">
        <f t="shared" si="13"/>
        <v>2025</v>
      </c>
      <c r="AA171">
        <f t="shared" si="14"/>
        <v>0</v>
      </c>
    </row>
    <row r="172" spans="1:27" ht="15" customHeight="1" x14ac:dyDescent="0.3">
      <c r="A172" t="s">
        <v>428</v>
      </c>
      <c r="B172" s="20">
        <v>45824</v>
      </c>
      <c r="C172" t="s">
        <v>429</v>
      </c>
      <c r="D172" t="s">
        <v>48</v>
      </c>
      <c r="E172" s="37">
        <v>42</v>
      </c>
      <c r="F172" t="s">
        <v>72</v>
      </c>
      <c r="G172" t="s">
        <v>73</v>
      </c>
      <c r="H172" t="s">
        <v>59</v>
      </c>
      <c r="I172" t="s">
        <v>75</v>
      </c>
      <c r="J172" t="s">
        <v>104</v>
      </c>
      <c r="K172" s="37">
        <v>12</v>
      </c>
      <c r="L172" t="s">
        <v>52</v>
      </c>
      <c r="M172" s="21">
        <v>66900</v>
      </c>
      <c r="N172" s="21">
        <v>915192</v>
      </c>
      <c r="O172" s="21">
        <v>112392</v>
      </c>
      <c r="P172" s="37">
        <v>3</v>
      </c>
      <c r="Q172" t="s">
        <v>42</v>
      </c>
      <c r="R172" s="37">
        <v>0</v>
      </c>
      <c r="S172" s="37">
        <v>9</v>
      </c>
      <c r="T172" t="s">
        <v>53</v>
      </c>
      <c r="U172" t="s">
        <v>63</v>
      </c>
      <c r="V172" t="s">
        <v>45</v>
      </c>
      <c r="W172" t="str">
        <f t="shared" si="10"/>
        <v>41-50</v>
      </c>
      <c r="X172" t="str">
        <f t="shared" si="11"/>
        <v>11-20 yrs</v>
      </c>
      <c r="Y172" t="str">
        <f t="shared" si="12"/>
        <v>Jun</v>
      </c>
      <c r="Z172">
        <f t="shared" si="13"/>
        <v>2025</v>
      </c>
      <c r="AA172">
        <f t="shared" si="14"/>
        <v>0</v>
      </c>
    </row>
    <row r="173" spans="1:27" ht="15" customHeight="1" x14ac:dyDescent="0.3">
      <c r="A173" t="s">
        <v>430</v>
      </c>
      <c r="B173" s="20">
        <v>45708</v>
      </c>
      <c r="C173" t="s">
        <v>431</v>
      </c>
      <c r="D173" t="s">
        <v>48</v>
      </c>
      <c r="E173" s="37">
        <v>48</v>
      </c>
      <c r="F173" t="s">
        <v>97</v>
      </c>
      <c r="G173" t="s">
        <v>98</v>
      </c>
      <c r="H173" t="s">
        <v>66</v>
      </c>
      <c r="I173" t="s">
        <v>60</v>
      </c>
      <c r="J173" t="s">
        <v>67</v>
      </c>
      <c r="K173" s="37">
        <v>30</v>
      </c>
      <c r="L173" t="s">
        <v>52</v>
      </c>
      <c r="M173" s="21">
        <v>178500</v>
      </c>
      <c r="N173" s="21">
        <v>2506140</v>
      </c>
      <c r="O173" s="21">
        <v>364140</v>
      </c>
      <c r="P173" s="37">
        <v>4</v>
      </c>
      <c r="Q173" t="s">
        <v>42</v>
      </c>
      <c r="R173" s="37">
        <v>18</v>
      </c>
      <c r="S173" s="37">
        <v>27</v>
      </c>
      <c r="T173" t="s">
        <v>68</v>
      </c>
      <c r="U173" t="s">
        <v>63</v>
      </c>
      <c r="V173" t="s">
        <v>45</v>
      </c>
      <c r="W173" t="str">
        <f t="shared" si="10"/>
        <v>41-50</v>
      </c>
      <c r="X173" t="str">
        <f t="shared" si="11"/>
        <v>21-30 yrs</v>
      </c>
      <c r="Y173" t="str">
        <f t="shared" si="12"/>
        <v>Feb</v>
      </c>
      <c r="Z173">
        <f t="shared" si="13"/>
        <v>2025</v>
      </c>
      <c r="AA173">
        <f t="shared" si="14"/>
        <v>0</v>
      </c>
    </row>
    <row r="174" spans="1:27" ht="15" customHeight="1" x14ac:dyDescent="0.3">
      <c r="A174" t="s">
        <v>432</v>
      </c>
      <c r="B174" s="20">
        <v>45694</v>
      </c>
      <c r="C174" t="s">
        <v>323</v>
      </c>
      <c r="D174" t="s">
        <v>35</v>
      </c>
      <c r="E174" s="37">
        <v>44</v>
      </c>
      <c r="F174" t="s">
        <v>123</v>
      </c>
      <c r="G174" t="s">
        <v>124</v>
      </c>
      <c r="H174" t="s">
        <v>38</v>
      </c>
      <c r="I174" t="s">
        <v>39</v>
      </c>
      <c r="J174" t="s">
        <v>99</v>
      </c>
      <c r="K174" s="37">
        <v>13</v>
      </c>
      <c r="L174" t="s">
        <v>52</v>
      </c>
      <c r="M174" s="21">
        <v>33200</v>
      </c>
      <c r="N174" s="21">
        <v>422304</v>
      </c>
      <c r="O174" s="21">
        <v>23904</v>
      </c>
      <c r="P174" s="37">
        <v>4</v>
      </c>
      <c r="Q174" t="s">
        <v>42</v>
      </c>
      <c r="R174" s="37">
        <v>0</v>
      </c>
      <c r="S174" s="37">
        <v>10</v>
      </c>
      <c r="T174" t="s">
        <v>62</v>
      </c>
      <c r="U174" t="s">
        <v>44</v>
      </c>
      <c r="V174" t="s">
        <v>69</v>
      </c>
      <c r="W174" t="str">
        <f t="shared" si="10"/>
        <v>41-50</v>
      </c>
      <c r="X174" t="str">
        <f t="shared" si="11"/>
        <v>11-20 yrs</v>
      </c>
      <c r="Y174" t="str">
        <f t="shared" si="12"/>
        <v>Feb</v>
      </c>
      <c r="Z174">
        <f t="shared" si="13"/>
        <v>2025</v>
      </c>
      <c r="AA174">
        <f t="shared" si="14"/>
        <v>0</v>
      </c>
    </row>
    <row r="175" spans="1:27" ht="15" customHeight="1" x14ac:dyDescent="0.3">
      <c r="A175" t="s">
        <v>433</v>
      </c>
      <c r="B175" s="20">
        <v>45896</v>
      </c>
      <c r="C175" t="s">
        <v>188</v>
      </c>
      <c r="D175" t="s">
        <v>35</v>
      </c>
      <c r="E175" s="37">
        <v>24</v>
      </c>
      <c r="F175" t="s">
        <v>49</v>
      </c>
      <c r="G175" t="s">
        <v>50</v>
      </c>
      <c r="H175" t="s">
        <v>66</v>
      </c>
      <c r="I175" t="s">
        <v>39</v>
      </c>
      <c r="J175" t="s">
        <v>170</v>
      </c>
      <c r="K175" s="37">
        <v>13</v>
      </c>
      <c r="L175" t="s">
        <v>52</v>
      </c>
      <c r="M175" s="21">
        <v>46600</v>
      </c>
      <c r="N175" s="21">
        <v>620712</v>
      </c>
      <c r="O175" s="21">
        <v>61512</v>
      </c>
      <c r="P175" s="37">
        <v>3</v>
      </c>
      <c r="Q175" t="s">
        <v>42</v>
      </c>
      <c r="R175" s="37">
        <v>6</v>
      </c>
      <c r="S175" s="37">
        <v>27</v>
      </c>
      <c r="T175" t="s">
        <v>68</v>
      </c>
      <c r="U175" t="s">
        <v>54</v>
      </c>
      <c r="V175" t="s">
        <v>45</v>
      </c>
      <c r="W175" t="str">
        <f t="shared" si="10"/>
        <v>22-30</v>
      </c>
      <c r="X175" t="str">
        <f t="shared" si="11"/>
        <v>11-20 yrs</v>
      </c>
      <c r="Y175" t="str">
        <f t="shared" si="12"/>
        <v>Aug</v>
      </c>
      <c r="Z175">
        <f t="shared" si="13"/>
        <v>2025</v>
      </c>
      <c r="AA175">
        <f t="shared" si="14"/>
        <v>0</v>
      </c>
    </row>
    <row r="176" spans="1:27" ht="15" customHeight="1" x14ac:dyDescent="0.3">
      <c r="A176" t="s">
        <v>434</v>
      </c>
      <c r="B176" s="20">
        <v>45730</v>
      </c>
      <c r="C176" t="s">
        <v>435</v>
      </c>
      <c r="D176" t="s">
        <v>35</v>
      </c>
      <c r="E176" s="37">
        <v>57</v>
      </c>
      <c r="F176" t="s">
        <v>86</v>
      </c>
      <c r="G176" t="s">
        <v>87</v>
      </c>
      <c r="H176" t="s">
        <v>59</v>
      </c>
      <c r="I176" t="s">
        <v>60</v>
      </c>
      <c r="J176" t="s">
        <v>125</v>
      </c>
      <c r="K176" s="37">
        <v>17</v>
      </c>
      <c r="L176" t="s">
        <v>41</v>
      </c>
      <c r="M176" s="21">
        <v>115600</v>
      </c>
      <c r="N176" s="21">
        <v>1553664</v>
      </c>
      <c r="O176" s="21">
        <v>166464</v>
      </c>
      <c r="P176" s="37">
        <v>1</v>
      </c>
      <c r="Q176" t="s">
        <v>42</v>
      </c>
      <c r="R176" s="37">
        <v>6</v>
      </c>
      <c r="S176" s="37">
        <v>23</v>
      </c>
      <c r="T176" t="s">
        <v>53</v>
      </c>
      <c r="U176" t="s">
        <v>44</v>
      </c>
      <c r="V176" t="s">
        <v>69</v>
      </c>
      <c r="W176" t="str">
        <f t="shared" si="10"/>
        <v>51-58</v>
      </c>
      <c r="X176" t="str">
        <f t="shared" si="11"/>
        <v>11-20 yrs</v>
      </c>
      <c r="Y176" t="str">
        <f t="shared" si="12"/>
        <v>Mar</v>
      </c>
      <c r="Z176">
        <f t="shared" si="13"/>
        <v>2025</v>
      </c>
      <c r="AA176">
        <f t="shared" si="14"/>
        <v>0</v>
      </c>
    </row>
    <row r="177" spans="1:27" ht="15" customHeight="1" x14ac:dyDescent="0.3">
      <c r="A177" t="s">
        <v>436</v>
      </c>
      <c r="B177" s="20">
        <v>45950</v>
      </c>
      <c r="C177" t="s">
        <v>239</v>
      </c>
      <c r="D177" t="s">
        <v>35</v>
      </c>
      <c r="E177" s="37">
        <v>42</v>
      </c>
      <c r="F177" t="s">
        <v>36</v>
      </c>
      <c r="G177" t="s">
        <v>37</v>
      </c>
      <c r="H177" t="s">
        <v>74</v>
      </c>
      <c r="I177" t="s">
        <v>51</v>
      </c>
      <c r="J177" t="s">
        <v>367</v>
      </c>
      <c r="K177" s="37">
        <v>6</v>
      </c>
      <c r="L177" t="s">
        <v>52</v>
      </c>
      <c r="M177" s="21">
        <v>267700</v>
      </c>
      <c r="N177" s="21">
        <v>3597888</v>
      </c>
      <c r="O177" s="21">
        <v>385488</v>
      </c>
      <c r="P177" s="37">
        <v>4</v>
      </c>
      <c r="Q177" t="s">
        <v>126</v>
      </c>
      <c r="R177" s="37">
        <v>11</v>
      </c>
      <c r="S177" s="37">
        <v>26</v>
      </c>
      <c r="T177" t="s">
        <v>77</v>
      </c>
      <c r="U177" t="s">
        <v>63</v>
      </c>
      <c r="V177" t="s">
        <v>69</v>
      </c>
      <c r="W177" t="str">
        <f t="shared" si="10"/>
        <v>41-50</v>
      </c>
      <c r="X177" t="str">
        <f t="shared" si="11"/>
        <v>6-10 yrs</v>
      </c>
      <c r="Y177" t="str">
        <f t="shared" si="12"/>
        <v>Oct</v>
      </c>
      <c r="Z177">
        <f t="shared" si="13"/>
        <v>2025</v>
      </c>
      <c r="AA177">
        <f t="shared" si="14"/>
        <v>1</v>
      </c>
    </row>
    <row r="178" spans="1:27" ht="15" customHeight="1" x14ac:dyDescent="0.3">
      <c r="A178" t="s">
        <v>437</v>
      </c>
      <c r="B178" s="20">
        <v>45953</v>
      </c>
      <c r="C178" t="s">
        <v>350</v>
      </c>
      <c r="D178" t="s">
        <v>48</v>
      </c>
      <c r="E178" s="37">
        <v>53</v>
      </c>
      <c r="F178" t="s">
        <v>57</v>
      </c>
      <c r="G178" t="s">
        <v>58</v>
      </c>
      <c r="H178" t="s">
        <v>118</v>
      </c>
      <c r="I178" t="s">
        <v>82</v>
      </c>
      <c r="J178" t="s">
        <v>119</v>
      </c>
      <c r="K178" s="37">
        <v>16</v>
      </c>
      <c r="L178" t="s">
        <v>52</v>
      </c>
      <c r="M178" s="21">
        <v>64000</v>
      </c>
      <c r="N178" s="21">
        <v>906240</v>
      </c>
      <c r="O178" s="21">
        <v>138240</v>
      </c>
      <c r="P178" s="37">
        <v>2</v>
      </c>
      <c r="Q178" t="s">
        <v>42</v>
      </c>
      <c r="R178" s="37">
        <v>18</v>
      </c>
      <c r="S178" s="37">
        <v>34</v>
      </c>
      <c r="T178" t="s">
        <v>94</v>
      </c>
      <c r="U178" t="s">
        <v>44</v>
      </c>
      <c r="V178" t="s">
        <v>45</v>
      </c>
      <c r="W178" t="str">
        <f t="shared" si="10"/>
        <v>51-58</v>
      </c>
      <c r="X178" t="str">
        <f t="shared" si="11"/>
        <v>11-20 yrs</v>
      </c>
      <c r="Y178" t="str">
        <f t="shared" si="12"/>
        <v>Oct</v>
      </c>
      <c r="Z178">
        <f t="shared" si="13"/>
        <v>2025</v>
      </c>
      <c r="AA178">
        <f t="shared" si="14"/>
        <v>0</v>
      </c>
    </row>
    <row r="179" spans="1:27" ht="15" customHeight="1" x14ac:dyDescent="0.3">
      <c r="A179" t="s">
        <v>438</v>
      </c>
      <c r="B179" s="20">
        <v>45830</v>
      </c>
      <c r="C179" t="s">
        <v>439</v>
      </c>
      <c r="D179" t="s">
        <v>48</v>
      </c>
      <c r="E179" s="37">
        <v>51</v>
      </c>
      <c r="F179" t="s">
        <v>91</v>
      </c>
      <c r="G179" t="s">
        <v>92</v>
      </c>
      <c r="H179" t="s">
        <v>38</v>
      </c>
      <c r="I179" t="s">
        <v>39</v>
      </c>
      <c r="J179" t="s">
        <v>190</v>
      </c>
      <c r="K179" s="37">
        <v>22</v>
      </c>
      <c r="L179" t="s">
        <v>52</v>
      </c>
      <c r="M179" s="21">
        <v>39400</v>
      </c>
      <c r="N179" s="21">
        <v>510624</v>
      </c>
      <c r="O179" s="21">
        <v>37824</v>
      </c>
      <c r="P179" s="37">
        <v>2</v>
      </c>
      <c r="Q179" t="s">
        <v>42</v>
      </c>
      <c r="R179" s="37">
        <v>7</v>
      </c>
      <c r="S179" s="37">
        <v>20</v>
      </c>
      <c r="T179" t="s">
        <v>62</v>
      </c>
      <c r="U179" t="s">
        <v>63</v>
      </c>
      <c r="V179" t="s">
        <v>45</v>
      </c>
      <c r="W179" t="str">
        <f t="shared" si="10"/>
        <v>51-58</v>
      </c>
      <c r="X179" t="str">
        <f t="shared" si="11"/>
        <v>21-30 yrs</v>
      </c>
      <c r="Y179" t="str">
        <f t="shared" si="12"/>
        <v>Jun</v>
      </c>
      <c r="Z179">
        <f t="shared" si="13"/>
        <v>2025</v>
      </c>
      <c r="AA179">
        <f t="shared" si="14"/>
        <v>0</v>
      </c>
    </row>
    <row r="180" spans="1:27" ht="15" customHeight="1" x14ac:dyDescent="0.3">
      <c r="A180" t="s">
        <v>440</v>
      </c>
      <c r="B180" s="20">
        <v>45658</v>
      </c>
      <c r="C180" t="s">
        <v>441</v>
      </c>
      <c r="D180" t="s">
        <v>35</v>
      </c>
      <c r="E180" s="37">
        <v>53</v>
      </c>
      <c r="F180" t="s">
        <v>49</v>
      </c>
      <c r="G180" t="s">
        <v>50</v>
      </c>
      <c r="H180" t="s">
        <v>118</v>
      </c>
      <c r="I180" t="s">
        <v>39</v>
      </c>
      <c r="J180" t="s">
        <v>137</v>
      </c>
      <c r="K180" s="37">
        <v>18</v>
      </c>
      <c r="L180" t="s">
        <v>52</v>
      </c>
      <c r="M180" s="21">
        <v>35100</v>
      </c>
      <c r="N180" s="21">
        <v>480168</v>
      </c>
      <c r="O180" s="21">
        <v>58968</v>
      </c>
      <c r="P180" s="37">
        <v>3</v>
      </c>
      <c r="Q180" t="s">
        <v>126</v>
      </c>
      <c r="R180" s="37">
        <v>18</v>
      </c>
      <c r="S180" s="37">
        <v>14</v>
      </c>
      <c r="T180" t="s">
        <v>77</v>
      </c>
      <c r="U180" t="s">
        <v>63</v>
      </c>
      <c r="V180" t="s">
        <v>45</v>
      </c>
      <c r="W180" t="str">
        <f t="shared" si="10"/>
        <v>51-58</v>
      </c>
      <c r="X180" t="str">
        <f t="shared" si="11"/>
        <v>11-20 yrs</v>
      </c>
      <c r="Y180" t="str">
        <f t="shared" si="12"/>
        <v>Jan</v>
      </c>
      <c r="Z180">
        <f t="shared" si="13"/>
        <v>2025</v>
      </c>
      <c r="AA180">
        <f t="shared" si="14"/>
        <v>1</v>
      </c>
    </row>
    <row r="181" spans="1:27" ht="15" customHeight="1" x14ac:dyDescent="0.3">
      <c r="A181" t="s">
        <v>442</v>
      </c>
      <c r="B181" s="20">
        <v>45947</v>
      </c>
      <c r="C181" t="s">
        <v>443</v>
      </c>
      <c r="D181" t="s">
        <v>35</v>
      </c>
      <c r="E181" s="37">
        <v>22</v>
      </c>
      <c r="F181" t="s">
        <v>86</v>
      </c>
      <c r="G181" t="s">
        <v>87</v>
      </c>
      <c r="H181" t="s">
        <v>66</v>
      </c>
      <c r="I181" t="s">
        <v>82</v>
      </c>
      <c r="J181" t="s">
        <v>161</v>
      </c>
      <c r="K181" s="37">
        <v>1</v>
      </c>
      <c r="L181" t="s">
        <v>52</v>
      </c>
      <c r="M181" s="21">
        <v>77600</v>
      </c>
      <c r="N181" s="21">
        <v>1070880</v>
      </c>
      <c r="O181" s="21">
        <v>139680</v>
      </c>
      <c r="P181" s="37">
        <v>4</v>
      </c>
      <c r="Q181" t="s">
        <v>42</v>
      </c>
      <c r="R181" s="37">
        <v>6</v>
      </c>
      <c r="S181" s="37">
        <v>23</v>
      </c>
      <c r="T181" t="s">
        <v>129</v>
      </c>
      <c r="U181" t="s">
        <v>63</v>
      </c>
      <c r="V181" t="s">
        <v>69</v>
      </c>
      <c r="W181" t="str">
        <f t="shared" si="10"/>
        <v>22-30</v>
      </c>
      <c r="X181" t="str">
        <f t="shared" si="11"/>
        <v>0-5 yrs</v>
      </c>
      <c r="Y181" t="str">
        <f t="shared" si="12"/>
        <v>Oct</v>
      </c>
      <c r="Z181">
        <f t="shared" si="13"/>
        <v>2025</v>
      </c>
      <c r="AA181">
        <f t="shared" si="14"/>
        <v>0</v>
      </c>
    </row>
    <row r="182" spans="1:27" ht="15" customHeight="1" x14ac:dyDescent="0.3">
      <c r="A182" t="s">
        <v>444</v>
      </c>
      <c r="B182" s="20">
        <v>46010</v>
      </c>
      <c r="C182" t="s">
        <v>445</v>
      </c>
      <c r="D182" t="s">
        <v>48</v>
      </c>
      <c r="E182" s="37">
        <v>22</v>
      </c>
      <c r="F182" t="s">
        <v>108</v>
      </c>
      <c r="G182" t="s">
        <v>109</v>
      </c>
      <c r="H182" t="s">
        <v>59</v>
      </c>
      <c r="I182" t="s">
        <v>60</v>
      </c>
      <c r="J182" t="s">
        <v>61</v>
      </c>
      <c r="K182" s="37">
        <v>28</v>
      </c>
      <c r="L182" t="s">
        <v>52</v>
      </c>
      <c r="M182" s="21">
        <v>144000</v>
      </c>
      <c r="N182" s="21">
        <v>1866240</v>
      </c>
      <c r="O182" s="21">
        <v>138240</v>
      </c>
      <c r="P182" s="37">
        <v>4</v>
      </c>
      <c r="Q182" t="s">
        <v>42</v>
      </c>
      <c r="R182" s="37">
        <v>8</v>
      </c>
      <c r="S182" s="37">
        <v>0</v>
      </c>
      <c r="T182" t="s">
        <v>175</v>
      </c>
      <c r="U182" t="s">
        <v>54</v>
      </c>
      <c r="V182" t="s">
        <v>69</v>
      </c>
      <c r="W182" t="str">
        <f t="shared" si="10"/>
        <v>22-30</v>
      </c>
      <c r="X182" t="str">
        <f t="shared" si="11"/>
        <v>21-30 yrs</v>
      </c>
      <c r="Y182" t="str">
        <f t="shared" si="12"/>
        <v>Dec</v>
      </c>
      <c r="Z182">
        <f t="shared" si="13"/>
        <v>2025</v>
      </c>
      <c r="AA182">
        <f t="shared" si="14"/>
        <v>0</v>
      </c>
    </row>
    <row r="183" spans="1:27" ht="15" customHeight="1" x14ac:dyDescent="0.3">
      <c r="A183" t="s">
        <v>446</v>
      </c>
      <c r="B183" s="20">
        <v>45762</v>
      </c>
      <c r="C183" t="s">
        <v>447</v>
      </c>
      <c r="D183" t="s">
        <v>35</v>
      </c>
      <c r="E183" s="37">
        <v>50</v>
      </c>
      <c r="F183" t="s">
        <v>80</v>
      </c>
      <c r="G183" t="s">
        <v>81</v>
      </c>
      <c r="H183" t="s">
        <v>74</v>
      </c>
      <c r="I183" t="s">
        <v>82</v>
      </c>
      <c r="J183" t="s">
        <v>83</v>
      </c>
      <c r="K183" s="37">
        <v>10</v>
      </c>
      <c r="L183" t="s">
        <v>52</v>
      </c>
      <c r="M183" s="21">
        <v>59700</v>
      </c>
      <c r="N183" s="21">
        <v>838188</v>
      </c>
      <c r="O183" s="21">
        <v>121788</v>
      </c>
      <c r="P183" s="37">
        <v>5</v>
      </c>
      <c r="Q183" t="s">
        <v>42</v>
      </c>
      <c r="R183" s="37">
        <v>7</v>
      </c>
      <c r="S183" s="37">
        <v>21</v>
      </c>
      <c r="T183" t="s">
        <v>43</v>
      </c>
      <c r="U183" t="s">
        <v>44</v>
      </c>
      <c r="V183" t="s">
        <v>45</v>
      </c>
      <c r="W183" t="str">
        <f t="shared" si="10"/>
        <v>41-50</v>
      </c>
      <c r="X183" t="str">
        <f t="shared" si="11"/>
        <v>6-10 yrs</v>
      </c>
      <c r="Y183" t="str">
        <f t="shared" si="12"/>
        <v>Apr</v>
      </c>
      <c r="Z183">
        <f t="shared" si="13"/>
        <v>2025</v>
      </c>
      <c r="AA183">
        <f t="shared" si="14"/>
        <v>0</v>
      </c>
    </row>
    <row r="184" spans="1:27" ht="15" customHeight="1" x14ac:dyDescent="0.3">
      <c r="A184" t="s">
        <v>448</v>
      </c>
      <c r="B184" s="20">
        <v>45963</v>
      </c>
      <c r="C184" t="s">
        <v>449</v>
      </c>
      <c r="D184" t="s">
        <v>35</v>
      </c>
      <c r="E184" s="37">
        <v>39</v>
      </c>
      <c r="F184" t="s">
        <v>86</v>
      </c>
      <c r="G184" t="s">
        <v>87</v>
      </c>
      <c r="H184" t="s">
        <v>66</v>
      </c>
      <c r="I184" t="s">
        <v>51</v>
      </c>
      <c r="J184" t="s">
        <v>149</v>
      </c>
      <c r="K184" s="37">
        <v>28</v>
      </c>
      <c r="L184" t="s">
        <v>52</v>
      </c>
      <c r="M184" s="21">
        <v>236200</v>
      </c>
      <c r="N184" s="21">
        <v>3061152</v>
      </c>
      <c r="O184" s="21">
        <v>226752</v>
      </c>
      <c r="P184" s="37">
        <v>3</v>
      </c>
      <c r="Q184" t="s">
        <v>42</v>
      </c>
      <c r="R184" s="37">
        <v>3</v>
      </c>
      <c r="S184" s="37">
        <v>10</v>
      </c>
      <c r="T184" t="s">
        <v>129</v>
      </c>
      <c r="U184" t="s">
        <v>44</v>
      </c>
      <c r="V184" t="s">
        <v>45</v>
      </c>
      <c r="W184" t="str">
        <f t="shared" si="10"/>
        <v>31-40</v>
      </c>
      <c r="X184" t="str">
        <f t="shared" si="11"/>
        <v>21-30 yrs</v>
      </c>
      <c r="Y184" t="str">
        <f t="shared" si="12"/>
        <v>Nov</v>
      </c>
      <c r="Z184">
        <f t="shared" si="13"/>
        <v>2025</v>
      </c>
      <c r="AA184">
        <f t="shared" si="14"/>
        <v>0</v>
      </c>
    </row>
    <row r="185" spans="1:27" ht="15" customHeight="1" x14ac:dyDescent="0.3">
      <c r="A185" t="s">
        <v>450</v>
      </c>
      <c r="B185" s="20">
        <v>45968</v>
      </c>
      <c r="C185" t="s">
        <v>158</v>
      </c>
      <c r="D185" t="s">
        <v>48</v>
      </c>
      <c r="E185" s="37">
        <v>49</v>
      </c>
      <c r="F185" t="s">
        <v>86</v>
      </c>
      <c r="G185" t="s">
        <v>87</v>
      </c>
      <c r="H185" t="s">
        <v>74</v>
      </c>
      <c r="I185" t="s">
        <v>82</v>
      </c>
      <c r="J185" t="s">
        <v>152</v>
      </c>
      <c r="K185" s="37">
        <v>3</v>
      </c>
      <c r="L185" t="s">
        <v>52</v>
      </c>
      <c r="M185" s="21">
        <v>64300</v>
      </c>
      <c r="N185" s="21">
        <v>902772</v>
      </c>
      <c r="O185" s="21">
        <v>131172</v>
      </c>
      <c r="P185" s="37">
        <v>4</v>
      </c>
      <c r="Q185" t="s">
        <v>42</v>
      </c>
      <c r="R185" s="37">
        <v>19</v>
      </c>
      <c r="S185" s="37">
        <v>16</v>
      </c>
      <c r="T185" t="s">
        <v>105</v>
      </c>
      <c r="U185" t="s">
        <v>63</v>
      </c>
      <c r="V185" t="s">
        <v>45</v>
      </c>
      <c r="W185" t="str">
        <f t="shared" si="10"/>
        <v>41-50</v>
      </c>
      <c r="X185" t="str">
        <f t="shared" si="11"/>
        <v>0-5 yrs</v>
      </c>
      <c r="Y185" t="str">
        <f t="shared" si="12"/>
        <v>Nov</v>
      </c>
      <c r="Z185">
        <f t="shared" si="13"/>
        <v>2025</v>
      </c>
      <c r="AA185">
        <f t="shared" si="14"/>
        <v>0</v>
      </c>
    </row>
    <row r="186" spans="1:27" ht="15" customHeight="1" x14ac:dyDescent="0.3">
      <c r="A186" t="s">
        <v>451</v>
      </c>
      <c r="B186" s="20">
        <v>45963</v>
      </c>
      <c r="C186" t="s">
        <v>452</v>
      </c>
      <c r="D186" t="s">
        <v>48</v>
      </c>
      <c r="E186" s="37">
        <v>37</v>
      </c>
      <c r="F186" t="s">
        <v>57</v>
      </c>
      <c r="G186" t="s">
        <v>58</v>
      </c>
      <c r="H186" t="s">
        <v>59</v>
      </c>
      <c r="I186" t="s">
        <v>82</v>
      </c>
      <c r="J186" t="s">
        <v>141</v>
      </c>
      <c r="K186" s="37">
        <v>3</v>
      </c>
      <c r="L186" t="s">
        <v>41</v>
      </c>
      <c r="M186" s="21">
        <v>53900</v>
      </c>
      <c r="N186" s="21">
        <v>750288</v>
      </c>
      <c r="O186" s="21">
        <v>103488</v>
      </c>
      <c r="P186" s="37">
        <v>3</v>
      </c>
      <c r="Q186" t="s">
        <v>42</v>
      </c>
      <c r="R186" s="37">
        <v>10</v>
      </c>
      <c r="S186" s="37">
        <v>15</v>
      </c>
      <c r="T186" t="s">
        <v>77</v>
      </c>
      <c r="U186" t="s">
        <v>63</v>
      </c>
      <c r="V186" t="s">
        <v>69</v>
      </c>
      <c r="W186" t="str">
        <f t="shared" si="10"/>
        <v>31-40</v>
      </c>
      <c r="X186" t="str">
        <f t="shared" si="11"/>
        <v>0-5 yrs</v>
      </c>
      <c r="Y186" t="str">
        <f t="shared" si="12"/>
        <v>Nov</v>
      </c>
      <c r="Z186">
        <f t="shared" si="13"/>
        <v>2025</v>
      </c>
      <c r="AA186">
        <f t="shared" si="14"/>
        <v>0</v>
      </c>
    </row>
    <row r="187" spans="1:27" ht="15" customHeight="1" x14ac:dyDescent="0.3">
      <c r="A187" t="s">
        <v>453</v>
      </c>
      <c r="B187" s="20">
        <v>46012</v>
      </c>
      <c r="C187" t="s">
        <v>454</v>
      </c>
      <c r="D187" t="s">
        <v>35</v>
      </c>
      <c r="E187" s="37">
        <v>32</v>
      </c>
      <c r="F187" t="s">
        <v>108</v>
      </c>
      <c r="G187" t="s">
        <v>109</v>
      </c>
      <c r="H187" t="s">
        <v>59</v>
      </c>
      <c r="I187" t="s">
        <v>39</v>
      </c>
      <c r="J187" t="s">
        <v>61</v>
      </c>
      <c r="K187" s="37">
        <v>25</v>
      </c>
      <c r="L187" t="s">
        <v>52</v>
      </c>
      <c r="M187" s="21">
        <v>39700</v>
      </c>
      <c r="N187" s="21">
        <v>528804</v>
      </c>
      <c r="O187" s="21">
        <v>52404</v>
      </c>
      <c r="P187" s="37">
        <v>4</v>
      </c>
      <c r="Q187" t="s">
        <v>42</v>
      </c>
      <c r="R187" s="37">
        <v>2</v>
      </c>
      <c r="S187" s="37">
        <v>37</v>
      </c>
      <c r="T187" t="s">
        <v>105</v>
      </c>
      <c r="U187" t="s">
        <v>63</v>
      </c>
      <c r="V187" t="s">
        <v>69</v>
      </c>
      <c r="W187" t="str">
        <f t="shared" si="10"/>
        <v>31-40</v>
      </c>
      <c r="X187" t="str">
        <f t="shared" si="11"/>
        <v>21-30 yrs</v>
      </c>
      <c r="Y187" t="str">
        <f t="shared" si="12"/>
        <v>Dec</v>
      </c>
      <c r="Z187">
        <f t="shared" si="13"/>
        <v>2025</v>
      </c>
      <c r="AA187">
        <f t="shared" si="14"/>
        <v>0</v>
      </c>
    </row>
    <row r="188" spans="1:27" ht="15" customHeight="1" x14ac:dyDescent="0.3">
      <c r="A188" t="s">
        <v>455</v>
      </c>
      <c r="B188" s="20">
        <v>45780</v>
      </c>
      <c r="C188" t="s">
        <v>456</v>
      </c>
      <c r="D188" t="s">
        <v>48</v>
      </c>
      <c r="E188" s="37">
        <v>28</v>
      </c>
      <c r="F188" t="s">
        <v>97</v>
      </c>
      <c r="G188" t="s">
        <v>98</v>
      </c>
      <c r="H188" t="s">
        <v>38</v>
      </c>
      <c r="I188" t="s">
        <v>75</v>
      </c>
      <c r="J188" t="s">
        <v>110</v>
      </c>
      <c r="K188" s="37">
        <v>22</v>
      </c>
      <c r="L188" t="s">
        <v>120</v>
      </c>
      <c r="M188" s="21">
        <v>98900</v>
      </c>
      <c r="N188" s="21">
        <v>1388556</v>
      </c>
      <c r="O188" s="21">
        <v>201756</v>
      </c>
      <c r="P188" s="37">
        <v>4</v>
      </c>
      <c r="Q188" t="s">
        <v>126</v>
      </c>
      <c r="R188" s="37">
        <v>7</v>
      </c>
      <c r="S188" s="37">
        <v>0</v>
      </c>
      <c r="T188" t="s">
        <v>146</v>
      </c>
      <c r="U188" t="s">
        <v>44</v>
      </c>
      <c r="V188" t="s">
        <v>69</v>
      </c>
      <c r="W188" t="str">
        <f t="shared" si="10"/>
        <v>22-30</v>
      </c>
      <c r="X188" t="str">
        <f t="shared" si="11"/>
        <v>21-30 yrs</v>
      </c>
      <c r="Y188" t="str">
        <f t="shared" si="12"/>
        <v>May</v>
      </c>
      <c r="Z188">
        <f t="shared" si="13"/>
        <v>2025</v>
      </c>
      <c r="AA188">
        <f t="shared" si="14"/>
        <v>1</v>
      </c>
    </row>
    <row r="189" spans="1:27" ht="15" customHeight="1" x14ac:dyDescent="0.3">
      <c r="A189" t="s">
        <v>457</v>
      </c>
      <c r="B189" s="20">
        <v>45971</v>
      </c>
      <c r="C189" t="s">
        <v>458</v>
      </c>
      <c r="D189" t="s">
        <v>48</v>
      </c>
      <c r="E189" s="37">
        <v>27</v>
      </c>
      <c r="F189" t="s">
        <v>91</v>
      </c>
      <c r="G189" t="s">
        <v>92</v>
      </c>
      <c r="H189" t="s">
        <v>118</v>
      </c>
      <c r="I189" t="s">
        <v>60</v>
      </c>
      <c r="J189" t="s">
        <v>219</v>
      </c>
      <c r="K189" s="37">
        <v>6</v>
      </c>
      <c r="L189" t="s">
        <v>120</v>
      </c>
      <c r="M189" s="21">
        <v>145700</v>
      </c>
      <c r="N189" s="21">
        <v>2063112</v>
      </c>
      <c r="O189" s="21">
        <v>314712</v>
      </c>
      <c r="P189" s="37">
        <v>3</v>
      </c>
      <c r="Q189" t="s">
        <v>42</v>
      </c>
      <c r="R189" s="37">
        <v>5</v>
      </c>
      <c r="S189" s="37">
        <v>26</v>
      </c>
      <c r="T189" t="s">
        <v>53</v>
      </c>
      <c r="U189" t="s">
        <v>54</v>
      </c>
      <c r="V189" t="s">
        <v>45</v>
      </c>
      <c r="W189" t="str">
        <f t="shared" si="10"/>
        <v>22-30</v>
      </c>
      <c r="X189" t="str">
        <f t="shared" si="11"/>
        <v>6-10 yrs</v>
      </c>
      <c r="Y189" t="str">
        <f t="shared" si="12"/>
        <v>Nov</v>
      </c>
      <c r="Z189">
        <f t="shared" si="13"/>
        <v>2025</v>
      </c>
      <c r="AA189">
        <f t="shared" si="14"/>
        <v>0</v>
      </c>
    </row>
    <row r="190" spans="1:27" ht="15" customHeight="1" x14ac:dyDescent="0.3">
      <c r="A190" t="s">
        <v>459</v>
      </c>
      <c r="B190" s="20">
        <v>45853</v>
      </c>
      <c r="C190" t="s">
        <v>427</v>
      </c>
      <c r="D190" t="s">
        <v>35</v>
      </c>
      <c r="E190" s="37">
        <v>37</v>
      </c>
      <c r="F190" t="s">
        <v>108</v>
      </c>
      <c r="G190" t="s">
        <v>109</v>
      </c>
      <c r="H190" t="s">
        <v>118</v>
      </c>
      <c r="I190" t="s">
        <v>60</v>
      </c>
      <c r="J190" t="s">
        <v>219</v>
      </c>
      <c r="K190" s="37">
        <v>18</v>
      </c>
      <c r="L190" t="s">
        <v>52</v>
      </c>
      <c r="M190" s="21">
        <v>105600</v>
      </c>
      <c r="N190" s="21">
        <v>1343232</v>
      </c>
      <c r="O190" s="21">
        <v>76032</v>
      </c>
      <c r="P190" s="37">
        <v>3</v>
      </c>
      <c r="Q190" t="s">
        <v>126</v>
      </c>
      <c r="R190" s="37">
        <v>13</v>
      </c>
      <c r="S190" s="37">
        <v>23</v>
      </c>
      <c r="T190" t="s">
        <v>62</v>
      </c>
      <c r="U190" t="s">
        <v>63</v>
      </c>
      <c r="V190" t="s">
        <v>69</v>
      </c>
      <c r="W190" t="str">
        <f t="shared" si="10"/>
        <v>31-40</v>
      </c>
      <c r="X190" t="str">
        <f t="shared" si="11"/>
        <v>11-20 yrs</v>
      </c>
      <c r="Y190" t="str">
        <f t="shared" si="12"/>
        <v>Jul</v>
      </c>
      <c r="Z190">
        <f t="shared" si="13"/>
        <v>2025</v>
      </c>
      <c r="AA190">
        <f t="shared" si="14"/>
        <v>1</v>
      </c>
    </row>
    <row r="191" spans="1:27" ht="15" customHeight="1" x14ac:dyDescent="0.3">
      <c r="A191" t="s">
        <v>460</v>
      </c>
      <c r="B191" s="20">
        <v>45843</v>
      </c>
      <c r="C191" t="s">
        <v>461</v>
      </c>
      <c r="D191" t="s">
        <v>35</v>
      </c>
      <c r="E191" s="37">
        <v>37</v>
      </c>
      <c r="F191" t="s">
        <v>36</v>
      </c>
      <c r="G191" t="s">
        <v>37</v>
      </c>
      <c r="H191" t="s">
        <v>118</v>
      </c>
      <c r="I191" t="s">
        <v>82</v>
      </c>
      <c r="J191" t="s">
        <v>250</v>
      </c>
      <c r="K191" s="37">
        <v>3</v>
      </c>
      <c r="L191" t="s">
        <v>120</v>
      </c>
      <c r="M191" s="21">
        <v>60200</v>
      </c>
      <c r="N191" s="21">
        <v>809088</v>
      </c>
      <c r="O191" s="21">
        <v>86688</v>
      </c>
      <c r="P191" s="37">
        <v>4</v>
      </c>
      <c r="Q191" t="s">
        <v>42</v>
      </c>
      <c r="R191" s="37">
        <v>19</v>
      </c>
      <c r="S191" s="37">
        <v>18</v>
      </c>
      <c r="T191" t="s">
        <v>94</v>
      </c>
      <c r="U191" t="s">
        <v>54</v>
      </c>
      <c r="V191" t="s">
        <v>45</v>
      </c>
      <c r="W191" t="str">
        <f t="shared" si="10"/>
        <v>31-40</v>
      </c>
      <c r="X191" t="str">
        <f t="shared" si="11"/>
        <v>0-5 yrs</v>
      </c>
      <c r="Y191" t="str">
        <f t="shared" si="12"/>
        <v>Jul</v>
      </c>
      <c r="Z191">
        <f t="shared" si="13"/>
        <v>2025</v>
      </c>
      <c r="AA191">
        <f t="shared" si="14"/>
        <v>0</v>
      </c>
    </row>
    <row r="192" spans="1:27" ht="15" customHeight="1" x14ac:dyDescent="0.3">
      <c r="A192" t="s">
        <v>462</v>
      </c>
      <c r="B192" s="20">
        <v>45986</v>
      </c>
      <c r="C192" t="s">
        <v>463</v>
      </c>
      <c r="D192" t="s">
        <v>48</v>
      </c>
      <c r="E192" s="37">
        <v>42</v>
      </c>
      <c r="F192" t="s">
        <v>86</v>
      </c>
      <c r="G192" t="s">
        <v>87</v>
      </c>
      <c r="H192" t="s">
        <v>59</v>
      </c>
      <c r="I192" t="s">
        <v>75</v>
      </c>
      <c r="J192" t="s">
        <v>125</v>
      </c>
      <c r="K192" s="37">
        <v>5</v>
      </c>
      <c r="L192" t="s">
        <v>52</v>
      </c>
      <c r="M192" s="21">
        <v>68100</v>
      </c>
      <c r="N192" s="21">
        <v>915264</v>
      </c>
      <c r="O192" s="21">
        <v>98064</v>
      </c>
      <c r="P192" s="37">
        <v>4</v>
      </c>
      <c r="Q192" t="s">
        <v>42</v>
      </c>
      <c r="R192" s="37">
        <v>17</v>
      </c>
      <c r="S192" s="37">
        <v>22</v>
      </c>
      <c r="T192" t="s">
        <v>146</v>
      </c>
      <c r="U192" t="s">
        <v>63</v>
      </c>
      <c r="V192" t="s">
        <v>69</v>
      </c>
      <c r="W192" t="str">
        <f t="shared" si="10"/>
        <v>41-50</v>
      </c>
      <c r="X192" t="str">
        <f t="shared" si="11"/>
        <v>0-5 yrs</v>
      </c>
      <c r="Y192" t="str">
        <f t="shared" si="12"/>
        <v>Nov</v>
      </c>
      <c r="Z192">
        <f t="shared" si="13"/>
        <v>2025</v>
      </c>
      <c r="AA192">
        <f t="shared" si="14"/>
        <v>0</v>
      </c>
    </row>
    <row r="193" spans="1:27" ht="15" customHeight="1" x14ac:dyDescent="0.3">
      <c r="A193" t="s">
        <v>464</v>
      </c>
      <c r="B193" s="20">
        <v>45891</v>
      </c>
      <c r="C193" t="s">
        <v>465</v>
      </c>
      <c r="D193" t="s">
        <v>48</v>
      </c>
      <c r="E193" s="37">
        <v>22</v>
      </c>
      <c r="F193" t="s">
        <v>57</v>
      </c>
      <c r="G193" t="s">
        <v>58</v>
      </c>
      <c r="H193" t="s">
        <v>59</v>
      </c>
      <c r="I193" t="s">
        <v>39</v>
      </c>
      <c r="J193" t="s">
        <v>125</v>
      </c>
      <c r="K193" s="37">
        <v>21</v>
      </c>
      <c r="L193" t="s">
        <v>52</v>
      </c>
      <c r="M193" s="21">
        <v>35900</v>
      </c>
      <c r="N193" s="21">
        <v>508344</v>
      </c>
      <c r="O193" s="21">
        <v>77544</v>
      </c>
      <c r="P193" s="37">
        <v>3</v>
      </c>
      <c r="Q193" t="s">
        <v>126</v>
      </c>
      <c r="R193" s="37">
        <v>15</v>
      </c>
      <c r="S193" s="37">
        <v>32</v>
      </c>
      <c r="T193" t="s">
        <v>94</v>
      </c>
      <c r="U193" t="s">
        <v>44</v>
      </c>
      <c r="V193" t="s">
        <v>69</v>
      </c>
      <c r="W193" t="str">
        <f t="shared" si="10"/>
        <v>22-30</v>
      </c>
      <c r="X193" t="str">
        <f t="shared" si="11"/>
        <v>21-30 yrs</v>
      </c>
      <c r="Y193" t="str">
        <f t="shared" si="12"/>
        <v>Aug</v>
      </c>
      <c r="Z193">
        <f t="shared" si="13"/>
        <v>2025</v>
      </c>
      <c r="AA193">
        <f t="shared" si="14"/>
        <v>1</v>
      </c>
    </row>
    <row r="194" spans="1:27" ht="15" customHeight="1" x14ac:dyDescent="0.3">
      <c r="A194" t="s">
        <v>466</v>
      </c>
      <c r="B194" s="20">
        <v>45677</v>
      </c>
      <c r="C194" t="s">
        <v>467</v>
      </c>
      <c r="D194" t="s">
        <v>48</v>
      </c>
      <c r="E194" s="37">
        <v>49</v>
      </c>
      <c r="F194" t="s">
        <v>72</v>
      </c>
      <c r="G194" t="s">
        <v>73</v>
      </c>
      <c r="H194" t="s">
        <v>118</v>
      </c>
      <c r="I194" t="s">
        <v>60</v>
      </c>
      <c r="J194" t="s">
        <v>119</v>
      </c>
      <c r="K194" s="37">
        <v>4</v>
      </c>
      <c r="L194" t="s">
        <v>41</v>
      </c>
      <c r="M194" s="21">
        <v>136700</v>
      </c>
      <c r="N194" s="21">
        <v>1738824</v>
      </c>
      <c r="O194" s="21">
        <v>98424</v>
      </c>
      <c r="P194" s="37">
        <v>4</v>
      </c>
      <c r="Q194" t="s">
        <v>126</v>
      </c>
      <c r="R194" s="37">
        <v>10</v>
      </c>
      <c r="S194" s="37">
        <v>21</v>
      </c>
      <c r="T194" t="s">
        <v>53</v>
      </c>
      <c r="U194" t="s">
        <v>44</v>
      </c>
      <c r="V194" t="s">
        <v>69</v>
      </c>
      <c r="W194" t="str">
        <f t="shared" ref="W194:W257" si="15">IF(E194&lt;=30,"22-30",IF(E194&lt;=40,"31-40",IF(E194&lt;=50,"41-50","51-58")))</f>
        <v>41-50</v>
      </c>
      <c r="X194" t="str">
        <f t="shared" ref="X194:X257" si="16">IF(K194&lt;=5,"0-5 yrs",IF(K194&lt;=10,"6-10 yrs",IF(K194&lt;=20,"11-20 yrs","21-30 yrs")))</f>
        <v>0-5 yrs</v>
      </c>
      <c r="Y194" t="str">
        <f t="shared" ref="Y194:Y257" si="17">TEXT(B194,"mmm")</f>
        <v>Jan</v>
      </c>
      <c r="Z194">
        <f t="shared" ref="Z194:Z257" si="18">YEAR(B194)</f>
        <v>2025</v>
      </c>
      <c r="AA194">
        <f t="shared" ref="AA194:AA257" si="19">IF(Q194="Yes",1,0)</f>
        <v>1</v>
      </c>
    </row>
    <row r="195" spans="1:27" ht="15" customHeight="1" x14ac:dyDescent="0.3">
      <c r="A195" t="s">
        <v>468</v>
      </c>
      <c r="B195" s="20">
        <v>45859</v>
      </c>
      <c r="C195" t="s">
        <v>469</v>
      </c>
      <c r="D195" t="s">
        <v>48</v>
      </c>
      <c r="E195" s="37">
        <v>28</v>
      </c>
      <c r="F195" t="s">
        <v>72</v>
      </c>
      <c r="G195" t="s">
        <v>73</v>
      </c>
      <c r="H195" t="s">
        <v>38</v>
      </c>
      <c r="I195" t="s">
        <v>75</v>
      </c>
      <c r="J195" t="s">
        <v>99</v>
      </c>
      <c r="K195" s="37">
        <v>2</v>
      </c>
      <c r="L195" t="s">
        <v>52</v>
      </c>
      <c r="M195" s="21">
        <v>79600</v>
      </c>
      <c r="N195" s="21">
        <v>1098480</v>
      </c>
      <c r="O195" s="21">
        <v>143280</v>
      </c>
      <c r="P195" s="37">
        <v>4</v>
      </c>
      <c r="Q195" t="s">
        <v>42</v>
      </c>
      <c r="R195" s="37">
        <v>14</v>
      </c>
      <c r="S195" s="37">
        <v>30</v>
      </c>
      <c r="T195" t="s">
        <v>146</v>
      </c>
      <c r="U195" t="s">
        <v>44</v>
      </c>
      <c r="V195" t="s">
        <v>69</v>
      </c>
      <c r="W195" t="str">
        <f t="shared" si="15"/>
        <v>22-30</v>
      </c>
      <c r="X195" t="str">
        <f t="shared" si="16"/>
        <v>0-5 yrs</v>
      </c>
      <c r="Y195" t="str">
        <f t="shared" si="17"/>
        <v>Jul</v>
      </c>
      <c r="Z195">
        <f t="shared" si="18"/>
        <v>2025</v>
      </c>
      <c r="AA195">
        <f t="shared" si="19"/>
        <v>0</v>
      </c>
    </row>
    <row r="196" spans="1:27" ht="15" customHeight="1" x14ac:dyDescent="0.3">
      <c r="A196" t="s">
        <v>470</v>
      </c>
      <c r="B196" s="20">
        <v>45877</v>
      </c>
      <c r="C196" t="s">
        <v>471</v>
      </c>
      <c r="D196" t="s">
        <v>48</v>
      </c>
      <c r="E196" s="37">
        <v>51</v>
      </c>
      <c r="F196" t="s">
        <v>80</v>
      </c>
      <c r="G196" t="s">
        <v>81</v>
      </c>
      <c r="H196" t="s">
        <v>66</v>
      </c>
      <c r="I196" t="s">
        <v>75</v>
      </c>
      <c r="J196" t="s">
        <v>149</v>
      </c>
      <c r="K196" s="37">
        <v>25</v>
      </c>
      <c r="L196" t="s">
        <v>52</v>
      </c>
      <c r="M196" s="21">
        <v>101400</v>
      </c>
      <c r="N196" s="21">
        <v>1326312</v>
      </c>
      <c r="O196" s="21">
        <v>109512</v>
      </c>
      <c r="P196" s="37">
        <v>2</v>
      </c>
      <c r="Q196" t="s">
        <v>42</v>
      </c>
      <c r="R196" s="37">
        <v>4</v>
      </c>
      <c r="S196" s="37">
        <v>19</v>
      </c>
      <c r="T196" t="s">
        <v>105</v>
      </c>
      <c r="U196" t="s">
        <v>54</v>
      </c>
      <c r="V196" t="s">
        <v>69</v>
      </c>
      <c r="W196" t="str">
        <f t="shared" si="15"/>
        <v>51-58</v>
      </c>
      <c r="X196" t="str">
        <f t="shared" si="16"/>
        <v>21-30 yrs</v>
      </c>
      <c r="Y196" t="str">
        <f t="shared" si="17"/>
        <v>Aug</v>
      </c>
      <c r="Z196">
        <f t="shared" si="18"/>
        <v>2025</v>
      </c>
      <c r="AA196">
        <f t="shared" si="19"/>
        <v>0</v>
      </c>
    </row>
    <row r="197" spans="1:27" ht="15" customHeight="1" x14ac:dyDescent="0.3">
      <c r="A197" t="s">
        <v>472</v>
      </c>
      <c r="B197" s="20">
        <v>45849</v>
      </c>
      <c r="C197" t="s">
        <v>473</v>
      </c>
      <c r="D197" t="s">
        <v>35</v>
      </c>
      <c r="E197" s="37">
        <v>29</v>
      </c>
      <c r="F197" t="s">
        <v>72</v>
      </c>
      <c r="G197" t="s">
        <v>73</v>
      </c>
      <c r="H197" t="s">
        <v>38</v>
      </c>
      <c r="I197" t="s">
        <v>39</v>
      </c>
      <c r="J197" t="s">
        <v>99</v>
      </c>
      <c r="K197" s="37">
        <v>3</v>
      </c>
      <c r="L197" t="s">
        <v>52</v>
      </c>
      <c r="M197" s="21">
        <v>30600</v>
      </c>
      <c r="N197" s="21">
        <v>396576</v>
      </c>
      <c r="O197" s="21">
        <v>29376</v>
      </c>
      <c r="P197" s="37">
        <v>4</v>
      </c>
      <c r="Q197" t="s">
        <v>126</v>
      </c>
      <c r="R197" s="37">
        <v>5</v>
      </c>
      <c r="S197" s="37">
        <v>23</v>
      </c>
      <c r="T197" t="s">
        <v>77</v>
      </c>
      <c r="U197" t="s">
        <v>44</v>
      </c>
      <c r="V197" t="s">
        <v>45</v>
      </c>
      <c r="W197" t="str">
        <f t="shared" si="15"/>
        <v>22-30</v>
      </c>
      <c r="X197" t="str">
        <f t="shared" si="16"/>
        <v>0-5 yrs</v>
      </c>
      <c r="Y197" t="str">
        <f t="shared" si="17"/>
        <v>Jul</v>
      </c>
      <c r="Z197">
        <f t="shared" si="18"/>
        <v>2025</v>
      </c>
      <c r="AA197">
        <f t="shared" si="19"/>
        <v>1</v>
      </c>
    </row>
    <row r="198" spans="1:27" ht="15" customHeight="1" x14ac:dyDescent="0.3">
      <c r="A198" t="s">
        <v>474</v>
      </c>
      <c r="B198" s="20">
        <v>45707</v>
      </c>
      <c r="C198" t="s">
        <v>206</v>
      </c>
      <c r="D198" t="s">
        <v>48</v>
      </c>
      <c r="E198" s="37">
        <v>31</v>
      </c>
      <c r="F198" t="s">
        <v>72</v>
      </c>
      <c r="G198" t="s">
        <v>73</v>
      </c>
      <c r="H198" t="s">
        <v>66</v>
      </c>
      <c r="I198" t="s">
        <v>39</v>
      </c>
      <c r="J198" t="s">
        <v>149</v>
      </c>
      <c r="K198" s="37">
        <v>15</v>
      </c>
      <c r="L198" t="s">
        <v>52</v>
      </c>
      <c r="M198" s="21">
        <v>48300</v>
      </c>
      <c r="N198" s="21">
        <v>649152</v>
      </c>
      <c r="O198" s="21">
        <v>69552</v>
      </c>
      <c r="P198" s="37">
        <v>5</v>
      </c>
      <c r="Q198" t="s">
        <v>42</v>
      </c>
      <c r="R198" s="37">
        <v>9</v>
      </c>
      <c r="S198" s="37">
        <v>33</v>
      </c>
      <c r="T198" t="s">
        <v>175</v>
      </c>
      <c r="U198" t="s">
        <v>44</v>
      </c>
      <c r="V198" t="s">
        <v>69</v>
      </c>
      <c r="W198" t="str">
        <f t="shared" si="15"/>
        <v>31-40</v>
      </c>
      <c r="X198" t="str">
        <f t="shared" si="16"/>
        <v>11-20 yrs</v>
      </c>
      <c r="Y198" t="str">
        <f t="shared" si="17"/>
        <v>Feb</v>
      </c>
      <c r="Z198">
        <f t="shared" si="18"/>
        <v>2025</v>
      </c>
      <c r="AA198">
        <f t="shared" si="19"/>
        <v>0</v>
      </c>
    </row>
    <row r="199" spans="1:27" ht="15" customHeight="1" x14ac:dyDescent="0.3">
      <c r="A199" t="s">
        <v>475</v>
      </c>
      <c r="B199" s="20">
        <v>45704</v>
      </c>
      <c r="C199" t="s">
        <v>476</v>
      </c>
      <c r="D199" t="s">
        <v>48</v>
      </c>
      <c r="E199" s="37">
        <v>36</v>
      </c>
      <c r="F199" t="s">
        <v>57</v>
      </c>
      <c r="G199" t="s">
        <v>58</v>
      </c>
      <c r="H199" t="s">
        <v>74</v>
      </c>
      <c r="I199" t="s">
        <v>51</v>
      </c>
      <c r="J199" t="s">
        <v>152</v>
      </c>
      <c r="K199" s="37">
        <v>7</v>
      </c>
      <c r="L199" t="s">
        <v>52</v>
      </c>
      <c r="M199" s="21">
        <v>210400</v>
      </c>
      <c r="N199" s="21">
        <v>2827776</v>
      </c>
      <c r="O199" s="21">
        <v>302976</v>
      </c>
      <c r="P199" s="37">
        <v>4</v>
      </c>
      <c r="Q199" t="s">
        <v>42</v>
      </c>
      <c r="R199" s="37">
        <v>11</v>
      </c>
      <c r="S199" s="37">
        <v>37</v>
      </c>
      <c r="T199" t="s">
        <v>105</v>
      </c>
      <c r="U199" t="s">
        <v>63</v>
      </c>
      <c r="V199" t="s">
        <v>69</v>
      </c>
      <c r="W199" t="str">
        <f t="shared" si="15"/>
        <v>31-40</v>
      </c>
      <c r="X199" t="str">
        <f t="shared" si="16"/>
        <v>6-10 yrs</v>
      </c>
      <c r="Y199" t="str">
        <f t="shared" si="17"/>
        <v>Feb</v>
      </c>
      <c r="Z199">
        <f t="shared" si="18"/>
        <v>2025</v>
      </c>
      <c r="AA199">
        <f t="shared" si="19"/>
        <v>0</v>
      </c>
    </row>
    <row r="200" spans="1:27" ht="15" customHeight="1" x14ac:dyDescent="0.3">
      <c r="A200" t="s">
        <v>477</v>
      </c>
      <c r="B200" s="20">
        <v>45780</v>
      </c>
      <c r="C200" t="s">
        <v>478</v>
      </c>
      <c r="D200" t="s">
        <v>35</v>
      </c>
      <c r="E200" s="37">
        <v>34</v>
      </c>
      <c r="F200" t="s">
        <v>108</v>
      </c>
      <c r="G200" t="s">
        <v>109</v>
      </c>
      <c r="H200" t="s">
        <v>74</v>
      </c>
      <c r="I200" t="s">
        <v>82</v>
      </c>
      <c r="J200" t="s">
        <v>76</v>
      </c>
      <c r="K200" s="37">
        <v>24</v>
      </c>
      <c r="L200" t="s">
        <v>52</v>
      </c>
      <c r="M200" s="21">
        <v>71100</v>
      </c>
      <c r="N200" s="21">
        <v>947052</v>
      </c>
      <c r="O200" s="21">
        <v>93852</v>
      </c>
      <c r="P200" s="37">
        <v>5</v>
      </c>
      <c r="Q200" t="s">
        <v>42</v>
      </c>
      <c r="R200" s="37">
        <v>12</v>
      </c>
      <c r="S200" s="37">
        <v>31</v>
      </c>
      <c r="T200" t="s">
        <v>43</v>
      </c>
      <c r="U200" t="s">
        <v>44</v>
      </c>
      <c r="V200" t="s">
        <v>45</v>
      </c>
      <c r="W200" t="str">
        <f t="shared" si="15"/>
        <v>31-40</v>
      </c>
      <c r="X200" t="str">
        <f t="shared" si="16"/>
        <v>21-30 yrs</v>
      </c>
      <c r="Y200" t="str">
        <f t="shared" si="17"/>
        <v>May</v>
      </c>
      <c r="Z200">
        <f t="shared" si="18"/>
        <v>2025</v>
      </c>
      <c r="AA200">
        <f t="shared" si="19"/>
        <v>0</v>
      </c>
    </row>
    <row r="201" spans="1:27" ht="15" customHeight="1" x14ac:dyDescent="0.3">
      <c r="A201" t="s">
        <v>479</v>
      </c>
      <c r="B201" s="20">
        <v>45754</v>
      </c>
      <c r="C201" t="s">
        <v>480</v>
      </c>
      <c r="D201" t="s">
        <v>35</v>
      </c>
      <c r="E201" s="37">
        <v>37</v>
      </c>
      <c r="F201" t="s">
        <v>97</v>
      </c>
      <c r="G201" t="s">
        <v>98</v>
      </c>
      <c r="H201" t="s">
        <v>59</v>
      </c>
      <c r="I201" t="s">
        <v>82</v>
      </c>
      <c r="J201" t="s">
        <v>104</v>
      </c>
      <c r="K201" s="37">
        <v>5</v>
      </c>
      <c r="L201" t="s">
        <v>52</v>
      </c>
      <c r="M201" s="21">
        <v>59100</v>
      </c>
      <c r="N201" s="21">
        <v>787212</v>
      </c>
      <c r="O201" s="21">
        <v>78012</v>
      </c>
      <c r="P201" s="37">
        <v>2</v>
      </c>
      <c r="Q201" t="s">
        <v>42</v>
      </c>
      <c r="R201" s="37">
        <v>4</v>
      </c>
      <c r="S201" s="37">
        <v>24</v>
      </c>
      <c r="T201" t="s">
        <v>175</v>
      </c>
      <c r="U201" t="s">
        <v>44</v>
      </c>
      <c r="V201" t="s">
        <v>45</v>
      </c>
      <c r="W201" t="str">
        <f t="shared" si="15"/>
        <v>31-40</v>
      </c>
      <c r="X201" t="str">
        <f t="shared" si="16"/>
        <v>0-5 yrs</v>
      </c>
      <c r="Y201" t="str">
        <f t="shared" si="17"/>
        <v>Apr</v>
      </c>
      <c r="Z201">
        <f t="shared" si="18"/>
        <v>2025</v>
      </c>
      <c r="AA201">
        <f t="shared" si="19"/>
        <v>0</v>
      </c>
    </row>
    <row r="202" spans="1:27" ht="15" customHeight="1" x14ac:dyDescent="0.3">
      <c r="A202" t="s">
        <v>481</v>
      </c>
      <c r="B202" s="20">
        <v>45843</v>
      </c>
      <c r="C202" t="s">
        <v>482</v>
      </c>
      <c r="D202" t="s">
        <v>48</v>
      </c>
      <c r="E202" s="37">
        <v>41</v>
      </c>
      <c r="F202" t="s">
        <v>123</v>
      </c>
      <c r="G202" t="s">
        <v>124</v>
      </c>
      <c r="H202" t="s">
        <v>74</v>
      </c>
      <c r="I202" t="s">
        <v>39</v>
      </c>
      <c r="J202" t="s">
        <v>152</v>
      </c>
      <c r="K202" s="37">
        <v>0</v>
      </c>
      <c r="L202" t="s">
        <v>52</v>
      </c>
      <c r="M202" s="21">
        <v>33500</v>
      </c>
      <c r="N202" s="21">
        <v>450240</v>
      </c>
      <c r="O202" s="21">
        <v>48240</v>
      </c>
      <c r="P202" s="37">
        <v>5</v>
      </c>
      <c r="Q202" t="s">
        <v>126</v>
      </c>
      <c r="R202" s="37">
        <v>13</v>
      </c>
      <c r="S202" s="37">
        <v>7</v>
      </c>
      <c r="T202" t="s">
        <v>77</v>
      </c>
      <c r="U202" t="s">
        <v>54</v>
      </c>
      <c r="V202" t="s">
        <v>45</v>
      </c>
      <c r="W202" t="str">
        <f t="shared" si="15"/>
        <v>41-50</v>
      </c>
      <c r="X202" t="str">
        <f t="shared" si="16"/>
        <v>0-5 yrs</v>
      </c>
      <c r="Y202" t="str">
        <f t="shared" si="17"/>
        <v>Jul</v>
      </c>
      <c r="Z202">
        <f t="shared" si="18"/>
        <v>2025</v>
      </c>
      <c r="AA202">
        <f t="shared" si="19"/>
        <v>1</v>
      </c>
    </row>
    <row r="203" spans="1:27" ht="15" customHeight="1" x14ac:dyDescent="0.3">
      <c r="A203" t="s">
        <v>483</v>
      </c>
      <c r="B203" s="20">
        <v>45942</v>
      </c>
      <c r="C203" t="s">
        <v>300</v>
      </c>
      <c r="D203" t="s">
        <v>35</v>
      </c>
      <c r="E203" s="37">
        <v>39</v>
      </c>
      <c r="F203" t="s">
        <v>108</v>
      </c>
      <c r="G203" t="s">
        <v>109</v>
      </c>
      <c r="H203" t="s">
        <v>74</v>
      </c>
      <c r="I203" t="s">
        <v>60</v>
      </c>
      <c r="J203" t="s">
        <v>367</v>
      </c>
      <c r="K203" s="37">
        <v>28</v>
      </c>
      <c r="L203" t="s">
        <v>52</v>
      </c>
      <c r="M203" s="21">
        <v>146000</v>
      </c>
      <c r="N203" s="21">
        <v>2014799</v>
      </c>
      <c r="O203" s="21">
        <v>262800</v>
      </c>
      <c r="P203" s="37">
        <v>4</v>
      </c>
      <c r="Q203" t="s">
        <v>126</v>
      </c>
      <c r="R203" s="37">
        <v>16</v>
      </c>
      <c r="S203" s="37">
        <v>39</v>
      </c>
      <c r="T203" t="s">
        <v>105</v>
      </c>
      <c r="U203" t="s">
        <v>63</v>
      </c>
      <c r="V203" t="s">
        <v>45</v>
      </c>
      <c r="W203" t="str">
        <f t="shared" si="15"/>
        <v>31-40</v>
      </c>
      <c r="X203" t="str">
        <f t="shared" si="16"/>
        <v>21-30 yrs</v>
      </c>
      <c r="Y203" t="str">
        <f t="shared" si="17"/>
        <v>Oct</v>
      </c>
      <c r="Z203">
        <f t="shared" si="18"/>
        <v>2025</v>
      </c>
      <c r="AA203">
        <f t="shared" si="19"/>
        <v>1</v>
      </c>
    </row>
    <row r="204" spans="1:27" ht="15" customHeight="1" x14ac:dyDescent="0.3">
      <c r="A204" t="s">
        <v>484</v>
      </c>
      <c r="B204" s="20">
        <v>45727</v>
      </c>
      <c r="C204" t="s">
        <v>485</v>
      </c>
      <c r="D204" t="s">
        <v>35</v>
      </c>
      <c r="E204" s="37">
        <v>30</v>
      </c>
      <c r="F204" t="s">
        <v>97</v>
      </c>
      <c r="G204" t="s">
        <v>98</v>
      </c>
      <c r="H204" t="s">
        <v>118</v>
      </c>
      <c r="I204" t="s">
        <v>75</v>
      </c>
      <c r="J204" t="s">
        <v>182</v>
      </c>
      <c r="K204" s="37">
        <v>1</v>
      </c>
      <c r="L204" t="s">
        <v>52</v>
      </c>
      <c r="M204" s="21">
        <v>79400</v>
      </c>
      <c r="N204" s="21">
        <v>1067136</v>
      </c>
      <c r="O204" s="21">
        <v>114336</v>
      </c>
      <c r="P204" s="37">
        <v>4</v>
      </c>
      <c r="Q204" t="s">
        <v>42</v>
      </c>
      <c r="R204" s="37">
        <v>7</v>
      </c>
      <c r="S204" s="37">
        <v>7</v>
      </c>
      <c r="T204" t="s">
        <v>68</v>
      </c>
      <c r="U204" t="s">
        <v>63</v>
      </c>
      <c r="V204" t="s">
        <v>69</v>
      </c>
      <c r="W204" t="str">
        <f t="shared" si="15"/>
        <v>22-30</v>
      </c>
      <c r="X204" t="str">
        <f t="shared" si="16"/>
        <v>0-5 yrs</v>
      </c>
      <c r="Y204" t="str">
        <f t="shared" si="17"/>
        <v>Mar</v>
      </c>
      <c r="Z204">
        <f t="shared" si="18"/>
        <v>2025</v>
      </c>
      <c r="AA204">
        <f t="shared" si="19"/>
        <v>0</v>
      </c>
    </row>
    <row r="205" spans="1:27" ht="15" customHeight="1" x14ac:dyDescent="0.3">
      <c r="A205" t="s">
        <v>486</v>
      </c>
      <c r="B205" s="20">
        <v>45888</v>
      </c>
      <c r="C205" t="s">
        <v>487</v>
      </c>
      <c r="D205" t="s">
        <v>48</v>
      </c>
      <c r="E205" s="37">
        <v>53</v>
      </c>
      <c r="F205" t="s">
        <v>49</v>
      </c>
      <c r="G205" t="s">
        <v>50</v>
      </c>
      <c r="H205" t="s">
        <v>59</v>
      </c>
      <c r="I205" t="s">
        <v>82</v>
      </c>
      <c r="J205" t="s">
        <v>141</v>
      </c>
      <c r="K205" s="37">
        <v>5</v>
      </c>
      <c r="L205" t="s">
        <v>52</v>
      </c>
      <c r="M205" s="21">
        <v>59700</v>
      </c>
      <c r="N205" s="21">
        <v>809531</v>
      </c>
      <c r="O205" s="21">
        <v>93132</v>
      </c>
      <c r="P205" s="37">
        <v>4</v>
      </c>
      <c r="Q205" t="s">
        <v>42</v>
      </c>
      <c r="R205" s="37">
        <v>10</v>
      </c>
      <c r="S205" s="37">
        <v>23</v>
      </c>
      <c r="T205" t="s">
        <v>68</v>
      </c>
      <c r="U205" t="s">
        <v>44</v>
      </c>
      <c r="V205" t="s">
        <v>69</v>
      </c>
      <c r="W205" t="str">
        <f t="shared" si="15"/>
        <v>51-58</v>
      </c>
      <c r="X205" t="str">
        <f t="shared" si="16"/>
        <v>0-5 yrs</v>
      </c>
      <c r="Y205" t="str">
        <f t="shared" si="17"/>
        <v>Aug</v>
      </c>
      <c r="Z205">
        <f t="shared" si="18"/>
        <v>2025</v>
      </c>
      <c r="AA205">
        <f t="shared" si="19"/>
        <v>0</v>
      </c>
    </row>
    <row r="206" spans="1:27" ht="15" customHeight="1" x14ac:dyDescent="0.3">
      <c r="A206" t="s">
        <v>488</v>
      </c>
      <c r="B206" s="20">
        <v>45933</v>
      </c>
      <c r="C206" t="s">
        <v>489</v>
      </c>
      <c r="D206" t="s">
        <v>48</v>
      </c>
      <c r="E206" s="37">
        <v>40</v>
      </c>
      <c r="F206" t="s">
        <v>72</v>
      </c>
      <c r="G206" t="s">
        <v>73</v>
      </c>
      <c r="H206" t="s">
        <v>66</v>
      </c>
      <c r="I206" t="s">
        <v>60</v>
      </c>
      <c r="J206" t="s">
        <v>67</v>
      </c>
      <c r="K206" s="37">
        <v>18</v>
      </c>
      <c r="L206" t="s">
        <v>52</v>
      </c>
      <c r="M206" s="21">
        <v>148000</v>
      </c>
      <c r="N206" s="21">
        <v>2113440</v>
      </c>
      <c r="O206" s="21">
        <v>337440</v>
      </c>
      <c r="P206" s="37">
        <v>3</v>
      </c>
      <c r="Q206" t="s">
        <v>42</v>
      </c>
      <c r="R206" s="37">
        <v>16</v>
      </c>
      <c r="S206" s="37">
        <v>40</v>
      </c>
      <c r="T206" t="s">
        <v>53</v>
      </c>
      <c r="U206" t="s">
        <v>63</v>
      </c>
      <c r="V206" t="s">
        <v>45</v>
      </c>
      <c r="W206" t="str">
        <f t="shared" si="15"/>
        <v>31-40</v>
      </c>
      <c r="X206" t="str">
        <f t="shared" si="16"/>
        <v>11-20 yrs</v>
      </c>
      <c r="Y206" t="str">
        <f t="shared" si="17"/>
        <v>Oct</v>
      </c>
      <c r="Z206">
        <f t="shared" si="18"/>
        <v>2025</v>
      </c>
      <c r="AA206">
        <f t="shared" si="19"/>
        <v>0</v>
      </c>
    </row>
    <row r="207" spans="1:27" ht="15" customHeight="1" x14ac:dyDescent="0.3">
      <c r="A207" t="s">
        <v>490</v>
      </c>
      <c r="B207" s="20">
        <v>45818</v>
      </c>
      <c r="C207" t="s">
        <v>491</v>
      </c>
      <c r="D207" t="s">
        <v>35</v>
      </c>
      <c r="E207" s="37">
        <v>39</v>
      </c>
      <c r="F207" t="s">
        <v>72</v>
      </c>
      <c r="G207" t="s">
        <v>73</v>
      </c>
      <c r="H207" t="s">
        <v>66</v>
      </c>
      <c r="I207" t="s">
        <v>51</v>
      </c>
      <c r="J207" t="s">
        <v>93</v>
      </c>
      <c r="K207" s="37">
        <v>3</v>
      </c>
      <c r="L207" t="s">
        <v>52</v>
      </c>
      <c r="M207" s="21">
        <v>221200</v>
      </c>
      <c r="N207" s="21">
        <v>2893296</v>
      </c>
      <c r="O207" s="21">
        <v>238896</v>
      </c>
      <c r="P207" s="37">
        <v>4</v>
      </c>
      <c r="Q207" t="s">
        <v>42</v>
      </c>
      <c r="R207" s="37">
        <v>13</v>
      </c>
      <c r="S207" s="37">
        <v>24</v>
      </c>
      <c r="T207" t="s">
        <v>62</v>
      </c>
      <c r="U207" t="s">
        <v>44</v>
      </c>
      <c r="V207" t="s">
        <v>69</v>
      </c>
      <c r="W207" t="str">
        <f t="shared" si="15"/>
        <v>31-40</v>
      </c>
      <c r="X207" t="str">
        <f t="shared" si="16"/>
        <v>0-5 yrs</v>
      </c>
      <c r="Y207" t="str">
        <f t="shared" si="17"/>
        <v>Jun</v>
      </c>
      <c r="Z207">
        <f t="shared" si="18"/>
        <v>2025</v>
      </c>
      <c r="AA207">
        <f t="shared" si="19"/>
        <v>0</v>
      </c>
    </row>
    <row r="208" spans="1:27" ht="15" customHeight="1" x14ac:dyDescent="0.3">
      <c r="A208" t="s">
        <v>492</v>
      </c>
      <c r="B208" s="20">
        <v>45854</v>
      </c>
      <c r="C208" t="s">
        <v>493</v>
      </c>
      <c r="D208" t="s">
        <v>48</v>
      </c>
      <c r="E208" s="37">
        <v>31</v>
      </c>
      <c r="F208" t="s">
        <v>80</v>
      </c>
      <c r="G208" t="s">
        <v>81</v>
      </c>
      <c r="H208" t="s">
        <v>118</v>
      </c>
      <c r="I208" t="s">
        <v>75</v>
      </c>
      <c r="J208" t="s">
        <v>119</v>
      </c>
      <c r="K208" s="37">
        <v>26</v>
      </c>
      <c r="L208" t="s">
        <v>52</v>
      </c>
      <c r="M208" s="21">
        <v>68800</v>
      </c>
      <c r="N208" s="21">
        <v>891648</v>
      </c>
      <c r="O208" s="21">
        <v>66048</v>
      </c>
      <c r="P208" s="37">
        <v>4</v>
      </c>
      <c r="Q208" t="s">
        <v>42</v>
      </c>
      <c r="R208" s="37">
        <v>1</v>
      </c>
      <c r="S208" s="37">
        <v>22</v>
      </c>
      <c r="T208" t="s">
        <v>62</v>
      </c>
      <c r="U208" t="s">
        <v>54</v>
      </c>
      <c r="V208" t="s">
        <v>45</v>
      </c>
      <c r="W208" t="str">
        <f t="shared" si="15"/>
        <v>31-40</v>
      </c>
      <c r="X208" t="str">
        <f t="shared" si="16"/>
        <v>21-30 yrs</v>
      </c>
      <c r="Y208" t="str">
        <f t="shared" si="17"/>
        <v>Jul</v>
      </c>
      <c r="Z208">
        <f t="shared" si="18"/>
        <v>2025</v>
      </c>
      <c r="AA208">
        <f t="shared" si="19"/>
        <v>0</v>
      </c>
    </row>
    <row r="209" spans="1:27" ht="15" customHeight="1" x14ac:dyDescent="0.3">
      <c r="A209" t="s">
        <v>494</v>
      </c>
      <c r="B209" s="20">
        <v>45783</v>
      </c>
      <c r="C209" t="s">
        <v>495</v>
      </c>
      <c r="D209" t="s">
        <v>48</v>
      </c>
      <c r="E209" s="37">
        <v>51</v>
      </c>
      <c r="F209" t="s">
        <v>80</v>
      </c>
      <c r="G209" t="s">
        <v>81</v>
      </c>
      <c r="H209" t="s">
        <v>66</v>
      </c>
      <c r="I209" t="s">
        <v>82</v>
      </c>
      <c r="J209" t="s">
        <v>161</v>
      </c>
      <c r="K209" s="37">
        <v>19</v>
      </c>
      <c r="L209" t="s">
        <v>52</v>
      </c>
      <c r="M209" s="21">
        <v>72300</v>
      </c>
      <c r="N209" s="21">
        <v>980387</v>
      </c>
      <c r="O209" s="21">
        <v>112788</v>
      </c>
      <c r="P209" s="37">
        <v>3</v>
      </c>
      <c r="Q209" t="s">
        <v>42</v>
      </c>
      <c r="R209" s="37">
        <v>13</v>
      </c>
      <c r="S209" s="37">
        <v>14</v>
      </c>
      <c r="T209" t="s">
        <v>175</v>
      </c>
      <c r="U209" t="s">
        <v>44</v>
      </c>
      <c r="V209" t="s">
        <v>69</v>
      </c>
      <c r="W209" t="str">
        <f t="shared" si="15"/>
        <v>51-58</v>
      </c>
      <c r="X209" t="str">
        <f t="shared" si="16"/>
        <v>11-20 yrs</v>
      </c>
      <c r="Y209" t="str">
        <f t="shared" si="17"/>
        <v>May</v>
      </c>
      <c r="Z209">
        <f t="shared" si="18"/>
        <v>2025</v>
      </c>
      <c r="AA209">
        <f t="shared" si="19"/>
        <v>0</v>
      </c>
    </row>
    <row r="210" spans="1:27" ht="15" customHeight="1" x14ac:dyDescent="0.3">
      <c r="A210" t="s">
        <v>496</v>
      </c>
      <c r="B210" s="20">
        <v>45801</v>
      </c>
      <c r="C210" t="s">
        <v>497</v>
      </c>
      <c r="D210" t="s">
        <v>48</v>
      </c>
      <c r="E210" s="37">
        <v>44</v>
      </c>
      <c r="F210" t="s">
        <v>123</v>
      </c>
      <c r="G210" t="s">
        <v>124</v>
      </c>
      <c r="H210" t="s">
        <v>59</v>
      </c>
      <c r="I210" t="s">
        <v>39</v>
      </c>
      <c r="J210" t="s">
        <v>61</v>
      </c>
      <c r="K210" s="37">
        <v>21</v>
      </c>
      <c r="L210" t="s">
        <v>52</v>
      </c>
      <c r="M210" s="21">
        <v>36300</v>
      </c>
      <c r="N210" s="21">
        <v>483516</v>
      </c>
      <c r="O210" s="21">
        <v>47916</v>
      </c>
      <c r="P210" s="37">
        <v>4</v>
      </c>
      <c r="Q210" t="s">
        <v>42</v>
      </c>
      <c r="R210" s="37">
        <v>7</v>
      </c>
      <c r="S210" s="37">
        <v>10</v>
      </c>
      <c r="T210" t="s">
        <v>146</v>
      </c>
      <c r="U210" t="s">
        <v>44</v>
      </c>
      <c r="V210" t="s">
        <v>69</v>
      </c>
      <c r="W210" t="str">
        <f t="shared" si="15"/>
        <v>41-50</v>
      </c>
      <c r="X210" t="str">
        <f t="shared" si="16"/>
        <v>21-30 yrs</v>
      </c>
      <c r="Y210" t="str">
        <f t="shared" si="17"/>
        <v>May</v>
      </c>
      <c r="Z210">
        <f t="shared" si="18"/>
        <v>2025</v>
      </c>
      <c r="AA210">
        <f t="shared" si="19"/>
        <v>0</v>
      </c>
    </row>
    <row r="211" spans="1:27" ht="15" customHeight="1" x14ac:dyDescent="0.3">
      <c r="A211" t="s">
        <v>498</v>
      </c>
      <c r="B211" s="20">
        <v>45858</v>
      </c>
      <c r="C211" t="s">
        <v>499</v>
      </c>
      <c r="D211" t="s">
        <v>35</v>
      </c>
      <c r="E211" s="37">
        <v>30</v>
      </c>
      <c r="F211" t="s">
        <v>86</v>
      </c>
      <c r="G211" t="s">
        <v>87</v>
      </c>
      <c r="H211" t="s">
        <v>74</v>
      </c>
      <c r="I211" t="s">
        <v>39</v>
      </c>
      <c r="J211" t="s">
        <v>83</v>
      </c>
      <c r="K211" s="37">
        <v>27</v>
      </c>
      <c r="L211" t="s">
        <v>52</v>
      </c>
      <c r="M211" s="21">
        <v>45300</v>
      </c>
      <c r="N211" s="21">
        <v>636012</v>
      </c>
      <c r="O211" s="21">
        <v>92412</v>
      </c>
      <c r="P211" s="37">
        <v>4</v>
      </c>
      <c r="Q211" t="s">
        <v>42</v>
      </c>
      <c r="R211" s="37">
        <v>8</v>
      </c>
      <c r="S211" s="37">
        <v>38</v>
      </c>
      <c r="T211" t="s">
        <v>129</v>
      </c>
      <c r="U211" t="s">
        <v>44</v>
      </c>
      <c r="V211" t="s">
        <v>69</v>
      </c>
      <c r="W211" t="str">
        <f t="shared" si="15"/>
        <v>22-30</v>
      </c>
      <c r="X211" t="str">
        <f t="shared" si="16"/>
        <v>21-30 yrs</v>
      </c>
      <c r="Y211" t="str">
        <f t="shared" si="17"/>
        <v>Jul</v>
      </c>
      <c r="Z211">
        <f t="shared" si="18"/>
        <v>2025</v>
      </c>
      <c r="AA211">
        <f t="shared" si="19"/>
        <v>0</v>
      </c>
    </row>
    <row r="212" spans="1:27" ht="15" customHeight="1" x14ac:dyDescent="0.3">
      <c r="A212" t="s">
        <v>500</v>
      </c>
      <c r="B212" s="20">
        <v>45673</v>
      </c>
      <c r="C212" t="s">
        <v>501</v>
      </c>
      <c r="D212" t="s">
        <v>35</v>
      </c>
      <c r="E212" s="37">
        <v>58</v>
      </c>
      <c r="F212" t="s">
        <v>108</v>
      </c>
      <c r="G212" t="s">
        <v>109</v>
      </c>
      <c r="H212" t="s">
        <v>38</v>
      </c>
      <c r="I212" t="s">
        <v>82</v>
      </c>
      <c r="J212" t="s">
        <v>134</v>
      </c>
      <c r="K212" s="37">
        <v>20</v>
      </c>
      <c r="L212" t="s">
        <v>52</v>
      </c>
      <c r="M212" s="21">
        <v>48400</v>
      </c>
      <c r="N212" s="21">
        <v>685344</v>
      </c>
      <c r="O212" s="21">
        <v>104544</v>
      </c>
      <c r="P212" s="37">
        <v>4</v>
      </c>
      <c r="Q212" t="s">
        <v>126</v>
      </c>
      <c r="R212" s="37">
        <v>16</v>
      </c>
      <c r="S212" s="37">
        <v>16</v>
      </c>
      <c r="T212" t="s">
        <v>43</v>
      </c>
      <c r="U212" t="s">
        <v>44</v>
      </c>
      <c r="V212" t="s">
        <v>69</v>
      </c>
      <c r="W212" t="str">
        <f t="shared" si="15"/>
        <v>51-58</v>
      </c>
      <c r="X212" t="str">
        <f t="shared" si="16"/>
        <v>11-20 yrs</v>
      </c>
      <c r="Y212" t="str">
        <f t="shared" si="17"/>
        <v>Jan</v>
      </c>
      <c r="Z212">
        <f t="shared" si="18"/>
        <v>2025</v>
      </c>
      <c r="AA212">
        <f t="shared" si="19"/>
        <v>1</v>
      </c>
    </row>
    <row r="213" spans="1:27" ht="15" customHeight="1" x14ac:dyDescent="0.3">
      <c r="A213" t="s">
        <v>502</v>
      </c>
      <c r="B213" s="20">
        <v>45950</v>
      </c>
      <c r="C213" t="s">
        <v>503</v>
      </c>
      <c r="D213" t="s">
        <v>35</v>
      </c>
      <c r="E213" s="37">
        <v>35</v>
      </c>
      <c r="F213" t="s">
        <v>72</v>
      </c>
      <c r="G213" t="s">
        <v>73</v>
      </c>
      <c r="H213" t="s">
        <v>74</v>
      </c>
      <c r="I213" t="s">
        <v>60</v>
      </c>
      <c r="J213" t="s">
        <v>83</v>
      </c>
      <c r="K213" s="37">
        <v>12</v>
      </c>
      <c r="L213" t="s">
        <v>52</v>
      </c>
      <c r="M213" s="21">
        <v>136300</v>
      </c>
      <c r="N213" s="21">
        <v>1946364</v>
      </c>
      <c r="O213" s="21">
        <v>310764</v>
      </c>
      <c r="P213" s="37">
        <v>2</v>
      </c>
      <c r="Q213" t="s">
        <v>42</v>
      </c>
      <c r="R213" s="37">
        <v>16</v>
      </c>
      <c r="S213" s="37">
        <v>22</v>
      </c>
      <c r="T213" t="s">
        <v>175</v>
      </c>
      <c r="U213" t="s">
        <v>63</v>
      </c>
      <c r="V213" t="s">
        <v>45</v>
      </c>
      <c r="W213" t="str">
        <f t="shared" si="15"/>
        <v>31-40</v>
      </c>
      <c r="X213" t="str">
        <f t="shared" si="16"/>
        <v>11-20 yrs</v>
      </c>
      <c r="Y213" t="str">
        <f t="shared" si="17"/>
        <v>Oct</v>
      </c>
      <c r="Z213">
        <f t="shared" si="18"/>
        <v>2025</v>
      </c>
      <c r="AA213">
        <f t="shared" si="19"/>
        <v>0</v>
      </c>
    </row>
    <row r="214" spans="1:27" ht="15" customHeight="1" x14ac:dyDescent="0.3">
      <c r="A214" t="s">
        <v>504</v>
      </c>
      <c r="B214" s="20">
        <v>45893</v>
      </c>
      <c r="C214" t="s">
        <v>505</v>
      </c>
      <c r="D214" t="s">
        <v>35</v>
      </c>
      <c r="E214" s="37">
        <v>25</v>
      </c>
      <c r="F214" t="s">
        <v>108</v>
      </c>
      <c r="G214" t="s">
        <v>109</v>
      </c>
      <c r="H214" t="s">
        <v>118</v>
      </c>
      <c r="I214" t="s">
        <v>60</v>
      </c>
      <c r="J214" t="s">
        <v>137</v>
      </c>
      <c r="K214" s="37">
        <v>22</v>
      </c>
      <c r="L214" t="s">
        <v>52</v>
      </c>
      <c r="M214" s="21">
        <v>143100</v>
      </c>
      <c r="N214" s="21">
        <v>1820232</v>
      </c>
      <c r="O214" s="21">
        <v>103032</v>
      </c>
      <c r="P214" s="37">
        <v>4</v>
      </c>
      <c r="Q214" t="s">
        <v>42</v>
      </c>
      <c r="R214" s="37">
        <v>19</v>
      </c>
      <c r="S214" s="37">
        <v>35</v>
      </c>
      <c r="T214" t="s">
        <v>105</v>
      </c>
      <c r="U214" t="s">
        <v>44</v>
      </c>
      <c r="V214" t="s">
        <v>45</v>
      </c>
      <c r="W214" t="str">
        <f t="shared" si="15"/>
        <v>22-30</v>
      </c>
      <c r="X214" t="str">
        <f t="shared" si="16"/>
        <v>21-30 yrs</v>
      </c>
      <c r="Y214" t="str">
        <f t="shared" si="17"/>
        <v>Aug</v>
      </c>
      <c r="Z214">
        <f t="shared" si="18"/>
        <v>2025</v>
      </c>
      <c r="AA214">
        <f t="shared" si="19"/>
        <v>0</v>
      </c>
    </row>
    <row r="215" spans="1:27" ht="15" customHeight="1" x14ac:dyDescent="0.3">
      <c r="A215" t="s">
        <v>506</v>
      </c>
      <c r="B215" s="20">
        <v>45738</v>
      </c>
      <c r="C215" t="s">
        <v>445</v>
      </c>
      <c r="D215" t="s">
        <v>48</v>
      </c>
      <c r="E215" s="37">
        <v>22</v>
      </c>
      <c r="F215" t="s">
        <v>80</v>
      </c>
      <c r="G215" t="s">
        <v>81</v>
      </c>
      <c r="H215" t="s">
        <v>66</v>
      </c>
      <c r="I215" t="s">
        <v>82</v>
      </c>
      <c r="J215" t="s">
        <v>93</v>
      </c>
      <c r="K215" s="37">
        <v>13</v>
      </c>
      <c r="L215" t="s">
        <v>52</v>
      </c>
      <c r="M215" s="21">
        <v>59200</v>
      </c>
      <c r="N215" s="21">
        <v>774336</v>
      </c>
      <c r="O215" s="21">
        <v>63936</v>
      </c>
      <c r="P215" s="37">
        <v>4</v>
      </c>
      <c r="Q215" t="s">
        <v>126</v>
      </c>
      <c r="R215" s="37">
        <v>15</v>
      </c>
      <c r="S215" s="37">
        <v>3</v>
      </c>
      <c r="T215" t="s">
        <v>129</v>
      </c>
      <c r="U215" t="s">
        <v>44</v>
      </c>
      <c r="V215" t="s">
        <v>45</v>
      </c>
      <c r="W215" t="str">
        <f t="shared" si="15"/>
        <v>22-30</v>
      </c>
      <c r="X215" t="str">
        <f t="shared" si="16"/>
        <v>11-20 yrs</v>
      </c>
      <c r="Y215" t="str">
        <f t="shared" si="17"/>
        <v>Mar</v>
      </c>
      <c r="Z215">
        <f t="shared" si="18"/>
        <v>2025</v>
      </c>
      <c r="AA215">
        <f t="shared" si="19"/>
        <v>1</v>
      </c>
    </row>
    <row r="216" spans="1:27" ht="15" customHeight="1" x14ac:dyDescent="0.3">
      <c r="A216" t="s">
        <v>507</v>
      </c>
      <c r="B216" s="20">
        <v>45974</v>
      </c>
      <c r="C216" t="s">
        <v>34</v>
      </c>
      <c r="D216" t="s">
        <v>35</v>
      </c>
      <c r="E216" s="37">
        <v>52</v>
      </c>
      <c r="F216" t="s">
        <v>91</v>
      </c>
      <c r="G216" t="s">
        <v>92</v>
      </c>
      <c r="H216" t="s">
        <v>66</v>
      </c>
      <c r="I216" t="s">
        <v>60</v>
      </c>
      <c r="J216" t="s">
        <v>149</v>
      </c>
      <c r="K216" s="37">
        <v>18</v>
      </c>
      <c r="L216" t="s">
        <v>52</v>
      </c>
      <c r="M216" s="21">
        <v>146000</v>
      </c>
      <c r="N216" s="21">
        <v>1909680</v>
      </c>
      <c r="O216" s="21">
        <v>157680</v>
      </c>
      <c r="P216" s="37">
        <v>2</v>
      </c>
      <c r="Q216" t="s">
        <v>42</v>
      </c>
      <c r="R216" s="37">
        <v>17</v>
      </c>
      <c r="S216" s="37">
        <v>4</v>
      </c>
      <c r="T216" t="s">
        <v>146</v>
      </c>
      <c r="U216" t="s">
        <v>44</v>
      </c>
      <c r="V216" t="s">
        <v>45</v>
      </c>
      <c r="W216" t="str">
        <f t="shared" si="15"/>
        <v>51-58</v>
      </c>
      <c r="X216" t="str">
        <f t="shared" si="16"/>
        <v>11-20 yrs</v>
      </c>
      <c r="Y216" t="str">
        <f t="shared" si="17"/>
        <v>Nov</v>
      </c>
      <c r="Z216">
        <f t="shared" si="18"/>
        <v>2025</v>
      </c>
      <c r="AA216">
        <f t="shared" si="19"/>
        <v>0</v>
      </c>
    </row>
    <row r="217" spans="1:27" ht="15" customHeight="1" x14ac:dyDescent="0.3">
      <c r="A217" t="s">
        <v>508</v>
      </c>
      <c r="B217" s="20">
        <v>45721</v>
      </c>
      <c r="C217" t="s">
        <v>509</v>
      </c>
      <c r="D217" t="s">
        <v>48</v>
      </c>
      <c r="E217" s="37">
        <v>25</v>
      </c>
      <c r="F217" t="s">
        <v>57</v>
      </c>
      <c r="G217" t="s">
        <v>58</v>
      </c>
      <c r="H217" t="s">
        <v>66</v>
      </c>
      <c r="I217" t="s">
        <v>82</v>
      </c>
      <c r="J217" t="s">
        <v>93</v>
      </c>
      <c r="K217" s="37">
        <v>8</v>
      </c>
      <c r="L217" t="s">
        <v>52</v>
      </c>
      <c r="M217" s="21">
        <v>68200</v>
      </c>
      <c r="N217" s="21">
        <v>900240</v>
      </c>
      <c r="O217" s="21">
        <v>81840</v>
      </c>
      <c r="P217" s="37">
        <v>2</v>
      </c>
      <c r="Q217" t="s">
        <v>42</v>
      </c>
      <c r="R217" s="37">
        <v>10</v>
      </c>
      <c r="S217" s="37">
        <v>16</v>
      </c>
      <c r="T217" t="s">
        <v>53</v>
      </c>
      <c r="U217" t="s">
        <v>44</v>
      </c>
      <c r="V217" t="s">
        <v>69</v>
      </c>
      <c r="W217" t="str">
        <f t="shared" si="15"/>
        <v>22-30</v>
      </c>
      <c r="X217" t="str">
        <f t="shared" si="16"/>
        <v>6-10 yrs</v>
      </c>
      <c r="Y217" t="str">
        <f t="shared" si="17"/>
        <v>Mar</v>
      </c>
      <c r="Z217">
        <f t="shared" si="18"/>
        <v>2025</v>
      </c>
      <c r="AA217">
        <f t="shared" si="19"/>
        <v>0</v>
      </c>
    </row>
    <row r="218" spans="1:27" ht="15" customHeight="1" x14ac:dyDescent="0.3">
      <c r="A218" t="s">
        <v>510</v>
      </c>
      <c r="B218" s="20">
        <v>45792</v>
      </c>
      <c r="C218" t="s">
        <v>467</v>
      </c>
      <c r="D218" t="s">
        <v>48</v>
      </c>
      <c r="E218" s="37">
        <v>43</v>
      </c>
      <c r="F218" t="s">
        <v>108</v>
      </c>
      <c r="G218" t="s">
        <v>109</v>
      </c>
      <c r="H218" t="s">
        <v>66</v>
      </c>
      <c r="I218" t="s">
        <v>75</v>
      </c>
      <c r="J218" t="s">
        <v>170</v>
      </c>
      <c r="K218" s="37">
        <v>12</v>
      </c>
      <c r="L218" t="s">
        <v>120</v>
      </c>
      <c r="M218" s="21">
        <v>84000</v>
      </c>
      <c r="N218" s="21">
        <v>1149120</v>
      </c>
      <c r="O218" s="21">
        <v>141120</v>
      </c>
      <c r="P218" s="37">
        <v>4</v>
      </c>
      <c r="Q218" t="s">
        <v>42</v>
      </c>
      <c r="R218" s="37">
        <v>16</v>
      </c>
      <c r="S218" s="37">
        <v>40</v>
      </c>
      <c r="T218" t="s">
        <v>175</v>
      </c>
      <c r="U218" t="s">
        <v>44</v>
      </c>
      <c r="V218" t="s">
        <v>45</v>
      </c>
      <c r="W218" t="str">
        <f t="shared" si="15"/>
        <v>41-50</v>
      </c>
      <c r="X218" t="str">
        <f t="shared" si="16"/>
        <v>11-20 yrs</v>
      </c>
      <c r="Y218" t="str">
        <f t="shared" si="17"/>
        <v>May</v>
      </c>
      <c r="Z218">
        <f t="shared" si="18"/>
        <v>2025</v>
      </c>
      <c r="AA218">
        <f t="shared" si="19"/>
        <v>0</v>
      </c>
    </row>
    <row r="219" spans="1:27" ht="15" customHeight="1" x14ac:dyDescent="0.3">
      <c r="A219" t="s">
        <v>511</v>
      </c>
      <c r="B219" s="20">
        <v>45855</v>
      </c>
      <c r="C219" t="s">
        <v>512</v>
      </c>
      <c r="D219" t="s">
        <v>35</v>
      </c>
      <c r="E219" s="37">
        <v>46</v>
      </c>
      <c r="F219" t="s">
        <v>49</v>
      </c>
      <c r="G219" t="s">
        <v>50</v>
      </c>
      <c r="H219" t="s">
        <v>118</v>
      </c>
      <c r="I219" t="s">
        <v>39</v>
      </c>
      <c r="J219" t="s">
        <v>119</v>
      </c>
      <c r="K219" s="37">
        <v>29</v>
      </c>
      <c r="L219" t="s">
        <v>52</v>
      </c>
      <c r="M219" s="21">
        <v>28400</v>
      </c>
      <c r="N219" s="21">
        <v>391919</v>
      </c>
      <c r="O219" s="21">
        <v>51120</v>
      </c>
      <c r="P219" s="37">
        <v>4</v>
      </c>
      <c r="Q219" t="s">
        <v>42</v>
      </c>
      <c r="R219" s="37">
        <v>2</v>
      </c>
      <c r="S219" s="37">
        <v>10</v>
      </c>
      <c r="T219" t="s">
        <v>146</v>
      </c>
      <c r="U219" t="s">
        <v>138</v>
      </c>
      <c r="V219" t="s">
        <v>45</v>
      </c>
      <c r="W219" t="str">
        <f t="shared" si="15"/>
        <v>41-50</v>
      </c>
      <c r="X219" t="str">
        <f t="shared" si="16"/>
        <v>21-30 yrs</v>
      </c>
      <c r="Y219" t="str">
        <f t="shared" si="17"/>
        <v>Jul</v>
      </c>
      <c r="Z219">
        <f t="shared" si="18"/>
        <v>2025</v>
      </c>
      <c r="AA219">
        <f t="shared" si="19"/>
        <v>0</v>
      </c>
    </row>
    <row r="220" spans="1:27" ht="15" customHeight="1" x14ac:dyDescent="0.3">
      <c r="A220" t="s">
        <v>513</v>
      </c>
      <c r="B220" s="20">
        <v>45988</v>
      </c>
      <c r="C220" t="s">
        <v>514</v>
      </c>
      <c r="D220" t="s">
        <v>35</v>
      </c>
      <c r="E220" s="37">
        <v>39</v>
      </c>
      <c r="F220" t="s">
        <v>97</v>
      </c>
      <c r="G220" t="s">
        <v>98</v>
      </c>
      <c r="H220" t="s">
        <v>38</v>
      </c>
      <c r="I220" t="s">
        <v>82</v>
      </c>
      <c r="J220" t="s">
        <v>40</v>
      </c>
      <c r="K220" s="37">
        <v>17</v>
      </c>
      <c r="L220" t="s">
        <v>41</v>
      </c>
      <c r="M220" s="21">
        <v>62800</v>
      </c>
      <c r="N220" s="21">
        <v>896784</v>
      </c>
      <c r="O220" s="21">
        <v>143184</v>
      </c>
      <c r="P220" s="37">
        <v>4</v>
      </c>
      <c r="Q220" t="s">
        <v>42</v>
      </c>
      <c r="R220" s="37">
        <v>14</v>
      </c>
      <c r="S220" s="37">
        <v>11</v>
      </c>
      <c r="T220" t="s">
        <v>53</v>
      </c>
      <c r="U220" t="s">
        <v>54</v>
      </c>
      <c r="V220" t="s">
        <v>45</v>
      </c>
      <c r="W220" t="str">
        <f t="shared" si="15"/>
        <v>31-40</v>
      </c>
      <c r="X220" t="str">
        <f t="shared" si="16"/>
        <v>11-20 yrs</v>
      </c>
      <c r="Y220" t="str">
        <f t="shared" si="17"/>
        <v>Nov</v>
      </c>
      <c r="Z220">
        <f t="shared" si="18"/>
        <v>2025</v>
      </c>
      <c r="AA220">
        <f t="shared" si="19"/>
        <v>0</v>
      </c>
    </row>
    <row r="221" spans="1:27" ht="15" customHeight="1" x14ac:dyDescent="0.3">
      <c r="A221" t="s">
        <v>515</v>
      </c>
      <c r="B221" s="20">
        <v>45752</v>
      </c>
      <c r="C221" t="s">
        <v>516</v>
      </c>
      <c r="D221" t="s">
        <v>48</v>
      </c>
      <c r="E221" s="37">
        <v>33</v>
      </c>
      <c r="F221" t="s">
        <v>108</v>
      </c>
      <c r="G221" t="s">
        <v>109</v>
      </c>
      <c r="H221" t="s">
        <v>38</v>
      </c>
      <c r="I221" t="s">
        <v>39</v>
      </c>
      <c r="J221" t="s">
        <v>110</v>
      </c>
      <c r="K221" s="37">
        <v>20</v>
      </c>
      <c r="L221" t="s">
        <v>52</v>
      </c>
      <c r="M221" s="21">
        <v>31000</v>
      </c>
      <c r="N221" s="21">
        <v>401760</v>
      </c>
      <c r="O221" s="21">
        <v>29760</v>
      </c>
      <c r="P221" s="37">
        <v>2</v>
      </c>
      <c r="Q221" t="s">
        <v>42</v>
      </c>
      <c r="R221" s="37">
        <v>4</v>
      </c>
      <c r="S221" s="37">
        <v>29</v>
      </c>
      <c r="T221" t="s">
        <v>94</v>
      </c>
      <c r="U221" t="s">
        <v>44</v>
      </c>
      <c r="V221" t="s">
        <v>45</v>
      </c>
      <c r="W221" t="str">
        <f t="shared" si="15"/>
        <v>31-40</v>
      </c>
      <c r="X221" t="str">
        <f t="shared" si="16"/>
        <v>11-20 yrs</v>
      </c>
      <c r="Y221" t="str">
        <f t="shared" si="17"/>
        <v>Apr</v>
      </c>
      <c r="Z221">
        <f t="shared" si="18"/>
        <v>2025</v>
      </c>
      <c r="AA221">
        <f t="shared" si="19"/>
        <v>0</v>
      </c>
    </row>
    <row r="222" spans="1:27" ht="15" customHeight="1" x14ac:dyDescent="0.3">
      <c r="A222" t="s">
        <v>517</v>
      </c>
      <c r="B222" s="20">
        <v>45812</v>
      </c>
      <c r="C222" t="s">
        <v>518</v>
      </c>
      <c r="D222" t="s">
        <v>48</v>
      </c>
      <c r="E222" s="37">
        <v>40</v>
      </c>
      <c r="F222" t="s">
        <v>49</v>
      </c>
      <c r="G222" t="s">
        <v>50</v>
      </c>
      <c r="H222" t="s">
        <v>38</v>
      </c>
      <c r="I222" t="s">
        <v>39</v>
      </c>
      <c r="J222" t="s">
        <v>110</v>
      </c>
      <c r="K222" s="37">
        <v>28</v>
      </c>
      <c r="L222" t="s">
        <v>52</v>
      </c>
      <c r="M222" s="21">
        <v>33500</v>
      </c>
      <c r="N222" s="21">
        <v>442200</v>
      </c>
      <c r="O222" s="21">
        <v>40200</v>
      </c>
      <c r="P222" s="37">
        <v>3</v>
      </c>
      <c r="Q222" t="s">
        <v>42</v>
      </c>
      <c r="R222" s="37">
        <v>4</v>
      </c>
      <c r="S222" s="37">
        <v>35</v>
      </c>
      <c r="T222" t="s">
        <v>105</v>
      </c>
      <c r="U222" t="s">
        <v>63</v>
      </c>
      <c r="V222" t="s">
        <v>69</v>
      </c>
      <c r="W222" t="str">
        <f t="shared" si="15"/>
        <v>31-40</v>
      </c>
      <c r="X222" t="str">
        <f t="shared" si="16"/>
        <v>21-30 yrs</v>
      </c>
      <c r="Y222" t="str">
        <f t="shared" si="17"/>
        <v>Jun</v>
      </c>
      <c r="Z222">
        <f t="shared" si="18"/>
        <v>2025</v>
      </c>
      <c r="AA222">
        <f t="shared" si="19"/>
        <v>0</v>
      </c>
    </row>
    <row r="223" spans="1:27" ht="15" customHeight="1" x14ac:dyDescent="0.3">
      <c r="A223" t="s">
        <v>519</v>
      </c>
      <c r="B223" s="20">
        <v>45701</v>
      </c>
      <c r="C223" t="s">
        <v>520</v>
      </c>
      <c r="D223" t="s">
        <v>48</v>
      </c>
      <c r="E223" s="37">
        <v>57</v>
      </c>
      <c r="F223" t="s">
        <v>91</v>
      </c>
      <c r="G223" t="s">
        <v>92</v>
      </c>
      <c r="H223" t="s">
        <v>38</v>
      </c>
      <c r="I223" t="s">
        <v>82</v>
      </c>
      <c r="J223" t="s">
        <v>110</v>
      </c>
      <c r="K223" s="37">
        <v>14</v>
      </c>
      <c r="L223" t="s">
        <v>52</v>
      </c>
      <c r="M223" s="21">
        <v>49800</v>
      </c>
      <c r="N223" s="21">
        <v>675287</v>
      </c>
      <c r="O223" s="21">
        <v>77688</v>
      </c>
      <c r="P223" s="37">
        <v>2</v>
      </c>
      <c r="Q223" t="s">
        <v>126</v>
      </c>
      <c r="R223" s="37">
        <v>10</v>
      </c>
      <c r="S223" s="37">
        <v>36</v>
      </c>
      <c r="T223" t="s">
        <v>43</v>
      </c>
      <c r="U223" t="s">
        <v>63</v>
      </c>
      <c r="V223" t="s">
        <v>69</v>
      </c>
      <c r="W223" t="str">
        <f t="shared" si="15"/>
        <v>51-58</v>
      </c>
      <c r="X223" t="str">
        <f t="shared" si="16"/>
        <v>11-20 yrs</v>
      </c>
      <c r="Y223" t="str">
        <f t="shared" si="17"/>
        <v>Feb</v>
      </c>
      <c r="Z223">
        <f t="shared" si="18"/>
        <v>2025</v>
      </c>
      <c r="AA223">
        <f t="shared" si="19"/>
        <v>1</v>
      </c>
    </row>
    <row r="224" spans="1:27" ht="15" customHeight="1" x14ac:dyDescent="0.3">
      <c r="A224" t="s">
        <v>521</v>
      </c>
      <c r="B224" s="20">
        <v>45859</v>
      </c>
      <c r="C224" t="s">
        <v>522</v>
      </c>
      <c r="D224" t="s">
        <v>48</v>
      </c>
      <c r="E224" s="37">
        <v>25</v>
      </c>
      <c r="F224" t="s">
        <v>80</v>
      </c>
      <c r="G224" t="s">
        <v>81</v>
      </c>
      <c r="H224" t="s">
        <v>38</v>
      </c>
      <c r="I224" t="s">
        <v>82</v>
      </c>
      <c r="J224" t="s">
        <v>40</v>
      </c>
      <c r="K224" s="37">
        <v>24</v>
      </c>
      <c r="L224" t="s">
        <v>52</v>
      </c>
      <c r="M224" s="21">
        <v>60700</v>
      </c>
      <c r="N224" s="21">
        <v>874080</v>
      </c>
      <c r="O224" s="21">
        <v>145680</v>
      </c>
      <c r="P224" s="37">
        <v>4</v>
      </c>
      <c r="Q224" t="s">
        <v>42</v>
      </c>
      <c r="R224" s="37">
        <v>9</v>
      </c>
      <c r="S224" s="37">
        <v>1</v>
      </c>
      <c r="T224" t="s">
        <v>62</v>
      </c>
      <c r="U224" t="s">
        <v>44</v>
      </c>
      <c r="V224" t="s">
        <v>45</v>
      </c>
      <c r="W224" t="str">
        <f t="shared" si="15"/>
        <v>22-30</v>
      </c>
      <c r="X224" t="str">
        <f t="shared" si="16"/>
        <v>21-30 yrs</v>
      </c>
      <c r="Y224" t="str">
        <f t="shared" si="17"/>
        <v>Jul</v>
      </c>
      <c r="Z224">
        <f t="shared" si="18"/>
        <v>2025</v>
      </c>
      <c r="AA224">
        <f t="shared" si="19"/>
        <v>0</v>
      </c>
    </row>
    <row r="225" spans="1:27" ht="15" customHeight="1" x14ac:dyDescent="0.3">
      <c r="A225" t="s">
        <v>523</v>
      </c>
      <c r="B225" s="20">
        <v>45941</v>
      </c>
      <c r="C225" t="s">
        <v>524</v>
      </c>
      <c r="D225" t="s">
        <v>35</v>
      </c>
      <c r="E225" s="37">
        <v>42</v>
      </c>
      <c r="F225" t="s">
        <v>123</v>
      </c>
      <c r="G225" t="s">
        <v>124</v>
      </c>
      <c r="H225" t="s">
        <v>59</v>
      </c>
      <c r="I225" t="s">
        <v>82</v>
      </c>
      <c r="J225" t="s">
        <v>125</v>
      </c>
      <c r="K225" s="37">
        <v>30</v>
      </c>
      <c r="L225" t="s">
        <v>52</v>
      </c>
      <c r="M225" s="21">
        <v>52900</v>
      </c>
      <c r="N225" s="21">
        <v>685584</v>
      </c>
      <c r="O225" s="21">
        <v>50784</v>
      </c>
      <c r="P225" s="37">
        <v>4</v>
      </c>
      <c r="Q225" t="s">
        <v>42</v>
      </c>
      <c r="R225" s="37">
        <v>6</v>
      </c>
      <c r="S225" s="37">
        <v>1</v>
      </c>
      <c r="T225" t="s">
        <v>129</v>
      </c>
      <c r="U225" t="s">
        <v>54</v>
      </c>
      <c r="V225" t="s">
        <v>69</v>
      </c>
      <c r="W225" t="str">
        <f t="shared" si="15"/>
        <v>41-50</v>
      </c>
      <c r="X225" t="str">
        <f t="shared" si="16"/>
        <v>21-30 yrs</v>
      </c>
      <c r="Y225" t="str">
        <f t="shared" si="17"/>
        <v>Oct</v>
      </c>
      <c r="Z225">
        <f t="shared" si="18"/>
        <v>2025</v>
      </c>
      <c r="AA225">
        <f t="shared" si="19"/>
        <v>0</v>
      </c>
    </row>
    <row r="226" spans="1:27" ht="15" customHeight="1" x14ac:dyDescent="0.3">
      <c r="A226" t="s">
        <v>525</v>
      </c>
      <c r="B226" s="20">
        <v>45945</v>
      </c>
      <c r="C226" t="s">
        <v>526</v>
      </c>
      <c r="D226" t="s">
        <v>48</v>
      </c>
      <c r="E226" s="37">
        <v>24</v>
      </c>
      <c r="F226" t="s">
        <v>80</v>
      </c>
      <c r="G226" t="s">
        <v>81</v>
      </c>
      <c r="H226" t="s">
        <v>59</v>
      </c>
      <c r="I226" t="s">
        <v>82</v>
      </c>
      <c r="J226" t="s">
        <v>141</v>
      </c>
      <c r="K226" s="37">
        <v>16</v>
      </c>
      <c r="L226" t="s">
        <v>52</v>
      </c>
      <c r="M226" s="21">
        <v>54600</v>
      </c>
      <c r="N226" s="21">
        <v>727272</v>
      </c>
      <c r="O226" s="21">
        <v>72072</v>
      </c>
      <c r="P226" s="37">
        <v>3</v>
      </c>
      <c r="Q226" t="s">
        <v>42</v>
      </c>
      <c r="R226" s="37">
        <v>9</v>
      </c>
      <c r="S226" s="37">
        <v>39</v>
      </c>
      <c r="T226" t="s">
        <v>68</v>
      </c>
      <c r="U226" t="s">
        <v>63</v>
      </c>
      <c r="V226" t="s">
        <v>45</v>
      </c>
      <c r="W226" t="str">
        <f t="shared" si="15"/>
        <v>22-30</v>
      </c>
      <c r="X226" t="str">
        <f t="shared" si="16"/>
        <v>11-20 yrs</v>
      </c>
      <c r="Y226" t="str">
        <f t="shared" si="17"/>
        <v>Oct</v>
      </c>
      <c r="Z226">
        <f t="shared" si="18"/>
        <v>2025</v>
      </c>
      <c r="AA226">
        <f t="shared" si="19"/>
        <v>0</v>
      </c>
    </row>
    <row r="227" spans="1:27" ht="15" customHeight="1" x14ac:dyDescent="0.3">
      <c r="A227" t="s">
        <v>527</v>
      </c>
      <c r="B227" s="20">
        <v>45993</v>
      </c>
      <c r="C227" t="s">
        <v>528</v>
      </c>
      <c r="D227" t="s">
        <v>35</v>
      </c>
      <c r="E227" s="37">
        <v>43</v>
      </c>
      <c r="F227" t="s">
        <v>91</v>
      </c>
      <c r="G227" t="s">
        <v>92</v>
      </c>
      <c r="H227" t="s">
        <v>74</v>
      </c>
      <c r="I227" t="s">
        <v>39</v>
      </c>
      <c r="J227" t="s">
        <v>152</v>
      </c>
      <c r="K227" s="37">
        <v>15</v>
      </c>
      <c r="L227" t="s">
        <v>52</v>
      </c>
      <c r="M227" s="21">
        <v>39300</v>
      </c>
      <c r="N227" s="21">
        <v>561204</v>
      </c>
      <c r="O227" s="21">
        <v>89604</v>
      </c>
      <c r="P227" s="37">
        <v>3</v>
      </c>
      <c r="Q227" t="s">
        <v>42</v>
      </c>
      <c r="R227" s="37">
        <v>8</v>
      </c>
      <c r="S227" s="37">
        <v>9</v>
      </c>
      <c r="T227" t="s">
        <v>175</v>
      </c>
      <c r="U227" t="s">
        <v>44</v>
      </c>
      <c r="V227" t="s">
        <v>69</v>
      </c>
      <c r="W227" t="str">
        <f t="shared" si="15"/>
        <v>41-50</v>
      </c>
      <c r="X227" t="str">
        <f t="shared" si="16"/>
        <v>11-20 yrs</v>
      </c>
      <c r="Y227" t="str">
        <f t="shared" si="17"/>
        <v>Dec</v>
      </c>
      <c r="Z227">
        <f t="shared" si="18"/>
        <v>2025</v>
      </c>
      <c r="AA227">
        <f t="shared" si="19"/>
        <v>0</v>
      </c>
    </row>
    <row r="228" spans="1:27" ht="15" customHeight="1" x14ac:dyDescent="0.3">
      <c r="A228" t="s">
        <v>529</v>
      </c>
      <c r="B228" s="20">
        <v>45875</v>
      </c>
      <c r="C228" t="s">
        <v>235</v>
      </c>
      <c r="D228" t="s">
        <v>35</v>
      </c>
      <c r="E228" s="37">
        <v>52</v>
      </c>
      <c r="F228" t="s">
        <v>91</v>
      </c>
      <c r="G228" t="s">
        <v>92</v>
      </c>
      <c r="H228" t="s">
        <v>118</v>
      </c>
      <c r="I228" t="s">
        <v>39</v>
      </c>
      <c r="J228" t="s">
        <v>137</v>
      </c>
      <c r="K228" s="37">
        <v>4</v>
      </c>
      <c r="L228" t="s">
        <v>52</v>
      </c>
      <c r="M228" s="21">
        <v>35700</v>
      </c>
      <c r="N228" s="21">
        <v>484091</v>
      </c>
      <c r="O228" s="21">
        <v>55692</v>
      </c>
      <c r="P228" s="37">
        <v>2</v>
      </c>
      <c r="Q228" t="s">
        <v>126</v>
      </c>
      <c r="R228" s="37">
        <v>17</v>
      </c>
      <c r="S228" s="37">
        <v>23</v>
      </c>
      <c r="T228" t="s">
        <v>62</v>
      </c>
      <c r="U228" t="s">
        <v>54</v>
      </c>
      <c r="V228" t="s">
        <v>69</v>
      </c>
      <c r="W228" t="str">
        <f t="shared" si="15"/>
        <v>51-58</v>
      </c>
      <c r="X228" t="str">
        <f t="shared" si="16"/>
        <v>0-5 yrs</v>
      </c>
      <c r="Y228" t="str">
        <f t="shared" si="17"/>
        <v>Aug</v>
      </c>
      <c r="Z228">
        <f t="shared" si="18"/>
        <v>2025</v>
      </c>
      <c r="AA228">
        <f t="shared" si="19"/>
        <v>1</v>
      </c>
    </row>
    <row r="229" spans="1:27" ht="15" customHeight="1" x14ac:dyDescent="0.3">
      <c r="A229" t="s">
        <v>530</v>
      </c>
      <c r="B229" s="20">
        <v>45820</v>
      </c>
      <c r="C229" t="s">
        <v>531</v>
      </c>
      <c r="D229" t="s">
        <v>48</v>
      </c>
      <c r="E229" s="37">
        <v>37</v>
      </c>
      <c r="F229" t="s">
        <v>123</v>
      </c>
      <c r="G229" t="s">
        <v>124</v>
      </c>
      <c r="H229" t="s">
        <v>59</v>
      </c>
      <c r="I229" t="s">
        <v>39</v>
      </c>
      <c r="J229" t="s">
        <v>88</v>
      </c>
      <c r="K229" s="37">
        <v>3</v>
      </c>
      <c r="L229" t="s">
        <v>52</v>
      </c>
      <c r="M229" s="21">
        <v>34800</v>
      </c>
      <c r="N229" s="21">
        <v>455184</v>
      </c>
      <c r="O229" s="21">
        <v>37584</v>
      </c>
      <c r="P229" s="37">
        <v>4</v>
      </c>
      <c r="Q229" t="s">
        <v>126</v>
      </c>
      <c r="R229" s="37">
        <v>4</v>
      </c>
      <c r="S229" s="37">
        <v>3</v>
      </c>
      <c r="T229" t="s">
        <v>146</v>
      </c>
      <c r="U229" t="s">
        <v>63</v>
      </c>
      <c r="V229" t="s">
        <v>45</v>
      </c>
      <c r="W229" t="str">
        <f t="shared" si="15"/>
        <v>31-40</v>
      </c>
      <c r="X229" t="str">
        <f t="shared" si="16"/>
        <v>0-5 yrs</v>
      </c>
      <c r="Y229" t="str">
        <f t="shared" si="17"/>
        <v>Jun</v>
      </c>
      <c r="Z229">
        <f t="shared" si="18"/>
        <v>2025</v>
      </c>
      <c r="AA229">
        <f t="shared" si="19"/>
        <v>1</v>
      </c>
    </row>
    <row r="230" spans="1:27" ht="15" customHeight="1" x14ac:dyDescent="0.3">
      <c r="A230" t="s">
        <v>532</v>
      </c>
      <c r="B230" s="20">
        <v>45831</v>
      </c>
      <c r="C230" t="s">
        <v>174</v>
      </c>
      <c r="D230" t="s">
        <v>35</v>
      </c>
      <c r="E230" s="37">
        <v>28</v>
      </c>
      <c r="F230" t="s">
        <v>108</v>
      </c>
      <c r="G230" t="s">
        <v>109</v>
      </c>
      <c r="H230" t="s">
        <v>74</v>
      </c>
      <c r="I230" t="s">
        <v>60</v>
      </c>
      <c r="J230" t="s">
        <v>367</v>
      </c>
      <c r="K230" s="37">
        <v>4</v>
      </c>
      <c r="L230" t="s">
        <v>52</v>
      </c>
      <c r="M230" s="21">
        <v>141900</v>
      </c>
      <c r="N230" s="21">
        <v>1975247</v>
      </c>
      <c r="O230" s="21">
        <v>272448</v>
      </c>
      <c r="P230" s="37">
        <v>4</v>
      </c>
      <c r="Q230" t="s">
        <v>126</v>
      </c>
      <c r="R230" s="37">
        <v>0</v>
      </c>
      <c r="S230" s="37">
        <v>30</v>
      </c>
      <c r="T230" t="s">
        <v>105</v>
      </c>
      <c r="U230" t="s">
        <v>44</v>
      </c>
      <c r="V230" t="s">
        <v>69</v>
      </c>
      <c r="W230" t="str">
        <f t="shared" si="15"/>
        <v>22-30</v>
      </c>
      <c r="X230" t="str">
        <f t="shared" si="16"/>
        <v>0-5 yrs</v>
      </c>
      <c r="Y230" t="str">
        <f t="shared" si="17"/>
        <v>Jun</v>
      </c>
      <c r="Z230">
        <f t="shared" si="18"/>
        <v>2025</v>
      </c>
      <c r="AA230">
        <f t="shared" si="19"/>
        <v>1</v>
      </c>
    </row>
    <row r="231" spans="1:27" ht="15" customHeight="1" x14ac:dyDescent="0.3">
      <c r="A231" t="s">
        <v>533</v>
      </c>
      <c r="B231" s="20">
        <v>45834</v>
      </c>
      <c r="C231" t="s">
        <v>409</v>
      </c>
      <c r="D231" t="s">
        <v>48</v>
      </c>
      <c r="E231" s="37">
        <v>56</v>
      </c>
      <c r="F231" t="s">
        <v>36</v>
      </c>
      <c r="G231" t="s">
        <v>37</v>
      </c>
      <c r="H231" t="s">
        <v>66</v>
      </c>
      <c r="I231" t="s">
        <v>39</v>
      </c>
      <c r="J231" t="s">
        <v>161</v>
      </c>
      <c r="K231" s="37">
        <v>30</v>
      </c>
      <c r="L231" t="s">
        <v>52</v>
      </c>
      <c r="M231" s="21">
        <v>43900</v>
      </c>
      <c r="N231" s="21">
        <v>584748</v>
      </c>
      <c r="O231" s="21">
        <v>57948</v>
      </c>
      <c r="P231" s="37">
        <v>3</v>
      </c>
      <c r="Q231" t="s">
        <v>126</v>
      </c>
      <c r="R231" s="37">
        <v>19</v>
      </c>
      <c r="S231" s="37">
        <v>22</v>
      </c>
      <c r="T231" t="s">
        <v>94</v>
      </c>
      <c r="U231" t="s">
        <v>54</v>
      </c>
      <c r="V231" t="s">
        <v>69</v>
      </c>
      <c r="W231" t="str">
        <f t="shared" si="15"/>
        <v>51-58</v>
      </c>
      <c r="X231" t="str">
        <f t="shared" si="16"/>
        <v>21-30 yrs</v>
      </c>
      <c r="Y231" t="str">
        <f t="shared" si="17"/>
        <v>Jun</v>
      </c>
      <c r="Z231">
        <f t="shared" si="18"/>
        <v>2025</v>
      </c>
      <c r="AA231">
        <f t="shared" si="19"/>
        <v>1</v>
      </c>
    </row>
    <row r="232" spans="1:27" ht="15" customHeight="1" x14ac:dyDescent="0.3">
      <c r="A232" t="s">
        <v>534</v>
      </c>
      <c r="B232" s="20">
        <v>45766</v>
      </c>
      <c r="C232" t="s">
        <v>535</v>
      </c>
      <c r="D232" t="s">
        <v>35</v>
      </c>
      <c r="E232" s="37">
        <v>24</v>
      </c>
      <c r="F232" t="s">
        <v>108</v>
      </c>
      <c r="G232" t="s">
        <v>109</v>
      </c>
      <c r="H232" t="s">
        <v>66</v>
      </c>
      <c r="I232" t="s">
        <v>82</v>
      </c>
      <c r="J232" t="s">
        <v>161</v>
      </c>
      <c r="K232" s="37">
        <v>16</v>
      </c>
      <c r="L232" t="s">
        <v>52</v>
      </c>
      <c r="M232" s="21">
        <v>75500</v>
      </c>
      <c r="N232" s="21">
        <v>1032840</v>
      </c>
      <c r="O232" s="21">
        <v>126840</v>
      </c>
      <c r="P232" s="37">
        <v>4</v>
      </c>
      <c r="Q232" t="s">
        <v>42</v>
      </c>
      <c r="R232" s="37">
        <v>2</v>
      </c>
      <c r="S232" s="37">
        <v>4</v>
      </c>
      <c r="T232" t="s">
        <v>53</v>
      </c>
      <c r="U232" t="s">
        <v>63</v>
      </c>
      <c r="V232" t="s">
        <v>45</v>
      </c>
      <c r="W232" t="str">
        <f t="shared" si="15"/>
        <v>22-30</v>
      </c>
      <c r="X232" t="str">
        <f t="shared" si="16"/>
        <v>11-20 yrs</v>
      </c>
      <c r="Y232" t="str">
        <f t="shared" si="17"/>
        <v>Apr</v>
      </c>
      <c r="Z232">
        <f t="shared" si="18"/>
        <v>2025</v>
      </c>
      <c r="AA232">
        <f t="shared" si="19"/>
        <v>0</v>
      </c>
    </row>
    <row r="233" spans="1:27" ht="15" customHeight="1" x14ac:dyDescent="0.3">
      <c r="A233" t="s">
        <v>536</v>
      </c>
      <c r="B233" s="20">
        <v>45857</v>
      </c>
      <c r="C233" t="s">
        <v>537</v>
      </c>
      <c r="D233" t="s">
        <v>35</v>
      </c>
      <c r="E233" s="37">
        <v>34</v>
      </c>
      <c r="F233" t="s">
        <v>91</v>
      </c>
      <c r="G233" t="s">
        <v>92</v>
      </c>
      <c r="H233" t="s">
        <v>66</v>
      </c>
      <c r="I233" t="s">
        <v>82</v>
      </c>
      <c r="J233" t="s">
        <v>67</v>
      </c>
      <c r="K233" s="37">
        <v>12</v>
      </c>
      <c r="L233" t="s">
        <v>41</v>
      </c>
      <c r="M233" s="21">
        <v>58700</v>
      </c>
      <c r="N233" s="21">
        <v>753708</v>
      </c>
      <c r="O233" s="21">
        <v>49308</v>
      </c>
      <c r="P233" s="37">
        <v>5</v>
      </c>
      <c r="Q233" t="s">
        <v>126</v>
      </c>
      <c r="R233" s="37">
        <v>10</v>
      </c>
      <c r="S233" s="37">
        <v>12</v>
      </c>
      <c r="T233" t="s">
        <v>175</v>
      </c>
      <c r="U233" t="s">
        <v>44</v>
      </c>
      <c r="V233" t="s">
        <v>69</v>
      </c>
      <c r="W233" t="str">
        <f t="shared" si="15"/>
        <v>31-40</v>
      </c>
      <c r="X233" t="str">
        <f t="shared" si="16"/>
        <v>11-20 yrs</v>
      </c>
      <c r="Y233" t="str">
        <f t="shared" si="17"/>
        <v>Jul</v>
      </c>
      <c r="Z233">
        <f t="shared" si="18"/>
        <v>2025</v>
      </c>
      <c r="AA233">
        <f t="shared" si="19"/>
        <v>1</v>
      </c>
    </row>
    <row r="234" spans="1:27" ht="15" customHeight="1" x14ac:dyDescent="0.3">
      <c r="A234" t="s">
        <v>538</v>
      </c>
      <c r="B234" s="20">
        <v>45968</v>
      </c>
      <c r="C234" t="s">
        <v>539</v>
      </c>
      <c r="D234" t="s">
        <v>48</v>
      </c>
      <c r="E234" s="37">
        <v>47</v>
      </c>
      <c r="F234" t="s">
        <v>49</v>
      </c>
      <c r="G234" t="s">
        <v>50</v>
      </c>
      <c r="H234" t="s">
        <v>74</v>
      </c>
      <c r="I234" t="s">
        <v>39</v>
      </c>
      <c r="J234" t="s">
        <v>83</v>
      </c>
      <c r="K234" s="37">
        <v>18</v>
      </c>
      <c r="L234" t="s">
        <v>52</v>
      </c>
      <c r="M234" s="21">
        <v>35900</v>
      </c>
      <c r="N234" s="21">
        <v>473880</v>
      </c>
      <c r="O234" s="21">
        <v>43080</v>
      </c>
      <c r="P234" s="37">
        <v>4</v>
      </c>
      <c r="Q234" t="s">
        <v>42</v>
      </c>
      <c r="R234" s="37">
        <v>7</v>
      </c>
      <c r="S234" s="37">
        <v>7</v>
      </c>
      <c r="T234" t="s">
        <v>53</v>
      </c>
      <c r="U234" t="s">
        <v>63</v>
      </c>
      <c r="V234" t="s">
        <v>69</v>
      </c>
      <c r="W234" t="str">
        <f t="shared" si="15"/>
        <v>41-50</v>
      </c>
      <c r="X234" t="str">
        <f t="shared" si="16"/>
        <v>11-20 yrs</v>
      </c>
      <c r="Y234" t="str">
        <f t="shared" si="17"/>
        <v>Nov</v>
      </c>
      <c r="Z234">
        <f t="shared" si="18"/>
        <v>2025</v>
      </c>
      <c r="AA234">
        <f t="shared" si="19"/>
        <v>0</v>
      </c>
    </row>
    <row r="235" spans="1:27" ht="15" customHeight="1" x14ac:dyDescent="0.3">
      <c r="A235" t="s">
        <v>540</v>
      </c>
      <c r="B235" s="20">
        <v>45851</v>
      </c>
      <c r="C235" t="s">
        <v>346</v>
      </c>
      <c r="D235" t="s">
        <v>35</v>
      </c>
      <c r="E235" s="37">
        <v>33</v>
      </c>
      <c r="F235" t="s">
        <v>80</v>
      </c>
      <c r="G235" t="s">
        <v>81</v>
      </c>
      <c r="H235" t="s">
        <v>118</v>
      </c>
      <c r="I235" t="s">
        <v>39</v>
      </c>
      <c r="J235" t="s">
        <v>250</v>
      </c>
      <c r="K235" s="37">
        <v>12</v>
      </c>
      <c r="L235" t="s">
        <v>52</v>
      </c>
      <c r="M235" s="21">
        <v>37600</v>
      </c>
      <c r="N235" s="21">
        <v>496320</v>
      </c>
      <c r="O235" s="21">
        <v>45120</v>
      </c>
      <c r="P235" s="37">
        <v>4</v>
      </c>
      <c r="Q235" t="s">
        <v>42</v>
      </c>
      <c r="R235" s="37">
        <v>16</v>
      </c>
      <c r="S235" s="37">
        <v>6</v>
      </c>
      <c r="T235" t="s">
        <v>129</v>
      </c>
      <c r="U235" t="s">
        <v>44</v>
      </c>
      <c r="V235" t="s">
        <v>45</v>
      </c>
      <c r="W235" t="str">
        <f t="shared" si="15"/>
        <v>31-40</v>
      </c>
      <c r="X235" t="str">
        <f t="shared" si="16"/>
        <v>11-20 yrs</v>
      </c>
      <c r="Y235" t="str">
        <f t="shared" si="17"/>
        <v>Jul</v>
      </c>
      <c r="Z235">
        <f t="shared" si="18"/>
        <v>2025</v>
      </c>
      <c r="AA235">
        <f t="shared" si="19"/>
        <v>0</v>
      </c>
    </row>
    <row r="236" spans="1:27" ht="15" customHeight="1" x14ac:dyDescent="0.3">
      <c r="A236" t="s">
        <v>541</v>
      </c>
      <c r="B236" s="20">
        <v>45976</v>
      </c>
      <c r="C236" t="s">
        <v>542</v>
      </c>
      <c r="D236" t="s">
        <v>35</v>
      </c>
      <c r="E236" s="37">
        <v>47</v>
      </c>
      <c r="F236" t="s">
        <v>91</v>
      </c>
      <c r="G236" t="s">
        <v>92</v>
      </c>
      <c r="H236" t="s">
        <v>38</v>
      </c>
      <c r="I236" t="s">
        <v>82</v>
      </c>
      <c r="J236" t="s">
        <v>110</v>
      </c>
      <c r="K236" s="37">
        <v>13</v>
      </c>
      <c r="L236" t="s">
        <v>52</v>
      </c>
      <c r="M236" s="21">
        <v>61200</v>
      </c>
      <c r="N236" s="21">
        <v>881280</v>
      </c>
      <c r="O236" s="21">
        <v>146880</v>
      </c>
      <c r="P236" s="37">
        <v>4</v>
      </c>
      <c r="Q236" t="s">
        <v>42</v>
      </c>
      <c r="R236" s="37">
        <v>12</v>
      </c>
      <c r="S236" s="37">
        <v>14</v>
      </c>
      <c r="T236" t="s">
        <v>77</v>
      </c>
      <c r="U236" t="s">
        <v>54</v>
      </c>
      <c r="V236" t="s">
        <v>69</v>
      </c>
      <c r="W236" t="str">
        <f t="shared" si="15"/>
        <v>41-50</v>
      </c>
      <c r="X236" t="str">
        <f t="shared" si="16"/>
        <v>11-20 yrs</v>
      </c>
      <c r="Y236" t="str">
        <f t="shared" si="17"/>
        <v>Nov</v>
      </c>
      <c r="Z236">
        <f t="shared" si="18"/>
        <v>2025</v>
      </c>
      <c r="AA236">
        <f t="shared" si="19"/>
        <v>0</v>
      </c>
    </row>
    <row r="237" spans="1:27" ht="15" customHeight="1" x14ac:dyDescent="0.3">
      <c r="A237" t="s">
        <v>543</v>
      </c>
      <c r="B237" s="20">
        <v>45764</v>
      </c>
      <c r="C237" t="s">
        <v>544</v>
      </c>
      <c r="D237" t="s">
        <v>48</v>
      </c>
      <c r="E237" s="37">
        <v>44</v>
      </c>
      <c r="F237" t="s">
        <v>91</v>
      </c>
      <c r="G237" t="s">
        <v>92</v>
      </c>
      <c r="H237" t="s">
        <v>118</v>
      </c>
      <c r="I237" t="s">
        <v>75</v>
      </c>
      <c r="J237" t="s">
        <v>119</v>
      </c>
      <c r="K237" s="37">
        <v>16</v>
      </c>
      <c r="L237" t="s">
        <v>52</v>
      </c>
      <c r="M237" s="21">
        <v>84000</v>
      </c>
      <c r="N237" s="21">
        <v>1149120</v>
      </c>
      <c r="O237" s="21">
        <v>141120</v>
      </c>
      <c r="P237" s="37">
        <v>4</v>
      </c>
      <c r="Q237" t="s">
        <v>42</v>
      </c>
      <c r="R237" s="37">
        <v>19</v>
      </c>
      <c r="S237" s="37">
        <v>32</v>
      </c>
      <c r="T237" t="s">
        <v>68</v>
      </c>
      <c r="U237" t="s">
        <v>44</v>
      </c>
      <c r="V237" t="s">
        <v>45</v>
      </c>
      <c r="W237" t="str">
        <f t="shared" si="15"/>
        <v>41-50</v>
      </c>
      <c r="X237" t="str">
        <f t="shared" si="16"/>
        <v>11-20 yrs</v>
      </c>
      <c r="Y237" t="str">
        <f t="shared" si="17"/>
        <v>Apr</v>
      </c>
      <c r="Z237">
        <f t="shared" si="18"/>
        <v>2025</v>
      </c>
      <c r="AA237">
        <f t="shared" si="19"/>
        <v>0</v>
      </c>
    </row>
    <row r="238" spans="1:27" ht="15" customHeight="1" x14ac:dyDescent="0.3">
      <c r="A238" t="s">
        <v>545</v>
      </c>
      <c r="B238" s="20">
        <v>45752</v>
      </c>
      <c r="C238" t="s">
        <v>546</v>
      </c>
      <c r="D238" t="s">
        <v>48</v>
      </c>
      <c r="E238" s="37">
        <v>28</v>
      </c>
      <c r="F238" t="s">
        <v>86</v>
      </c>
      <c r="G238" t="s">
        <v>87</v>
      </c>
      <c r="H238" t="s">
        <v>118</v>
      </c>
      <c r="I238" t="s">
        <v>82</v>
      </c>
      <c r="J238" t="s">
        <v>219</v>
      </c>
      <c r="K238" s="37">
        <v>23</v>
      </c>
      <c r="L238" t="s">
        <v>52</v>
      </c>
      <c r="M238" s="21">
        <v>55700</v>
      </c>
      <c r="N238" s="21">
        <v>708504</v>
      </c>
      <c r="O238" s="21">
        <v>40104</v>
      </c>
      <c r="P238" s="37">
        <v>4</v>
      </c>
      <c r="Q238" t="s">
        <v>42</v>
      </c>
      <c r="R238" s="37">
        <v>17</v>
      </c>
      <c r="S238" s="37">
        <v>27</v>
      </c>
      <c r="T238" t="s">
        <v>105</v>
      </c>
      <c r="U238" t="s">
        <v>44</v>
      </c>
      <c r="V238" t="s">
        <v>69</v>
      </c>
      <c r="W238" t="str">
        <f t="shared" si="15"/>
        <v>22-30</v>
      </c>
      <c r="X238" t="str">
        <f t="shared" si="16"/>
        <v>21-30 yrs</v>
      </c>
      <c r="Y238" t="str">
        <f t="shared" si="17"/>
        <v>Apr</v>
      </c>
      <c r="Z238">
        <f t="shared" si="18"/>
        <v>2025</v>
      </c>
      <c r="AA238">
        <f t="shared" si="19"/>
        <v>0</v>
      </c>
    </row>
    <row r="239" spans="1:27" ht="15" customHeight="1" x14ac:dyDescent="0.3">
      <c r="A239" t="s">
        <v>547</v>
      </c>
      <c r="B239" s="20">
        <v>45999</v>
      </c>
      <c r="C239" t="s">
        <v>548</v>
      </c>
      <c r="D239" t="s">
        <v>35</v>
      </c>
      <c r="E239" s="37">
        <v>47</v>
      </c>
      <c r="F239" t="s">
        <v>57</v>
      </c>
      <c r="G239" t="s">
        <v>58</v>
      </c>
      <c r="H239" t="s">
        <v>66</v>
      </c>
      <c r="I239" t="s">
        <v>39</v>
      </c>
      <c r="J239" t="s">
        <v>170</v>
      </c>
      <c r="K239" s="37">
        <v>1</v>
      </c>
      <c r="L239" t="s">
        <v>52</v>
      </c>
      <c r="M239" s="21">
        <v>47500</v>
      </c>
      <c r="N239" s="21">
        <v>666900</v>
      </c>
      <c r="O239" s="21">
        <v>96900</v>
      </c>
      <c r="P239" s="37">
        <v>3</v>
      </c>
      <c r="Q239" t="s">
        <v>42</v>
      </c>
      <c r="R239" s="37">
        <v>0</v>
      </c>
      <c r="S239" s="37">
        <v>25</v>
      </c>
      <c r="T239" t="s">
        <v>94</v>
      </c>
      <c r="U239" t="s">
        <v>44</v>
      </c>
      <c r="V239" t="s">
        <v>69</v>
      </c>
      <c r="W239" t="str">
        <f t="shared" si="15"/>
        <v>41-50</v>
      </c>
      <c r="X239" t="str">
        <f t="shared" si="16"/>
        <v>0-5 yrs</v>
      </c>
      <c r="Y239" t="str">
        <f t="shared" si="17"/>
        <v>Dec</v>
      </c>
      <c r="Z239">
        <f t="shared" si="18"/>
        <v>2025</v>
      </c>
      <c r="AA239">
        <f t="shared" si="19"/>
        <v>0</v>
      </c>
    </row>
    <row r="240" spans="1:27" ht="15" customHeight="1" x14ac:dyDescent="0.3">
      <c r="A240" t="s">
        <v>549</v>
      </c>
      <c r="B240" s="20">
        <v>45826</v>
      </c>
      <c r="C240" t="s">
        <v>550</v>
      </c>
      <c r="D240" t="s">
        <v>48</v>
      </c>
      <c r="E240" s="37">
        <v>39</v>
      </c>
      <c r="F240" t="s">
        <v>36</v>
      </c>
      <c r="G240" t="s">
        <v>37</v>
      </c>
      <c r="H240" t="s">
        <v>38</v>
      </c>
      <c r="I240" t="s">
        <v>60</v>
      </c>
      <c r="J240" t="s">
        <v>134</v>
      </c>
      <c r="K240" s="37">
        <v>4</v>
      </c>
      <c r="L240" t="s">
        <v>52</v>
      </c>
      <c r="M240" s="21">
        <v>142600</v>
      </c>
      <c r="N240" s="21">
        <v>1882320</v>
      </c>
      <c r="O240" s="21">
        <v>171120</v>
      </c>
      <c r="P240" s="37">
        <v>5</v>
      </c>
      <c r="Q240" t="s">
        <v>126</v>
      </c>
      <c r="R240" s="37">
        <v>0</v>
      </c>
      <c r="S240" s="37">
        <v>14</v>
      </c>
      <c r="T240" t="s">
        <v>62</v>
      </c>
      <c r="U240" t="s">
        <v>63</v>
      </c>
      <c r="V240" t="s">
        <v>69</v>
      </c>
      <c r="W240" t="str">
        <f t="shared" si="15"/>
        <v>31-40</v>
      </c>
      <c r="X240" t="str">
        <f t="shared" si="16"/>
        <v>0-5 yrs</v>
      </c>
      <c r="Y240" t="str">
        <f t="shared" si="17"/>
        <v>Jun</v>
      </c>
      <c r="Z240">
        <f t="shared" si="18"/>
        <v>2025</v>
      </c>
      <c r="AA240">
        <f t="shared" si="19"/>
        <v>1</v>
      </c>
    </row>
    <row r="241" spans="1:27" ht="15" customHeight="1" x14ac:dyDescent="0.3">
      <c r="A241" t="s">
        <v>551</v>
      </c>
      <c r="B241" s="20">
        <v>45865</v>
      </c>
      <c r="C241" t="s">
        <v>552</v>
      </c>
      <c r="D241" t="s">
        <v>48</v>
      </c>
      <c r="E241" s="37">
        <v>58</v>
      </c>
      <c r="F241" t="s">
        <v>49</v>
      </c>
      <c r="G241" t="s">
        <v>50</v>
      </c>
      <c r="H241" t="s">
        <v>66</v>
      </c>
      <c r="I241" t="s">
        <v>39</v>
      </c>
      <c r="J241" t="s">
        <v>93</v>
      </c>
      <c r="K241" s="37">
        <v>10</v>
      </c>
      <c r="L241" t="s">
        <v>41</v>
      </c>
      <c r="M241" s="21">
        <v>43600</v>
      </c>
      <c r="N241" s="21">
        <v>575520</v>
      </c>
      <c r="O241" s="21">
        <v>52320</v>
      </c>
      <c r="P241" s="37">
        <v>4</v>
      </c>
      <c r="Q241" t="s">
        <v>42</v>
      </c>
      <c r="R241" s="37">
        <v>11</v>
      </c>
      <c r="S241" s="37">
        <v>5</v>
      </c>
      <c r="T241" t="s">
        <v>129</v>
      </c>
      <c r="U241" t="s">
        <v>63</v>
      </c>
      <c r="V241" t="s">
        <v>45</v>
      </c>
      <c r="W241" t="str">
        <f t="shared" si="15"/>
        <v>51-58</v>
      </c>
      <c r="X241" t="str">
        <f t="shared" si="16"/>
        <v>6-10 yrs</v>
      </c>
      <c r="Y241" t="str">
        <f t="shared" si="17"/>
        <v>Jul</v>
      </c>
      <c r="Z241">
        <f t="shared" si="18"/>
        <v>2025</v>
      </c>
      <c r="AA241">
        <f t="shared" si="19"/>
        <v>0</v>
      </c>
    </row>
    <row r="242" spans="1:27" ht="15" customHeight="1" x14ac:dyDescent="0.3">
      <c r="A242" t="s">
        <v>553</v>
      </c>
      <c r="B242" s="20">
        <v>45726</v>
      </c>
      <c r="C242" t="s">
        <v>554</v>
      </c>
      <c r="D242" t="s">
        <v>48</v>
      </c>
      <c r="E242" s="37">
        <v>49</v>
      </c>
      <c r="F242" t="s">
        <v>80</v>
      </c>
      <c r="G242" t="s">
        <v>81</v>
      </c>
      <c r="H242" t="s">
        <v>59</v>
      </c>
      <c r="I242" t="s">
        <v>82</v>
      </c>
      <c r="J242" t="s">
        <v>88</v>
      </c>
      <c r="K242" s="37">
        <v>21</v>
      </c>
      <c r="L242" t="s">
        <v>52</v>
      </c>
      <c r="M242" s="21">
        <v>55200</v>
      </c>
      <c r="N242" s="21">
        <v>768384</v>
      </c>
      <c r="O242" s="21">
        <v>105984</v>
      </c>
      <c r="P242" s="37">
        <v>4</v>
      </c>
      <c r="Q242" t="s">
        <v>42</v>
      </c>
      <c r="R242" s="37">
        <v>6</v>
      </c>
      <c r="S242" s="37">
        <v>14</v>
      </c>
      <c r="T242" t="s">
        <v>94</v>
      </c>
      <c r="U242" t="s">
        <v>44</v>
      </c>
      <c r="V242" t="s">
        <v>69</v>
      </c>
      <c r="W242" t="str">
        <f t="shared" si="15"/>
        <v>41-50</v>
      </c>
      <c r="X242" t="str">
        <f t="shared" si="16"/>
        <v>21-30 yrs</v>
      </c>
      <c r="Y242" t="str">
        <f t="shared" si="17"/>
        <v>Mar</v>
      </c>
      <c r="Z242">
        <f t="shared" si="18"/>
        <v>2025</v>
      </c>
      <c r="AA242">
        <f t="shared" si="19"/>
        <v>0</v>
      </c>
    </row>
    <row r="243" spans="1:27" ht="15" customHeight="1" x14ac:dyDescent="0.3">
      <c r="A243" t="s">
        <v>555</v>
      </c>
      <c r="B243" s="20">
        <v>45810</v>
      </c>
      <c r="C243" t="s">
        <v>556</v>
      </c>
      <c r="D243" t="s">
        <v>35</v>
      </c>
      <c r="E243" s="37">
        <v>27</v>
      </c>
      <c r="F243" t="s">
        <v>97</v>
      </c>
      <c r="G243" t="s">
        <v>98</v>
      </c>
      <c r="H243" t="s">
        <v>66</v>
      </c>
      <c r="I243" t="s">
        <v>82</v>
      </c>
      <c r="J243" t="s">
        <v>93</v>
      </c>
      <c r="K243" s="37">
        <v>19</v>
      </c>
      <c r="L243" t="s">
        <v>52</v>
      </c>
      <c r="M243" s="21">
        <v>53900</v>
      </c>
      <c r="N243" s="21">
        <v>679140</v>
      </c>
      <c r="O243" s="21">
        <v>32340</v>
      </c>
      <c r="P243" s="37">
        <v>4</v>
      </c>
      <c r="Q243" t="s">
        <v>42</v>
      </c>
      <c r="R243" s="37">
        <v>2</v>
      </c>
      <c r="S243" s="37">
        <v>8</v>
      </c>
      <c r="T243" t="s">
        <v>146</v>
      </c>
      <c r="U243" t="s">
        <v>44</v>
      </c>
      <c r="V243" t="s">
        <v>69</v>
      </c>
      <c r="W243" t="str">
        <f t="shared" si="15"/>
        <v>22-30</v>
      </c>
      <c r="X243" t="str">
        <f t="shared" si="16"/>
        <v>11-20 yrs</v>
      </c>
      <c r="Y243" t="str">
        <f t="shared" si="17"/>
        <v>Jun</v>
      </c>
      <c r="Z243">
        <f t="shared" si="18"/>
        <v>2025</v>
      </c>
      <c r="AA243">
        <f t="shared" si="19"/>
        <v>0</v>
      </c>
    </row>
    <row r="244" spans="1:27" ht="15" customHeight="1" x14ac:dyDescent="0.3">
      <c r="A244" t="s">
        <v>557</v>
      </c>
      <c r="B244" s="20">
        <v>45701</v>
      </c>
      <c r="C244" t="s">
        <v>186</v>
      </c>
      <c r="D244" t="s">
        <v>35</v>
      </c>
      <c r="E244" s="37">
        <v>22</v>
      </c>
      <c r="F244" t="s">
        <v>49</v>
      </c>
      <c r="G244" t="s">
        <v>50</v>
      </c>
      <c r="H244" t="s">
        <v>118</v>
      </c>
      <c r="I244" t="s">
        <v>60</v>
      </c>
      <c r="J244" t="s">
        <v>250</v>
      </c>
      <c r="K244" s="37">
        <v>24</v>
      </c>
      <c r="L244" t="s">
        <v>120</v>
      </c>
      <c r="M244" s="21">
        <v>153500</v>
      </c>
      <c r="N244" s="21">
        <v>2155140</v>
      </c>
      <c r="O244" s="21">
        <v>313140</v>
      </c>
      <c r="P244" s="37">
        <v>4</v>
      </c>
      <c r="Q244" t="s">
        <v>42</v>
      </c>
      <c r="R244" s="37">
        <v>3</v>
      </c>
      <c r="S244" s="37">
        <v>22</v>
      </c>
      <c r="T244" t="s">
        <v>43</v>
      </c>
      <c r="U244" t="s">
        <v>63</v>
      </c>
      <c r="V244" t="s">
        <v>45</v>
      </c>
      <c r="W244" t="str">
        <f t="shared" si="15"/>
        <v>22-30</v>
      </c>
      <c r="X244" t="str">
        <f t="shared" si="16"/>
        <v>21-30 yrs</v>
      </c>
      <c r="Y244" t="str">
        <f t="shared" si="17"/>
        <v>Feb</v>
      </c>
      <c r="Z244">
        <f t="shared" si="18"/>
        <v>2025</v>
      </c>
      <c r="AA244">
        <f t="shared" si="19"/>
        <v>0</v>
      </c>
    </row>
    <row r="245" spans="1:27" ht="15" customHeight="1" x14ac:dyDescent="0.3">
      <c r="A245" t="s">
        <v>558</v>
      </c>
      <c r="B245" s="20">
        <v>45690</v>
      </c>
      <c r="C245" t="s">
        <v>559</v>
      </c>
      <c r="D245" t="s">
        <v>35</v>
      </c>
      <c r="E245" s="37">
        <v>48</v>
      </c>
      <c r="F245" t="s">
        <v>91</v>
      </c>
      <c r="G245" t="s">
        <v>92</v>
      </c>
      <c r="H245" t="s">
        <v>66</v>
      </c>
      <c r="I245" t="s">
        <v>39</v>
      </c>
      <c r="J245" t="s">
        <v>161</v>
      </c>
      <c r="K245" s="37">
        <v>3</v>
      </c>
      <c r="L245" t="s">
        <v>52</v>
      </c>
      <c r="M245" s="21">
        <v>35700</v>
      </c>
      <c r="N245" s="21">
        <v>509796</v>
      </c>
      <c r="O245" s="21">
        <v>81396</v>
      </c>
      <c r="P245" s="37">
        <v>4</v>
      </c>
      <c r="Q245" t="s">
        <v>42</v>
      </c>
      <c r="R245" s="37">
        <v>15</v>
      </c>
      <c r="S245" s="37">
        <v>38</v>
      </c>
      <c r="T245" t="s">
        <v>146</v>
      </c>
      <c r="U245" t="s">
        <v>44</v>
      </c>
      <c r="V245" t="s">
        <v>69</v>
      </c>
      <c r="W245" t="str">
        <f t="shared" si="15"/>
        <v>41-50</v>
      </c>
      <c r="X245" t="str">
        <f t="shared" si="16"/>
        <v>0-5 yrs</v>
      </c>
      <c r="Y245" t="str">
        <f t="shared" si="17"/>
        <v>Feb</v>
      </c>
      <c r="Z245">
        <f t="shared" si="18"/>
        <v>2025</v>
      </c>
      <c r="AA245">
        <f t="shared" si="19"/>
        <v>0</v>
      </c>
    </row>
    <row r="246" spans="1:27" ht="15" customHeight="1" x14ac:dyDescent="0.3">
      <c r="A246" t="s">
        <v>560</v>
      </c>
      <c r="B246" s="20">
        <v>46014</v>
      </c>
      <c r="C246" t="s">
        <v>561</v>
      </c>
      <c r="D246" t="s">
        <v>48</v>
      </c>
      <c r="E246" s="37">
        <v>33</v>
      </c>
      <c r="F246" t="s">
        <v>86</v>
      </c>
      <c r="G246" t="s">
        <v>87</v>
      </c>
      <c r="H246" t="s">
        <v>59</v>
      </c>
      <c r="I246" t="s">
        <v>75</v>
      </c>
      <c r="J246" t="s">
        <v>61</v>
      </c>
      <c r="K246" s="37">
        <v>2</v>
      </c>
      <c r="L246" t="s">
        <v>52</v>
      </c>
      <c r="M246" s="21">
        <v>87900</v>
      </c>
      <c r="N246" s="21">
        <v>1255212</v>
      </c>
      <c r="O246" s="21">
        <v>200412</v>
      </c>
      <c r="P246" s="37">
        <v>4</v>
      </c>
      <c r="Q246" t="s">
        <v>42</v>
      </c>
      <c r="R246" s="37">
        <v>0</v>
      </c>
      <c r="S246" s="37">
        <v>21</v>
      </c>
      <c r="T246" t="s">
        <v>94</v>
      </c>
      <c r="U246" t="s">
        <v>44</v>
      </c>
      <c r="V246" t="s">
        <v>69</v>
      </c>
      <c r="W246" t="str">
        <f t="shared" si="15"/>
        <v>31-40</v>
      </c>
      <c r="X246" t="str">
        <f t="shared" si="16"/>
        <v>0-5 yrs</v>
      </c>
      <c r="Y246" t="str">
        <f t="shared" si="17"/>
        <v>Dec</v>
      </c>
      <c r="Z246">
        <f t="shared" si="18"/>
        <v>2025</v>
      </c>
      <c r="AA246">
        <f t="shared" si="19"/>
        <v>0</v>
      </c>
    </row>
    <row r="247" spans="1:27" ht="15" customHeight="1" x14ac:dyDescent="0.3">
      <c r="A247" t="s">
        <v>562</v>
      </c>
      <c r="B247" s="20">
        <v>46014</v>
      </c>
      <c r="C247" t="s">
        <v>563</v>
      </c>
      <c r="D247" t="s">
        <v>35</v>
      </c>
      <c r="E247" s="37">
        <v>49</v>
      </c>
      <c r="F247" t="s">
        <v>123</v>
      </c>
      <c r="G247" t="s">
        <v>124</v>
      </c>
      <c r="H247" t="s">
        <v>118</v>
      </c>
      <c r="I247" t="s">
        <v>39</v>
      </c>
      <c r="J247" t="s">
        <v>119</v>
      </c>
      <c r="K247" s="37">
        <v>2</v>
      </c>
      <c r="L247" t="s">
        <v>52</v>
      </c>
      <c r="M247" s="21">
        <v>33700</v>
      </c>
      <c r="N247" s="21">
        <v>456971</v>
      </c>
      <c r="O247" s="21">
        <v>52572</v>
      </c>
      <c r="P247" s="37">
        <v>3</v>
      </c>
      <c r="Q247" t="s">
        <v>42</v>
      </c>
      <c r="R247" s="37">
        <v>15</v>
      </c>
      <c r="S247" s="37">
        <v>27</v>
      </c>
      <c r="T247" t="s">
        <v>105</v>
      </c>
      <c r="U247" t="s">
        <v>44</v>
      </c>
      <c r="V247" t="s">
        <v>69</v>
      </c>
      <c r="W247" t="str">
        <f t="shared" si="15"/>
        <v>41-50</v>
      </c>
      <c r="X247" t="str">
        <f t="shared" si="16"/>
        <v>0-5 yrs</v>
      </c>
      <c r="Y247" t="str">
        <f t="shared" si="17"/>
        <v>Dec</v>
      </c>
      <c r="Z247">
        <f t="shared" si="18"/>
        <v>2025</v>
      </c>
      <c r="AA247">
        <f t="shared" si="19"/>
        <v>0</v>
      </c>
    </row>
    <row r="248" spans="1:27" ht="15" customHeight="1" x14ac:dyDescent="0.3">
      <c r="A248" t="s">
        <v>564</v>
      </c>
      <c r="B248" s="20">
        <v>45726</v>
      </c>
      <c r="C248" t="s">
        <v>154</v>
      </c>
      <c r="D248" t="s">
        <v>48</v>
      </c>
      <c r="E248" s="37">
        <v>22</v>
      </c>
      <c r="F248" t="s">
        <v>97</v>
      </c>
      <c r="G248" t="s">
        <v>98</v>
      </c>
      <c r="H248" t="s">
        <v>66</v>
      </c>
      <c r="I248" t="s">
        <v>75</v>
      </c>
      <c r="J248" t="s">
        <v>170</v>
      </c>
      <c r="K248" s="37">
        <v>10</v>
      </c>
      <c r="L248" t="s">
        <v>52</v>
      </c>
      <c r="M248" s="21">
        <v>97000</v>
      </c>
      <c r="N248" s="21">
        <v>1326960</v>
      </c>
      <c r="O248" s="21">
        <v>162960</v>
      </c>
      <c r="P248" s="37">
        <v>4</v>
      </c>
      <c r="Q248" t="s">
        <v>42</v>
      </c>
      <c r="R248" s="37">
        <v>6</v>
      </c>
      <c r="S248" s="37">
        <v>22</v>
      </c>
      <c r="T248" t="s">
        <v>62</v>
      </c>
      <c r="U248" t="s">
        <v>44</v>
      </c>
      <c r="V248" t="s">
        <v>45</v>
      </c>
      <c r="W248" t="str">
        <f t="shared" si="15"/>
        <v>22-30</v>
      </c>
      <c r="X248" t="str">
        <f t="shared" si="16"/>
        <v>6-10 yrs</v>
      </c>
      <c r="Y248" t="str">
        <f t="shared" si="17"/>
        <v>Mar</v>
      </c>
      <c r="Z248">
        <f t="shared" si="18"/>
        <v>2025</v>
      </c>
      <c r="AA248">
        <f t="shared" si="19"/>
        <v>0</v>
      </c>
    </row>
    <row r="249" spans="1:27" ht="15" customHeight="1" x14ac:dyDescent="0.3">
      <c r="A249" t="s">
        <v>565</v>
      </c>
      <c r="B249" s="20">
        <v>45948</v>
      </c>
      <c r="C249" t="s">
        <v>566</v>
      </c>
      <c r="D249" t="s">
        <v>35</v>
      </c>
      <c r="E249" s="37">
        <v>48</v>
      </c>
      <c r="F249" t="s">
        <v>97</v>
      </c>
      <c r="G249" t="s">
        <v>98</v>
      </c>
      <c r="H249" t="s">
        <v>66</v>
      </c>
      <c r="I249" t="s">
        <v>75</v>
      </c>
      <c r="J249" t="s">
        <v>161</v>
      </c>
      <c r="K249" s="37">
        <v>30</v>
      </c>
      <c r="L249" t="s">
        <v>52</v>
      </c>
      <c r="M249" s="21">
        <v>103100</v>
      </c>
      <c r="N249" s="21">
        <v>1323804</v>
      </c>
      <c r="O249" s="21">
        <v>86604</v>
      </c>
      <c r="P249" s="37">
        <v>3</v>
      </c>
      <c r="Q249" t="s">
        <v>42</v>
      </c>
      <c r="R249" s="37">
        <v>20</v>
      </c>
      <c r="S249" s="37">
        <v>27</v>
      </c>
      <c r="T249" t="s">
        <v>68</v>
      </c>
      <c r="U249" t="s">
        <v>63</v>
      </c>
      <c r="V249" t="s">
        <v>69</v>
      </c>
      <c r="W249" t="str">
        <f t="shared" si="15"/>
        <v>41-50</v>
      </c>
      <c r="X249" t="str">
        <f t="shared" si="16"/>
        <v>21-30 yrs</v>
      </c>
      <c r="Y249" t="str">
        <f t="shared" si="17"/>
        <v>Oct</v>
      </c>
      <c r="Z249">
        <f t="shared" si="18"/>
        <v>2025</v>
      </c>
      <c r="AA249">
        <f t="shared" si="19"/>
        <v>0</v>
      </c>
    </row>
    <row r="250" spans="1:27" ht="15" customHeight="1" x14ac:dyDescent="0.3">
      <c r="A250" t="s">
        <v>567</v>
      </c>
      <c r="B250" s="20">
        <v>45963</v>
      </c>
      <c r="C250" t="s">
        <v>435</v>
      </c>
      <c r="D250" t="s">
        <v>35</v>
      </c>
      <c r="E250" s="37">
        <v>27</v>
      </c>
      <c r="F250" t="s">
        <v>86</v>
      </c>
      <c r="G250" t="s">
        <v>87</v>
      </c>
      <c r="H250" t="s">
        <v>118</v>
      </c>
      <c r="I250" t="s">
        <v>39</v>
      </c>
      <c r="J250" t="s">
        <v>182</v>
      </c>
      <c r="K250" s="37">
        <v>0</v>
      </c>
      <c r="L250" t="s">
        <v>52</v>
      </c>
      <c r="M250" s="21">
        <v>36500</v>
      </c>
      <c r="N250" s="21">
        <v>494939</v>
      </c>
      <c r="O250" s="21">
        <v>56940</v>
      </c>
      <c r="P250" s="37">
        <v>3</v>
      </c>
      <c r="Q250" t="s">
        <v>42</v>
      </c>
      <c r="R250" s="37">
        <v>0</v>
      </c>
      <c r="S250" s="37">
        <v>35</v>
      </c>
      <c r="T250" t="s">
        <v>175</v>
      </c>
      <c r="U250" t="s">
        <v>44</v>
      </c>
      <c r="V250" t="s">
        <v>45</v>
      </c>
      <c r="W250" t="str">
        <f t="shared" si="15"/>
        <v>22-30</v>
      </c>
      <c r="X250" t="str">
        <f t="shared" si="16"/>
        <v>0-5 yrs</v>
      </c>
      <c r="Y250" t="str">
        <f t="shared" si="17"/>
        <v>Nov</v>
      </c>
      <c r="Z250">
        <f t="shared" si="18"/>
        <v>2025</v>
      </c>
      <c r="AA250">
        <f t="shared" si="19"/>
        <v>0</v>
      </c>
    </row>
    <row r="251" spans="1:27" ht="15" customHeight="1" x14ac:dyDescent="0.3">
      <c r="A251" t="s">
        <v>568</v>
      </c>
      <c r="B251" s="20">
        <v>45968</v>
      </c>
      <c r="C251" t="s">
        <v>569</v>
      </c>
      <c r="D251" t="s">
        <v>48</v>
      </c>
      <c r="E251" s="37">
        <v>44</v>
      </c>
      <c r="F251" t="s">
        <v>80</v>
      </c>
      <c r="G251" t="s">
        <v>81</v>
      </c>
      <c r="H251" t="s">
        <v>59</v>
      </c>
      <c r="I251" t="s">
        <v>39</v>
      </c>
      <c r="J251" t="s">
        <v>104</v>
      </c>
      <c r="K251" s="37">
        <v>0</v>
      </c>
      <c r="L251" t="s">
        <v>52</v>
      </c>
      <c r="M251" s="21">
        <v>29400</v>
      </c>
      <c r="N251" s="21">
        <v>381024</v>
      </c>
      <c r="O251" s="21">
        <v>28224</v>
      </c>
      <c r="P251" s="37">
        <v>4</v>
      </c>
      <c r="Q251" t="s">
        <v>42</v>
      </c>
      <c r="R251" s="37">
        <v>12</v>
      </c>
      <c r="S251" s="37">
        <v>5</v>
      </c>
      <c r="T251" t="s">
        <v>146</v>
      </c>
      <c r="U251" t="s">
        <v>44</v>
      </c>
      <c r="V251" t="s">
        <v>45</v>
      </c>
      <c r="W251" t="str">
        <f t="shared" si="15"/>
        <v>41-50</v>
      </c>
      <c r="X251" t="str">
        <f t="shared" si="16"/>
        <v>0-5 yrs</v>
      </c>
      <c r="Y251" t="str">
        <f t="shared" si="17"/>
        <v>Nov</v>
      </c>
      <c r="Z251">
        <f t="shared" si="18"/>
        <v>2025</v>
      </c>
      <c r="AA251">
        <f t="shared" si="19"/>
        <v>0</v>
      </c>
    </row>
    <row r="252" spans="1:27" ht="15" customHeight="1" x14ac:dyDescent="0.3">
      <c r="A252" t="s">
        <v>570</v>
      </c>
      <c r="B252" s="20">
        <v>45701</v>
      </c>
      <c r="C252" t="s">
        <v>571</v>
      </c>
      <c r="D252" t="s">
        <v>48</v>
      </c>
      <c r="E252" s="37">
        <v>39</v>
      </c>
      <c r="F252" t="s">
        <v>72</v>
      </c>
      <c r="G252" t="s">
        <v>73</v>
      </c>
      <c r="H252" t="s">
        <v>66</v>
      </c>
      <c r="I252" t="s">
        <v>75</v>
      </c>
      <c r="J252" t="s">
        <v>149</v>
      </c>
      <c r="K252" s="37">
        <v>30</v>
      </c>
      <c r="L252" t="s">
        <v>41</v>
      </c>
      <c r="M252" s="21">
        <v>95100</v>
      </c>
      <c r="N252" s="21">
        <v>1243908</v>
      </c>
      <c r="O252" s="21">
        <v>102708</v>
      </c>
      <c r="P252" s="37">
        <v>3</v>
      </c>
      <c r="Q252" t="s">
        <v>42</v>
      </c>
      <c r="R252" s="37">
        <v>19</v>
      </c>
      <c r="S252" s="37">
        <v>4</v>
      </c>
      <c r="T252" t="s">
        <v>94</v>
      </c>
      <c r="U252" t="s">
        <v>63</v>
      </c>
      <c r="V252" t="s">
        <v>45</v>
      </c>
      <c r="W252" t="str">
        <f t="shared" si="15"/>
        <v>31-40</v>
      </c>
      <c r="X252" t="str">
        <f t="shared" si="16"/>
        <v>21-30 yrs</v>
      </c>
      <c r="Y252" t="str">
        <f t="shared" si="17"/>
        <v>Feb</v>
      </c>
      <c r="Z252">
        <f t="shared" si="18"/>
        <v>2025</v>
      </c>
      <c r="AA252">
        <f t="shared" si="19"/>
        <v>0</v>
      </c>
    </row>
    <row r="253" spans="1:27" ht="15" customHeight="1" x14ac:dyDescent="0.3">
      <c r="A253" t="s">
        <v>572</v>
      </c>
      <c r="B253" s="20">
        <v>45840</v>
      </c>
      <c r="C253" t="s">
        <v>573</v>
      </c>
      <c r="D253" t="s">
        <v>35</v>
      </c>
      <c r="E253" s="37">
        <v>52</v>
      </c>
      <c r="F253" t="s">
        <v>91</v>
      </c>
      <c r="G253" t="s">
        <v>92</v>
      </c>
      <c r="H253" t="s">
        <v>118</v>
      </c>
      <c r="I253" t="s">
        <v>39</v>
      </c>
      <c r="J253" t="s">
        <v>250</v>
      </c>
      <c r="K253" s="37">
        <v>29</v>
      </c>
      <c r="L253" t="s">
        <v>52</v>
      </c>
      <c r="M253" s="21">
        <v>31100</v>
      </c>
      <c r="N253" s="21">
        <v>399324</v>
      </c>
      <c r="O253" s="21">
        <v>26124</v>
      </c>
      <c r="P253" s="37">
        <v>5</v>
      </c>
      <c r="Q253" t="s">
        <v>42</v>
      </c>
      <c r="R253" s="37">
        <v>11</v>
      </c>
      <c r="S253" s="37">
        <v>36</v>
      </c>
      <c r="T253" t="s">
        <v>129</v>
      </c>
      <c r="U253" t="s">
        <v>54</v>
      </c>
      <c r="V253" t="s">
        <v>69</v>
      </c>
      <c r="W253" t="str">
        <f t="shared" si="15"/>
        <v>51-58</v>
      </c>
      <c r="X253" t="str">
        <f t="shared" si="16"/>
        <v>21-30 yrs</v>
      </c>
      <c r="Y253" t="str">
        <f t="shared" si="17"/>
        <v>Jul</v>
      </c>
      <c r="Z253">
        <f t="shared" si="18"/>
        <v>2025</v>
      </c>
      <c r="AA253">
        <f t="shared" si="19"/>
        <v>0</v>
      </c>
    </row>
    <row r="254" spans="1:27" ht="15" customHeight="1" x14ac:dyDescent="0.3">
      <c r="A254" t="s">
        <v>574</v>
      </c>
      <c r="B254" s="20">
        <v>45734</v>
      </c>
      <c r="C254" t="s">
        <v>575</v>
      </c>
      <c r="D254" t="s">
        <v>48</v>
      </c>
      <c r="E254" s="37">
        <v>42</v>
      </c>
      <c r="F254" t="s">
        <v>57</v>
      </c>
      <c r="G254" t="s">
        <v>58</v>
      </c>
      <c r="H254" t="s">
        <v>66</v>
      </c>
      <c r="I254" t="s">
        <v>82</v>
      </c>
      <c r="J254" t="s">
        <v>67</v>
      </c>
      <c r="K254" s="37">
        <v>22</v>
      </c>
      <c r="L254" t="s">
        <v>52</v>
      </c>
      <c r="M254" s="21">
        <v>57600</v>
      </c>
      <c r="N254" s="21">
        <v>760320</v>
      </c>
      <c r="O254" s="21">
        <v>69120</v>
      </c>
      <c r="P254" s="37">
        <v>2</v>
      </c>
      <c r="Q254" t="s">
        <v>42</v>
      </c>
      <c r="R254" s="37">
        <v>12</v>
      </c>
      <c r="S254" s="37">
        <v>38</v>
      </c>
      <c r="T254" t="s">
        <v>129</v>
      </c>
      <c r="U254" t="s">
        <v>63</v>
      </c>
      <c r="V254" t="s">
        <v>69</v>
      </c>
      <c r="W254" t="str">
        <f t="shared" si="15"/>
        <v>41-50</v>
      </c>
      <c r="X254" t="str">
        <f t="shared" si="16"/>
        <v>21-30 yrs</v>
      </c>
      <c r="Y254" t="str">
        <f t="shared" si="17"/>
        <v>Mar</v>
      </c>
      <c r="Z254">
        <f t="shared" si="18"/>
        <v>2025</v>
      </c>
      <c r="AA254">
        <f t="shared" si="19"/>
        <v>0</v>
      </c>
    </row>
    <row r="255" spans="1:27" ht="15" customHeight="1" x14ac:dyDescent="0.3">
      <c r="A255" t="s">
        <v>576</v>
      </c>
      <c r="B255" s="20">
        <v>45816</v>
      </c>
      <c r="C255" t="s">
        <v>577</v>
      </c>
      <c r="D255" t="s">
        <v>35</v>
      </c>
      <c r="E255" s="37">
        <v>40</v>
      </c>
      <c r="F255" t="s">
        <v>97</v>
      </c>
      <c r="G255" t="s">
        <v>98</v>
      </c>
      <c r="H255" t="s">
        <v>66</v>
      </c>
      <c r="I255" t="s">
        <v>39</v>
      </c>
      <c r="J255" t="s">
        <v>161</v>
      </c>
      <c r="K255" s="37">
        <v>3</v>
      </c>
      <c r="L255" t="s">
        <v>52</v>
      </c>
      <c r="M255" s="21">
        <v>39400</v>
      </c>
      <c r="N255" s="21">
        <v>548448</v>
      </c>
      <c r="O255" s="21">
        <v>75648</v>
      </c>
      <c r="P255" s="37">
        <v>3</v>
      </c>
      <c r="Q255" t="s">
        <v>42</v>
      </c>
      <c r="R255" s="37">
        <v>3</v>
      </c>
      <c r="S255" s="37">
        <v>6</v>
      </c>
      <c r="T255" t="s">
        <v>105</v>
      </c>
      <c r="U255" t="s">
        <v>63</v>
      </c>
      <c r="V255" t="s">
        <v>45</v>
      </c>
      <c r="W255" t="str">
        <f t="shared" si="15"/>
        <v>31-40</v>
      </c>
      <c r="X255" t="str">
        <f t="shared" si="16"/>
        <v>0-5 yrs</v>
      </c>
      <c r="Y255" t="str">
        <f t="shared" si="17"/>
        <v>Jun</v>
      </c>
      <c r="Z255">
        <f t="shared" si="18"/>
        <v>2025</v>
      </c>
      <c r="AA255">
        <f t="shared" si="19"/>
        <v>0</v>
      </c>
    </row>
    <row r="256" spans="1:27" ht="15" customHeight="1" x14ac:dyDescent="0.3">
      <c r="A256" t="s">
        <v>578</v>
      </c>
      <c r="B256" s="20">
        <v>45994</v>
      </c>
      <c r="C256" t="s">
        <v>579</v>
      </c>
      <c r="D256" t="s">
        <v>48</v>
      </c>
      <c r="E256" s="37">
        <v>40</v>
      </c>
      <c r="F256" t="s">
        <v>49</v>
      </c>
      <c r="G256" t="s">
        <v>50</v>
      </c>
      <c r="H256" t="s">
        <v>66</v>
      </c>
      <c r="I256" t="s">
        <v>60</v>
      </c>
      <c r="J256" t="s">
        <v>170</v>
      </c>
      <c r="K256" s="37">
        <v>9</v>
      </c>
      <c r="L256" t="s">
        <v>52</v>
      </c>
      <c r="M256" s="21">
        <v>135800</v>
      </c>
      <c r="N256" s="21">
        <v>1874039</v>
      </c>
      <c r="O256" s="21">
        <v>244440</v>
      </c>
      <c r="P256" s="37">
        <v>5</v>
      </c>
      <c r="Q256" t="s">
        <v>42</v>
      </c>
      <c r="R256" s="37">
        <v>16</v>
      </c>
      <c r="S256" s="37">
        <v>23</v>
      </c>
      <c r="T256" t="s">
        <v>129</v>
      </c>
      <c r="U256" t="s">
        <v>44</v>
      </c>
      <c r="V256" t="s">
        <v>69</v>
      </c>
      <c r="W256" t="str">
        <f t="shared" si="15"/>
        <v>31-40</v>
      </c>
      <c r="X256" t="str">
        <f t="shared" si="16"/>
        <v>6-10 yrs</v>
      </c>
      <c r="Y256" t="str">
        <f t="shared" si="17"/>
        <v>Dec</v>
      </c>
      <c r="Z256">
        <f t="shared" si="18"/>
        <v>2025</v>
      </c>
      <c r="AA256">
        <f t="shared" si="19"/>
        <v>0</v>
      </c>
    </row>
    <row r="257" spans="1:27" ht="15" customHeight="1" x14ac:dyDescent="0.3">
      <c r="A257" t="s">
        <v>580</v>
      </c>
      <c r="B257" s="20">
        <v>45876</v>
      </c>
      <c r="C257" t="s">
        <v>201</v>
      </c>
      <c r="D257" t="s">
        <v>35</v>
      </c>
      <c r="E257" s="37">
        <v>47</v>
      </c>
      <c r="F257" t="s">
        <v>36</v>
      </c>
      <c r="G257" t="s">
        <v>37</v>
      </c>
      <c r="H257" t="s">
        <v>59</v>
      </c>
      <c r="I257" t="s">
        <v>39</v>
      </c>
      <c r="J257" t="s">
        <v>61</v>
      </c>
      <c r="K257" s="37">
        <v>7</v>
      </c>
      <c r="L257" t="s">
        <v>41</v>
      </c>
      <c r="M257" s="21">
        <v>31000</v>
      </c>
      <c r="N257" s="21">
        <v>435240</v>
      </c>
      <c r="O257" s="21">
        <v>63240</v>
      </c>
      <c r="P257" s="37">
        <v>4</v>
      </c>
      <c r="Q257" t="s">
        <v>42</v>
      </c>
      <c r="R257" s="37">
        <v>7</v>
      </c>
      <c r="S257" s="37">
        <v>3</v>
      </c>
      <c r="T257" t="s">
        <v>105</v>
      </c>
      <c r="U257" t="s">
        <v>54</v>
      </c>
      <c r="V257" t="s">
        <v>69</v>
      </c>
      <c r="W257" t="str">
        <f t="shared" si="15"/>
        <v>41-50</v>
      </c>
      <c r="X257" t="str">
        <f t="shared" si="16"/>
        <v>6-10 yrs</v>
      </c>
      <c r="Y257" t="str">
        <f t="shared" si="17"/>
        <v>Aug</v>
      </c>
      <c r="Z257">
        <f t="shared" si="18"/>
        <v>2025</v>
      </c>
      <c r="AA257">
        <f t="shared" si="19"/>
        <v>0</v>
      </c>
    </row>
    <row r="258" spans="1:27" ht="15" customHeight="1" x14ac:dyDescent="0.3">
      <c r="A258" t="s">
        <v>581</v>
      </c>
      <c r="B258" s="20">
        <v>45761</v>
      </c>
      <c r="C258" t="s">
        <v>582</v>
      </c>
      <c r="D258" t="s">
        <v>48</v>
      </c>
      <c r="E258" s="37">
        <v>28</v>
      </c>
      <c r="F258" t="s">
        <v>57</v>
      </c>
      <c r="G258" t="s">
        <v>58</v>
      </c>
      <c r="H258" t="s">
        <v>38</v>
      </c>
      <c r="I258" t="s">
        <v>60</v>
      </c>
      <c r="J258" t="s">
        <v>190</v>
      </c>
      <c r="K258" s="37">
        <v>0</v>
      </c>
      <c r="L258" t="s">
        <v>52</v>
      </c>
      <c r="M258" s="21">
        <v>147900</v>
      </c>
      <c r="N258" s="21">
        <v>2005523</v>
      </c>
      <c r="O258" s="21">
        <v>230724</v>
      </c>
      <c r="P258" s="37">
        <v>4</v>
      </c>
      <c r="Q258" t="s">
        <v>42</v>
      </c>
      <c r="R258" s="37">
        <v>4</v>
      </c>
      <c r="S258" s="37">
        <v>31</v>
      </c>
      <c r="T258" t="s">
        <v>105</v>
      </c>
      <c r="U258" t="s">
        <v>63</v>
      </c>
      <c r="V258" t="s">
        <v>69</v>
      </c>
      <c r="W258" t="str">
        <f t="shared" ref="W258:W321" si="20">IF(E258&lt;=30,"22-30",IF(E258&lt;=40,"31-40",IF(E258&lt;=50,"41-50","51-58")))</f>
        <v>22-30</v>
      </c>
      <c r="X258" t="str">
        <f t="shared" ref="X258:X321" si="21">IF(K258&lt;=5,"0-5 yrs",IF(K258&lt;=10,"6-10 yrs",IF(K258&lt;=20,"11-20 yrs","21-30 yrs")))</f>
        <v>0-5 yrs</v>
      </c>
      <c r="Y258" t="str">
        <f t="shared" ref="Y258:Y321" si="22">TEXT(B258,"mmm")</f>
        <v>Apr</v>
      </c>
      <c r="Z258">
        <f t="shared" ref="Z258:Z321" si="23">YEAR(B258)</f>
        <v>2025</v>
      </c>
      <c r="AA258">
        <f t="shared" ref="AA258:AA321" si="24">IF(Q258="Yes",1,0)</f>
        <v>0</v>
      </c>
    </row>
    <row r="259" spans="1:27" ht="15" customHeight="1" x14ac:dyDescent="0.3">
      <c r="A259" t="s">
        <v>583</v>
      </c>
      <c r="B259" s="20">
        <v>45764</v>
      </c>
      <c r="C259" t="s">
        <v>584</v>
      </c>
      <c r="D259" t="s">
        <v>48</v>
      </c>
      <c r="E259" s="37">
        <v>44</v>
      </c>
      <c r="F259" t="s">
        <v>86</v>
      </c>
      <c r="G259" t="s">
        <v>87</v>
      </c>
      <c r="H259" t="s">
        <v>66</v>
      </c>
      <c r="I259" t="s">
        <v>60</v>
      </c>
      <c r="J259" t="s">
        <v>170</v>
      </c>
      <c r="K259" s="37">
        <v>14</v>
      </c>
      <c r="L259" t="s">
        <v>41</v>
      </c>
      <c r="M259" s="21">
        <v>141000</v>
      </c>
      <c r="N259" s="21">
        <v>1945799</v>
      </c>
      <c r="O259" s="21">
        <v>253800</v>
      </c>
      <c r="P259" s="37">
        <v>4</v>
      </c>
      <c r="Q259" t="s">
        <v>42</v>
      </c>
      <c r="R259" s="37">
        <v>1</v>
      </c>
      <c r="S259" s="37">
        <v>23</v>
      </c>
      <c r="T259" t="s">
        <v>77</v>
      </c>
      <c r="U259" t="s">
        <v>44</v>
      </c>
      <c r="V259" t="s">
        <v>69</v>
      </c>
      <c r="W259" t="str">
        <f t="shared" si="20"/>
        <v>41-50</v>
      </c>
      <c r="X259" t="str">
        <f t="shared" si="21"/>
        <v>11-20 yrs</v>
      </c>
      <c r="Y259" t="str">
        <f t="shared" si="22"/>
        <v>Apr</v>
      </c>
      <c r="Z259">
        <f t="shared" si="23"/>
        <v>2025</v>
      </c>
      <c r="AA259">
        <f t="shared" si="24"/>
        <v>0</v>
      </c>
    </row>
    <row r="260" spans="1:27" ht="15" customHeight="1" x14ac:dyDescent="0.3">
      <c r="A260" t="s">
        <v>585</v>
      </c>
      <c r="B260" s="20">
        <v>45798</v>
      </c>
      <c r="C260" t="s">
        <v>586</v>
      </c>
      <c r="D260" t="s">
        <v>35</v>
      </c>
      <c r="E260" s="37">
        <v>35</v>
      </c>
      <c r="F260" t="s">
        <v>91</v>
      </c>
      <c r="G260" t="s">
        <v>92</v>
      </c>
      <c r="H260" t="s">
        <v>38</v>
      </c>
      <c r="I260" t="s">
        <v>39</v>
      </c>
      <c r="J260" t="s">
        <v>190</v>
      </c>
      <c r="K260" s="37">
        <v>22</v>
      </c>
      <c r="L260" t="s">
        <v>52</v>
      </c>
      <c r="M260" s="21">
        <v>36800</v>
      </c>
      <c r="N260" s="21">
        <v>472512</v>
      </c>
      <c r="O260" s="21">
        <v>30912</v>
      </c>
      <c r="P260" s="37">
        <v>5</v>
      </c>
      <c r="Q260" t="s">
        <v>42</v>
      </c>
      <c r="R260" s="37">
        <v>16</v>
      </c>
      <c r="S260" s="37">
        <v>36</v>
      </c>
      <c r="T260" t="s">
        <v>175</v>
      </c>
      <c r="U260" t="s">
        <v>63</v>
      </c>
      <c r="V260" t="s">
        <v>69</v>
      </c>
      <c r="W260" t="str">
        <f t="shared" si="20"/>
        <v>31-40</v>
      </c>
      <c r="X260" t="str">
        <f t="shared" si="21"/>
        <v>21-30 yrs</v>
      </c>
      <c r="Y260" t="str">
        <f t="shared" si="22"/>
        <v>May</v>
      </c>
      <c r="Z260">
        <f t="shared" si="23"/>
        <v>2025</v>
      </c>
      <c r="AA260">
        <f t="shared" si="24"/>
        <v>0</v>
      </c>
    </row>
    <row r="261" spans="1:27" ht="15" customHeight="1" x14ac:dyDescent="0.3">
      <c r="A261" t="s">
        <v>587</v>
      </c>
      <c r="B261" s="20">
        <v>45697</v>
      </c>
      <c r="C261" t="s">
        <v>342</v>
      </c>
      <c r="D261" t="s">
        <v>48</v>
      </c>
      <c r="E261" s="37">
        <v>38</v>
      </c>
      <c r="F261" t="s">
        <v>49</v>
      </c>
      <c r="G261" t="s">
        <v>50</v>
      </c>
      <c r="H261" t="s">
        <v>38</v>
      </c>
      <c r="I261" t="s">
        <v>60</v>
      </c>
      <c r="J261" t="s">
        <v>134</v>
      </c>
      <c r="K261" s="37">
        <v>29</v>
      </c>
      <c r="L261" t="s">
        <v>52</v>
      </c>
      <c r="M261" s="21">
        <v>162200</v>
      </c>
      <c r="N261" s="21">
        <v>2179968</v>
      </c>
      <c r="O261" s="21">
        <v>233568</v>
      </c>
      <c r="P261" s="37">
        <v>5</v>
      </c>
      <c r="Q261" t="s">
        <v>42</v>
      </c>
      <c r="R261" s="37">
        <v>8</v>
      </c>
      <c r="S261" s="37">
        <v>36</v>
      </c>
      <c r="T261" t="s">
        <v>77</v>
      </c>
      <c r="U261" t="s">
        <v>63</v>
      </c>
      <c r="V261" t="s">
        <v>45</v>
      </c>
      <c r="W261" t="str">
        <f t="shared" si="20"/>
        <v>31-40</v>
      </c>
      <c r="X261" t="str">
        <f t="shared" si="21"/>
        <v>21-30 yrs</v>
      </c>
      <c r="Y261" t="str">
        <f t="shared" si="22"/>
        <v>Feb</v>
      </c>
      <c r="Z261">
        <f t="shared" si="23"/>
        <v>2025</v>
      </c>
      <c r="AA261">
        <f t="shared" si="24"/>
        <v>0</v>
      </c>
    </row>
    <row r="262" spans="1:27" ht="15" customHeight="1" x14ac:dyDescent="0.3">
      <c r="A262" t="s">
        <v>588</v>
      </c>
      <c r="B262" s="20">
        <v>45711</v>
      </c>
      <c r="C262" t="s">
        <v>589</v>
      </c>
      <c r="D262" t="s">
        <v>35</v>
      </c>
      <c r="E262" s="37">
        <v>54</v>
      </c>
      <c r="F262" t="s">
        <v>86</v>
      </c>
      <c r="G262" t="s">
        <v>87</v>
      </c>
      <c r="H262" t="s">
        <v>74</v>
      </c>
      <c r="I262" t="s">
        <v>39</v>
      </c>
      <c r="J262" t="s">
        <v>152</v>
      </c>
      <c r="K262" s="37">
        <v>23</v>
      </c>
      <c r="L262" t="s">
        <v>52</v>
      </c>
      <c r="M262" s="21">
        <v>35700</v>
      </c>
      <c r="N262" s="21">
        <v>454104</v>
      </c>
      <c r="O262" s="21">
        <v>25704</v>
      </c>
      <c r="P262" s="37">
        <v>4</v>
      </c>
      <c r="Q262" t="s">
        <v>42</v>
      </c>
      <c r="R262" s="37">
        <v>9</v>
      </c>
      <c r="S262" s="37">
        <v>40</v>
      </c>
      <c r="T262" t="s">
        <v>94</v>
      </c>
      <c r="U262" t="s">
        <v>44</v>
      </c>
      <c r="V262" t="s">
        <v>45</v>
      </c>
      <c r="W262" t="str">
        <f t="shared" si="20"/>
        <v>51-58</v>
      </c>
      <c r="X262" t="str">
        <f t="shared" si="21"/>
        <v>21-30 yrs</v>
      </c>
      <c r="Y262" t="str">
        <f t="shared" si="22"/>
        <v>Feb</v>
      </c>
      <c r="Z262">
        <f t="shared" si="23"/>
        <v>2025</v>
      </c>
      <c r="AA262">
        <f t="shared" si="24"/>
        <v>0</v>
      </c>
    </row>
    <row r="263" spans="1:27" ht="15" customHeight="1" x14ac:dyDescent="0.3">
      <c r="A263" t="s">
        <v>590</v>
      </c>
      <c r="B263" s="20">
        <v>45875</v>
      </c>
      <c r="C263" t="s">
        <v>591</v>
      </c>
      <c r="D263" t="s">
        <v>48</v>
      </c>
      <c r="E263" s="37">
        <v>39</v>
      </c>
      <c r="F263" t="s">
        <v>97</v>
      </c>
      <c r="G263" t="s">
        <v>98</v>
      </c>
      <c r="H263" t="s">
        <v>66</v>
      </c>
      <c r="I263" t="s">
        <v>82</v>
      </c>
      <c r="J263" t="s">
        <v>67</v>
      </c>
      <c r="K263" s="37">
        <v>9</v>
      </c>
      <c r="L263" t="s">
        <v>41</v>
      </c>
      <c r="M263" s="21">
        <v>73300</v>
      </c>
      <c r="N263" s="21">
        <v>1011539</v>
      </c>
      <c r="O263" s="21">
        <v>131940</v>
      </c>
      <c r="P263" s="37">
        <v>2</v>
      </c>
      <c r="Q263" t="s">
        <v>42</v>
      </c>
      <c r="R263" s="37">
        <v>3</v>
      </c>
      <c r="S263" s="37">
        <v>2</v>
      </c>
      <c r="T263" t="s">
        <v>94</v>
      </c>
      <c r="U263" t="s">
        <v>63</v>
      </c>
      <c r="V263" t="s">
        <v>45</v>
      </c>
      <c r="W263" t="str">
        <f t="shared" si="20"/>
        <v>31-40</v>
      </c>
      <c r="X263" t="str">
        <f t="shared" si="21"/>
        <v>6-10 yrs</v>
      </c>
      <c r="Y263" t="str">
        <f t="shared" si="22"/>
        <v>Aug</v>
      </c>
      <c r="Z263">
        <f t="shared" si="23"/>
        <v>2025</v>
      </c>
      <c r="AA263">
        <f t="shared" si="24"/>
        <v>0</v>
      </c>
    </row>
    <row r="264" spans="1:27" ht="15" customHeight="1" x14ac:dyDescent="0.3">
      <c r="A264" t="s">
        <v>592</v>
      </c>
      <c r="B264" s="20">
        <v>45841</v>
      </c>
      <c r="C264" t="s">
        <v>288</v>
      </c>
      <c r="D264" t="s">
        <v>35</v>
      </c>
      <c r="E264" s="37">
        <v>50</v>
      </c>
      <c r="F264" t="s">
        <v>36</v>
      </c>
      <c r="G264" t="s">
        <v>37</v>
      </c>
      <c r="H264" t="s">
        <v>66</v>
      </c>
      <c r="I264" t="s">
        <v>60</v>
      </c>
      <c r="J264" t="s">
        <v>149</v>
      </c>
      <c r="K264" s="37">
        <v>9</v>
      </c>
      <c r="L264" t="s">
        <v>52</v>
      </c>
      <c r="M264" s="21">
        <v>176000</v>
      </c>
      <c r="N264" s="21">
        <v>2323200</v>
      </c>
      <c r="O264" s="21">
        <v>211200</v>
      </c>
      <c r="P264" s="37">
        <v>4</v>
      </c>
      <c r="Q264" t="s">
        <v>126</v>
      </c>
      <c r="R264" s="37">
        <v>0</v>
      </c>
      <c r="S264" s="37">
        <v>23</v>
      </c>
      <c r="T264" t="s">
        <v>94</v>
      </c>
      <c r="U264" t="s">
        <v>44</v>
      </c>
      <c r="V264" t="s">
        <v>45</v>
      </c>
      <c r="W264" t="str">
        <f t="shared" si="20"/>
        <v>41-50</v>
      </c>
      <c r="X264" t="str">
        <f t="shared" si="21"/>
        <v>6-10 yrs</v>
      </c>
      <c r="Y264" t="str">
        <f t="shared" si="22"/>
        <v>Jul</v>
      </c>
      <c r="Z264">
        <f t="shared" si="23"/>
        <v>2025</v>
      </c>
      <c r="AA264">
        <f t="shared" si="24"/>
        <v>1</v>
      </c>
    </row>
    <row r="265" spans="1:27" ht="15" customHeight="1" x14ac:dyDescent="0.3">
      <c r="A265" t="s">
        <v>593</v>
      </c>
      <c r="B265" s="20">
        <v>45677</v>
      </c>
      <c r="C265" t="s">
        <v>594</v>
      </c>
      <c r="D265" t="s">
        <v>35</v>
      </c>
      <c r="E265" s="37">
        <v>50</v>
      </c>
      <c r="F265" t="s">
        <v>80</v>
      </c>
      <c r="G265" t="s">
        <v>81</v>
      </c>
      <c r="H265" t="s">
        <v>66</v>
      </c>
      <c r="I265" t="s">
        <v>39</v>
      </c>
      <c r="J265" t="s">
        <v>93</v>
      </c>
      <c r="K265" s="37">
        <v>22</v>
      </c>
      <c r="L265" t="s">
        <v>120</v>
      </c>
      <c r="M265" s="21">
        <v>39200</v>
      </c>
      <c r="N265" s="21">
        <v>540960</v>
      </c>
      <c r="O265" s="21">
        <v>70560</v>
      </c>
      <c r="P265" s="37">
        <v>5</v>
      </c>
      <c r="Q265" t="s">
        <v>42</v>
      </c>
      <c r="R265" s="37">
        <v>2</v>
      </c>
      <c r="S265" s="37">
        <v>18</v>
      </c>
      <c r="T265" t="s">
        <v>175</v>
      </c>
      <c r="U265" t="s">
        <v>44</v>
      </c>
      <c r="V265" t="s">
        <v>45</v>
      </c>
      <c r="W265" t="str">
        <f t="shared" si="20"/>
        <v>41-50</v>
      </c>
      <c r="X265" t="str">
        <f t="shared" si="21"/>
        <v>21-30 yrs</v>
      </c>
      <c r="Y265" t="str">
        <f t="shared" si="22"/>
        <v>Jan</v>
      </c>
      <c r="Z265">
        <f t="shared" si="23"/>
        <v>2025</v>
      </c>
      <c r="AA265">
        <f t="shared" si="24"/>
        <v>0</v>
      </c>
    </row>
    <row r="266" spans="1:27" ht="15" customHeight="1" x14ac:dyDescent="0.3">
      <c r="A266" t="s">
        <v>595</v>
      </c>
      <c r="B266" s="20">
        <v>45784</v>
      </c>
      <c r="C266" t="s">
        <v>596</v>
      </c>
      <c r="D266" t="s">
        <v>48</v>
      </c>
      <c r="E266" s="37">
        <v>22</v>
      </c>
      <c r="F266" t="s">
        <v>80</v>
      </c>
      <c r="G266" t="s">
        <v>81</v>
      </c>
      <c r="H266" t="s">
        <v>66</v>
      </c>
      <c r="I266" t="s">
        <v>75</v>
      </c>
      <c r="J266" t="s">
        <v>149</v>
      </c>
      <c r="K266" s="37">
        <v>26</v>
      </c>
      <c r="L266" t="s">
        <v>41</v>
      </c>
      <c r="M266" s="21">
        <v>83600</v>
      </c>
      <c r="N266" s="21">
        <v>1133616</v>
      </c>
      <c r="O266" s="21">
        <v>130416</v>
      </c>
      <c r="P266" s="37">
        <v>4</v>
      </c>
      <c r="Q266" t="s">
        <v>42</v>
      </c>
      <c r="R266" s="37">
        <v>10</v>
      </c>
      <c r="S266" s="37">
        <v>16</v>
      </c>
      <c r="T266" t="s">
        <v>175</v>
      </c>
      <c r="U266" t="s">
        <v>138</v>
      </c>
      <c r="V266" t="s">
        <v>45</v>
      </c>
      <c r="W266" t="str">
        <f t="shared" si="20"/>
        <v>22-30</v>
      </c>
      <c r="X266" t="str">
        <f t="shared" si="21"/>
        <v>21-30 yrs</v>
      </c>
      <c r="Y266" t="str">
        <f t="shared" si="22"/>
        <v>May</v>
      </c>
      <c r="Z266">
        <f t="shared" si="23"/>
        <v>2025</v>
      </c>
      <c r="AA266">
        <f t="shared" si="24"/>
        <v>0</v>
      </c>
    </row>
    <row r="267" spans="1:27" ht="15" customHeight="1" x14ac:dyDescent="0.3">
      <c r="A267" t="s">
        <v>597</v>
      </c>
      <c r="B267" s="20">
        <v>45861</v>
      </c>
      <c r="C267" t="s">
        <v>598</v>
      </c>
      <c r="D267" t="s">
        <v>35</v>
      </c>
      <c r="E267" s="37">
        <v>25</v>
      </c>
      <c r="F267" t="s">
        <v>57</v>
      </c>
      <c r="G267" t="s">
        <v>58</v>
      </c>
      <c r="H267" t="s">
        <v>59</v>
      </c>
      <c r="I267" t="s">
        <v>75</v>
      </c>
      <c r="J267" t="s">
        <v>141</v>
      </c>
      <c r="K267" s="37">
        <v>28</v>
      </c>
      <c r="L267" t="s">
        <v>52</v>
      </c>
      <c r="M267" s="21">
        <v>92400</v>
      </c>
      <c r="N267" s="21">
        <v>1275120</v>
      </c>
      <c r="O267" s="21">
        <v>166320</v>
      </c>
      <c r="P267" s="37">
        <v>3</v>
      </c>
      <c r="Q267" t="s">
        <v>42</v>
      </c>
      <c r="R267" s="37">
        <v>14</v>
      </c>
      <c r="S267" s="37">
        <v>5</v>
      </c>
      <c r="T267" t="s">
        <v>105</v>
      </c>
      <c r="U267" t="s">
        <v>44</v>
      </c>
      <c r="V267" t="s">
        <v>69</v>
      </c>
      <c r="W267" t="str">
        <f t="shared" si="20"/>
        <v>22-30</v>
      </c>
      <c r="X267" t="str">
        <f t="shared" si="21"/>
        <v>21-30 yrs</v>
      </c>
      <c r="Y267" t="str">
        <f t="shared" si="22"/>
        <v>Jul</v>
      </c>
      <c r="Z267">
        <f t="shared" si="23"/>
        <v>2025</v>
      </c>
      <c r="AA267">
        <f t="shared" si="24"/>
        <v>0</v>
      </c>
    </row>
    <row r="268" spans="1:27" ht="15" customHeight="1" x14ac:dyDescent="0.3">
      <c r="A268" t="s">
        <v>599</v>
      </c>
      <c r="B268" s="20">
        <v>45689</v>
      </c>
      <c r="C268" t="s">
        <v>600</v>
      </c>
      <c r="D268" t="s">
        <v>35</v>
      </c>
      <c r="E268" s="37">
        <v>48</v>
      </c>
      <c r="F268" t="s">
        <v>49</v>
      </c>
      <c r="G268" t="s">
        <v>50</v>
      </c>
      <c r="H268" t="s">
        <v>74</v>
      </c>
      <c r="I268" t="s">
        <v>75</v>
      </c>
      <c r="J268" t="s">
        <v>83</v>
      </c>
      <c r="K268" s="37">
        <v>24</v>
      </c>
      <c r="L268" t="s">
        <v>52</v>
      </c>
      <c r="M268" s="21">
        <v>96500</v>
      </c>
      <c r="N268" s="21">
        <v>1354860</v>
      </c>
      <c r="O268" s="21">
        <v>196860</v>
      </c>
      <c r="P268" s="37">
        <v>4</v>
      </c>
      <c r="Q268" t="s">
        <v>42</v>
      </c>
      <c r="R268" s="37">
        <v>15</v>
      </c>
      <c r="S268" s="37">
        <v>13</v>
      </c>
      <c r="T268" t="s">
        <v>129</v>
      </c>
      <c r="U268" t="s">
        <v>63</v>
      </c>
      <c r="V268" t="s">
        <v>45</v>
      </c>
      <c r="W268" t="str">
        <f t="shared" si="20"/>
        <v>41-50</v>
      </c>
      <c r="X268" t="str">
        <f t="shared" si="21"/>
        <v>21-30 yrs</v>
      </c>
      <c r="Y268" t="str">
        <f t="shared" si="22"/>
        <v>Feb</v>
      </c>
      <c r="Z268">
        <f t="shared" si="23"/>
        <v>2025</v>
      </c>
      <c r="AA268">
        <f t="shared" si="24"/>
        <v>0</v>
      </c>
    </row>
    <row r="269" spans="1:27" ht="15" customHeight="1" x14ac:dyDescent="0.3">
      <c r="A269" t="s">
        <v>601</v>
      </c>
      <c r="B269" s="20">
        <v>45949</v>
      </c>
      <c r="C269" t="s">
        <v>602</v>
      </c>
      <c r="D269" t="s">
        <v>48</v>
      </c>
      <c r="E269" s="37">
        <v>53</v>
      </c>
      <c r="F269" t="s">
        <v>86</v>
      </c>
      <c r="G269" t="s">
        <v>87</v>
      </c>
      <c r="H269" t="s">
        <v>118</v>
      </c>
      <c r="I269" t="s">
        <v>60</v>
      </c>
      <c r="J269" t="s">
        <v>219</v>
      </c>
      <c r="K269" s="37">
        <v>13</v>
      </c>
      <c r="L269" t="s">
        <v>52</v>
      </c>
      <c r="M269" s="21">
        <v>150700</v>
      </c>
      <c r="N269" s="21">
        <v>2061576</v>
      </c>
      <c r="O269" s="21">
        <v>253176</v>
      </c>
      <c r="P269" s="37">
        <v>4</v>
      </c>
      <c r="Q269" t="s">
        <v>42</v>
      </c>
      <c r="R269" s="37">
        <v>20</v>
      </c>
      <c r="S269" s="37">
        <v>16</v>
      </c>
      <c r="T269" t="s">
        <v>68</v>
      </c>
      <c r="U269" t="s">
        <v>44</v>
      </c>
      <c r="V269" t="s">
        <v>69</v>
      </c>
      <c r="W269" t="str">
        <f t="shared" si="20"/>
        <v>51-58</v>
      </c>
      <c r="X269" t="str">
        <f t="shared" si="21"/>
        <v>11-20 yrs</v>
      </c>
      <c r="Y269" t="str">
        <f t="shared" si="22"/>
        <v>Oct</v>
      </c>
      <c r="Z269">
        <f t="shared" si="23"/>
        <v>2025</v>
      </c>
      <c r="AA269">
        <f t="shared" si="24"/>
        <v>0</v>
      </c>
    </row>
    <row r="270" spans="1:27" ht="15" customHeight="1" x14ac:dyDescent="0.3">
      <c r="A270" t="s">
        <v>603</v>
      </c>
      <c r="B270" s="20">
        <v>45783</v>
      </c>
      <c r="C270" t="s">
        <v>604</v>
      </c>
      <c r="D270" t="s">
        <v>48</v>
      </c>
      <c r="E270" s="37">
        <v>53</v>
      </c>
      <c r="F270" t="s">
        <v>108</v>
      </c>
      <c r="G270" t="s">
        <v>109</v>
      </c>
      <c r="H270" t="s">
        <v>38</v>
      </c>
      <c r="I270" t="s">
        <v>82</v>
      </c>
      <c r="J270" t="s">
        <v>134</v>
      </c>
      <c r="K270" s="37">
        <v>1</v>
      </c>
      <c r="L270" t="s">
        <v>52</v>
      </c>
      <c r="M270" s="21">
        <v>58100</v>
      </c>
      <c r="N270" s="21">
        <v>773892</v>
      </c>
      <c r="O270" s="21">
        <v>76692</v>
      </c>
      <c r="P270" s="37">
        <v>3</v>
      </c>
      <c r="Q270" t="s">
        <v>42</v>
      </c>
      <c r="R270" s="37">
        <v>0</v>
      </c>
      <c r="S270" s="37">
        <v>10</v>
      </c>
      <c r="T270" t="s">
        <v>129</v>
      </c>
      <c r="U270" t="s">
        <v>63</v>
      </c>
      <c r="V270" t="s">
        <v>69</v>
      </c>
      <c r="W270" t="str">
        <f t="shared" si="20"/>
        <v>51-58</v>
      </c>
      <c r="X270" t="str">
        <f t="shared" si="21"/>
        <v>0-5 yrs</v>
      </c>
      <c r="Y270" t="str">
        <f t="shared" si="22"/>
        <v>May</v>
      </c>
      <c r="Z270">
        <f t="shared" si="23"/>
        <v>2025</v>
      </c>
      <c r="AA270">
        <f t="shared" si="24"/>
        <v>0</v>
      </c>
    </row>
    <row r="271" spans="1:27" ht="15" customHeight="1" x14ac:dyDescent="0.3">
      <c r="A271" t="s">
        <v>605</v>
      </c>
      <c r="B271" s="20">
        <v>45879</v>
      </c>
      <c r="C271" t="s">
        <v>606</v>
      </c>
      <c r="D271" t="s">
        <v>35</v>
      </c>
      <c r="E271" s="37">
        <v>54</v>
      </c>
      <c r="F271" t="s">
        <v>108</v>
      </c>
      <c r="G271" t="s">
        <v>109</v>
      </c>
      <c r="H271" t="s">
        <v>38</v>
      </c>
      <c r="I271" t="s">
        <v>60</v>
      </c>
      <c r="J271" t="s">
        <v>99</v>
      </c>
      <c r="K271" s="37">
        <v>27</v>
      </c>
      <c r="L271" t="s">
        <v>52</v>
      </c>
      <c r="M271" s="21">
        <v>126400</v>
      </c>
      <c r="N271" s="21">
        <v>1804992</v>
      </c>
      <c r="O271" s="21">
        <v>288192</v>
      </c>
      <c r="P271" s="37">
        <v>3</v>
      </c>
      <c r="Q271" t="s">
        <v>42</v>
      </c>
      <c r="R271" s="37">
        <v>7</v>
      </c>
      <c r="S271" s="37">
        <v>10</v>
      </c>
      <c r="T271" t="s">
        <v>146</v>
      </c>
      <c r="U271" t="s">
        <v>63</v>
      </c>
      <c r="V271" t="s">
        <v>45</v>
      </c>
      <c r="W271" t="str">
        <f t="shared" si="20"/>
        <v>51-58</v>
      </c>
      <c r="X271" t="str">
        <f t="shared" si="21"/>
        <v>21-30 yrs</v>
      </c>
      <c r="Y271" t="str">
        <f t="shared" si="22"/>
        <v>Aug</v>
      </c>
      <c r="Z271">
        <f t="shared" si="23"/>
        <v>2025</v>
      </c>
      <c r="AA271">
        <f t="shared" si="24"/>
        <v>0</v>
      </c>
    </row>
    <row r="272" spans="1:27" ht="15" customHeight="1" x14ac:dyDescent="0.3">
      <c r="A272" t="s">
        <v>607</v>
      </c>
      <c r="B272" s="20">
        <v>45955</v>
      </c>
      <c r="C272" t="s">
        <v>608</v>
      </c>
      <c r="D272" t="s">
        <v>35</v>
      </c>
      <c r="E272" s="37">
        <v>41</v>
      </c>
      <c r="F272" t="s">
        <v>36</v>
      </c>
      <c r="G272" t="s">
        <v>37</v>
      </c>
      <c r="H272" t="s">
        <v>59</v>
      </c>
      <c r="I272" t="s">
        <v>39</v>
      </c>
      <c r="J272" t="s">
        <v>104</v>
      </c>
      <c r="K272" s="37">
        <v>28</v>
      </c>
      <c r="L272" t="s">
        <v>52</v>
      </c>
      <c r="M272" s="21">
        <v>39600</v>
      </c>
      <c r="N272" s="21">
        <v>551232</v>
      </c>
      <c r="O272" s="21">
        <v>76032</v>
      </c>
      <c r="P272" s="37">
        <v>4</v>
      </c>
      <c r="Q272" t="s">
        <v>42</v>
      </c>
      <c r="R272" s="37">
        <v>8</v>
      </c>
      <c r="S272" s="37">
        <v>12</v>
      </c>
      <c r="T272" t="s">
        <v>146</v>
      </c>
      <c r="U272" t="s">
        <v>54</v>
      </c>
      <c r="V272" t="s">
        <v>69</v>
      </c>
      <c r="W272" t="str">
        <f t="shared" si="20"/>
        <v>41-50</v>
      </c>
      <c r="X272" t="str">
        <f t="shared" si="21"/>
        <v>21-30 yrs</v>
      </c>
      <c r="Y272" t="str">
        <f t="shared" si="22"/>
        <v>Oct</v>
      </c>
      <c r="Z272">
        <f t="shared" si="23"/>
        <v>2025</v>
      </c>
      <c r="AA272">
        <f t="shared" si="24"/>
        <v>0</v>
      </c>
    </row>
    <row r="273" spans="1:27" ht="15" customHeight="1" x14ac:dyDescent="0.3">
      <c r="A273" t="s">
        <v>609</v>
      </c>
      <c r="B273" s="20">
        <v>45763</v>
      </c>
      <c r="C273" t="s">
        <v>610</v>
      </c>
      <c r="D273" t="s">
        <v>48</v>
      </c>
      <c r="E273" s="37">
        <v>39</v>
      </c>
      <c r="F273" t="s">
        <v>36</v>
      </c>
      <c r="G273" t="s">
        <v>37</v>
      </c>
      <c r="H273" t="s">
        <v>38</v>
      </c>
      <c r="I273" t="s">
        <v>60</v>
      </c>
      <c r="J273" t="s">
        <v>40</v>
      </c>
      <c r="K273" s="37">
        <v>16</v>
      </c>
      <c r="L273" t="s">
        <v>52</v>
      </c>
      <c r="M273" s="21">
        <v>132900</v>
      </c>
      <c r="N273" s="21">
        <v>1754280</v>
      </c>
      <c r="O273" s="21">
        <v>159480</v>
      </c>
      <c r="P273" s="37">
        <v>4</v>
      </c>
      <c r="Q273" t="s">
        <v>42</v>
      </c>
      <c r="R273" s="37">
        <v>2</v>
      </c>
      <c r="S273" s="37">
        <v>7</v>
      </c>
      <c r="T273" t="s">
        <v>53</v>
      </c>
      <c r="U273" t="s">
        <v>63</v>
      </c>
      <c r="V273" t="s">
        <v>45</v>
      </c>
      <c r="W273" t="str">
        <f t="shared" si="20"/>
        <v>31-40</v>
      </c>
      <c r="X273" t="str">
        <f t="shared" si="21"/>
        <v>11-20 yrs</v>
      </c>
      <c r="Y273" t="str">
        <f t="shared" si="22"/>
        <v>Apr</v>
      </c>
      <c r="Z273">
        <f t="shared" si="23"/>
        <v>2025</v>
      </c>
      <c r="AA273">
        <f t="shared" si="24"/>
        <v>0</v>
      </c>
    </row>
    <row r="274" spans="1:27" ht="15" customHeight="1" x14ac:dyDescent="0.3">
      <c r="A274" t="s">
        <v>611</v>
      </c>
      <c r="B274" s="20">
        <v>45736</v>
      </c>
      <c r="C274" t="s">
        <v>612</v>
      </c>
      <c r="D274" t="s">
        <v>35</v>
      </c>
      <c r="E274" s="37">
        <v>46</v>
      </c>
      <c r="F274" t="s">
        <v>49</v>
      </c>
      <c r="G274" t="s">
        <v>50</v>
      </c>
      <c r="H274" t="s">
        <v>38</v>
      </c>
      <c r="I274" t="s">
        <v>82</v>
      </c>
      <c r="J274" t="s">
        <v>190</v>
      </c>
      <c r="K274" s="37">
        <v>6</v>
      </c>
      <c r="L274" t="s">
        <v>52</v>
      </c>
      <c r="M274" s="21">
        <v>60700</v>
      </c>
      <c r="N274" s="21">
        <v>786672</v>
      </c>
      <c r="O274" s="21">
        <v>58272</v>
      </c>
      <c r="P274" s="37">
        <v>4</v>
      </c>
      <c r="Q274" t="s">
        <v>42</v>
      </c>
      <c r="R274" s="37">
        <v>13</v>
      </c>
      <c r="S274" s="37">
        <v>6</v>
      </c>
      <c r="T274" t="s">
        <v>68</v>
      </c>
      <c r="U274" t="s">
        <v>63</v>
      </c>
      <c r="V274" t="s">
        <v>45</v>
      </c>
      <c r="W274" t="str">
        <f t="shared" si="20"/>
        <v>41-50</v>
      </c>
      <c r="X274" t="str">
        <f t="shared" si="21"/>
        <v>6-10 yrs</v>
      </c>
      <c r="Y274" t="str">
        <f t="shared" si="22"/>
        <v>Mar</v>
      </c>
      <c r="Z274">
        <f t="shared" si="23"/>
        <v>2025</v>
      </c>
      <c r="AA274">
        <f t="shared" si="24"/>
        <v>0</v>
      </c>
    </row>
    <row r="275" spans="1:27" ht="15" customHeight="1" x14ac:dyDescent="0.3">
      <c r="A275" t="s">
        <v>613</v>
      </c>
      <c r="B275" s="20">
        <v>45993</v>
      </c>
      <c r="C275" t="s">
        <v>614</v>
      </c>
      <c r="D275" t="s">
        <v>35</v>
      </c>
      <c r="E275" s="37">
        <v>35</v>
      </c>
      <c r="F275" t="s">
        <v>108</v>
      </c>
      <c r="G275" t="s">
        <v>109</v>
      </c>
      <c r="H275" t="s">
        <v>118</v>
      </c>
      <c r="I275" t="s">
        <v>82</v>
      </c>
      <c r="J275" t="s">
        <v>219</v>
      </c>
      <c r="K275" s="37">
        <v>13</v>
      </c>
      <c r="L275" t="s">
        <v>52</v>
      </c>
      <c r="M275" s="21">
        <v>53700</v>
      </c>
      <c r="N275" s="21">
        <v>689508</v>
      </c>
      <c r="O275" s="21">
        <v>45108</v>
      </c>
      <c r="P275" s="37">
        <v>3</v>
      </c>
      <c r="Q275" t="s">
        <v>126</v>
      </c>
      <c r="R275" s="37">
        <v>1</v>
      </c>
      <c r="S275" s="37">
        <v>8</v>
      </c>
      <c r="T275" t="s">
        <v>94</v>
      </c>
      <c r="U275" t="s">
        <v>44</v>
      </c>
      <c r="V275" t="s">
        <v>45</v>
      </c>
      <c r="W275" t="str">
        <f t="shared" si="20"/>
        <v>31-40</v>
      </c>
      <c r="X275" t="str">
        <f t="shared" si="21"/>
        <v>11-20 yrs</v>
      </c>
      <c r="Y275" t="str">
        <f t="shared" si="22"/>
        <v>Dec</v>
      </c>
      <c r="Z275">
        <f t="shared" si="23"/>
        <v>2025</v>
      </c>
      <c r="AA275">
        <f t="shared" si="24"/>
        <v>1</v>
      </c>
    </row>
    <row r="276" spans="1:27" ht="15" customHeight="1" x14ac:dyDescent="0.3">
      <c r="A276" t="s">
        <v>615</v>
      </c>
      <c r="B276" s="20">
        <v>45722</v>
      </c>
      <c r="C276" t="s">
        <v>616</v>
      </c>
      <c r="D276" t="s">
        <v>35</v>
      </c>
      <c r="E276" s="37">
        <v>33</v>
      </c>
      <c r="F276" t="s">
        <v>72</v>
      </c>
      <c r="G276" t="s">
        <v>73</v>
      </c>
      <c r="H276" t="s">
        <v>74</v>
      </c>
      <c r="I276" t="s">
        <v>51</v>
      </c>
      <c r="J276" t="s">
        <v>83</v>
      </c>
      <c r="K276" s="37">
        <v>1</v>
      </c>
      <c r="L276" t="s">
        <v>120</v>
      </c>
      <c r="M276" s="21">
        <v>239500</v>
      </c>
      <c r="N276" s="21">
        <v>3218880</v>
      </c>
      <c r="O276" s="21">
        <v>344880</v>
      </c>
      <c r="P276" s="37">
        <v>3</v>
      </c>
      <c r="Q276" t="s">
        <v>126</v>
      </c>
      <c r="R276" s="37">
        <v>19</v>
      </c>
      <c r="S276" s="37">
        <v>29</v>
      </c>
      <c r="T276" t="s">
        <v>146</v>
      </c>
      <c r="U276" t="s">
        <v>44</v>
      </c>
      <c r="V276" t="s">
        <v>69</v>
      </c>
      <c r="W276" t="str">
        <f t="shared" si="20"/>
        <v>31-40</v>
      </c>
      <c r="X276" t="str">
        <f t="shared" si="21"/>
        <v>0-5 yrs</v>
      </c>
      <c r="Y276" t="str">
        <f t="shared" si="22"/>
        <v>Mar</v>
      </c>
      <c r="Z276">
        <f t="shared" si="23"/>
        <v>2025</v>
      </c>
      <c r="AA276">
        <f t="shared" si="24"/>
        <v>1</v>
      </c>
    </row>
    <row r="277" spans="1:27" ht="15" customHeight="1" x14ac:dyDescent="0.3">
      <c r="A277" t="s">
        <v>617</v>
      </c>
      <c r="B277" s="20">
        <v>45954</v>
      </c>
      <c r="C277" t="s">
        <v>618</v>
      </c>
      <c r="D277" t="s">
        <v>35</v>
      </c>
      <c r="E277" s="37">
        <v>28</v>
      </c>
      <c r="F277" t="s">
        <v>36</v>
      </c>
      <c r="G277" t="s">
        <v>37</v>
      </c>
      <c r="H277" t="s">
        <v>38</v>
      </c>
      <c r="I277" t="s">
        <v>82</v>
      </c>
      <c r="J277" t="s">
        <v>134</v>
      </c>
      <c r="K277" s="37">
        <v>4</v>
      </c>
      <c r="L277" t="s">
        <v>52</v>
      </c>
      <c r="M277" s="21">
        <v>58500</v>
      </c>
      <c r="N277" s="21">
        <v>807299</v>
      </c>
      <c r="O277" s="21">
        <v>105300</v>
      </c>
      <c r="P277" s="37">
        <v>3</v>
      </c>
      <c r="Q277" t="s">
        <v>42</v>
      </c>
      <c r="R277" s="37">
        <v>20</v>
      </c>
      <c r="S277" s="37">
        <v>7</v>
      </c>
      <c r="T277" t="s">
        <v>146</v>
      </c>
      <c r="U277" t="s">
        <v>138</v>
      </c>
      <c r="V277" t="s">
        <v>45</v>
      </c>
      <c r="W277" t="str">
        <f t="shared" si="20"/>
        <v>22-30</v>
      </c>
      <c r="X277" t="str">
        <f t="shared" si="21"/>
        <v>0-5 yrs</v>
      </c>
      <c r="Y277" t="str">
        <f t="shared" si="22"/>
        <v>Oct</v>
      </c>
      <c r="Z277">
        <f t="shared" si="23"/>
        <v>2025</v>
      </c>
      <c r="AA277">
        <f t="shared" si="24"/>
        <v>0</v>
      </c>
    </row>
    <row r="278" spans="1:27" ht="15" customHeight="1" x14ac:dyDescent="0.3">
      <c r="A278" t="s">
        <v>619</v>
      </c>
      <c r="B278" s="20">
        <v>45765</v>
      </c>
      <c r="C278" t="s">
        <v>620</v>
      </c>
      <c r="D278" t="s">
        <v>48</v>
      </c>
      <c r="E278" s="37">
        <v>31</v>
      </c>
      <c r="F278" t="s">
        <v>97</v>
      </c>
      <c r="G278" t="s">
        <v>98</v>
      </c>
      <c r="H278" t="s">
        <v>66</v>
      </c>
      <c r="I278" t="s">
        <v>39</v>
      </c>
      <c r="J278" t="s">
        <v>161</v>
      </c>
      <c r="K278" s="37">
        <v>9</v>
      </c>
      <c r="L278" t="s">
        <v>52</v>
      </c>
      <c r="M278" s="21">
        <v>36100</v>
      </c>
      <c r="N278" s="21">
        <v>476520</v>
      </c>
      <c r="O278" s="21">
        <v>43320</v>
      </c>
      <c r="P278" s="37">
        <v>4</v>
      </c>
      <c r="Q278" t="s">
        <v>42</v>
      </c>
      <c r="R278" s="37">
        <v>3</v>
      </c>
      <c r="S278" s="37">
        <v>12</v>
      </c>
      <c r="T278" t="s">
        <v>62</v>
      </c>
      <c r="U278" t="s">
        <v>44</v>
      </c>
      <c r="V278" t="s">
        <v>45</v>
      </c>
      <c r="W278" t="str">
        <f t="shared" si="20"/>
        <v>31-40</v>
      </c>
      <c r="X278" t="str">
        <f t="shared" si="21"/>
        <v>6-10 yrs</v>
      </c>
      <c r="Y278" t="str">
        <f t="shared" si="22"/>
        <v>Apr</v>
      </c>
      <c r="Z278">
        <f t="shared" si="23"/>
        <v>2025</v>
      </c>
      <c r="AA278">
        <f t="shared" si="24"/>
        <v>0</v>
      </c>
    </row>
    <row r="279" spans="1:27" ht="15" customHeight="1" x14ac:dyDescent="0.3">
      <c r="A279" t="s">
        <v>621</v>
      </c>
      <c r="B279" s="20">
        <v>45757</v>
      </c>
      <c r="C279" t="s">
        <v>622</v>
      </c>
      <c r="D279" t="s">
        <v>48</v>
      </c>
      <c r="E279" s="37">
        <v>38</v>
      </c>
      <c r="F279" t="s">
        <v>49</v>
      </c>
      <c r="G279" t="s">
        <v>50</v>
      </c>
      <c r="H279" t="s">
        <v>59</v>
      </c>
      <c r="I279" t="s">
        <v>39</v>
      </c>
      <c r="J279" t="s">
        <v>61</v>
      </c>
      <c r="K279" s="37">
        <v>10</v>
      </c>
      <c r="L279" t="s">
        <v>52</v>
      </c>
      <c r="M279" s="21">
        <v>35100</v>
      </c>
      <c r="N279" s="21">
        <v>471744</v>
      </c>
      <c r="O279" s="21">
        <v>50544</v>
      </c>
      <c r="P279" s="37">
        <v>4</v>
      </c>
      <c r="Q279" t="s">
        <v>42</v>
      </c>
      <c r="R279" s="37">
        <v>20</v>
      </c>
      <c r="S279" s="37">
        <v>35</v>
      </c>
      <c r="T279" t="s">
        <v>129</v>
      </c>
      <c r="U279" t="s">
        <v>138</v>
      </c>
      <c r="V279" t="s">
        <v>69</v>
      </c>
      <c r="W279" t="str">
        <f t="shared" si="20"/>
        <v>31-40</v>
      </c>
      <c r="X279" t="str">
        <f t="shared" si="21"/>
        <v>6-10 yrs</v>
      </c>
      <c r="Y279" t="str">
        <f t="shared" si="22"/>
        <v>Apr</v>
      </c>
      <c r="Z279">
        <f t="shared" si="23"/>
        <v>2025</v>
      </c>
      <c r="AA279">
        <f t="shared" si="24"/>
        <v>0</v>
      </c>
    </row>
    <row r="280" spans="1:27" ht="15" customHeight="1" x14ac:dyDescent="0.3">
      <c r="A280" t="s">
        <v>623</v>
      </c>
      <c r="B280" s="20">
        <v>45734</v>
      </c>
      <c r="C280" t="s">
        <v>112</v>
      </c>
      <c r="D280" t="s">
        <v>35</v>
      </c>
      <c r="E280" s="37">
        <v>42</v>
      </c>
      <c r="F280" t="s">
        <v>97</v>
      </c>
      <c r="G280" t="s">
        <v>98</v>
      </c>
      <c r="H280" t="s">
        <v>66</v>
      </c>
      <c r="I280" t="s">
        <v>82</v>
      </c>
      <c r="J280" t="s">
        <v>149</v>
      </c>
      <c r="K280" s="37">
        <v>23</v>
      </c>
      <c r="L280" t="s">
        <v>52</v>
      </c>
      <c r="M280" s="21">
        <v>61000</v>
      </c>
      <c r="N280" s="21">
        <v>849119</v>
      </c>
      <c r="O280" s="21">
        <v>117120</v>
      </c>
      <c r="P280" s="37">
        <v>5</v>
      </c>
      <c r="Q280" t="s">
        <v>42</v>
      </c>
      <c r="R280" s="37">
        <v>11</v>
      </c>
      <c r="S280" s="37">
        <v>9</v>
      </c>
      <c r="T280" t="s">
        <v>94</v>
      </c>
      <c r="U280" t="s">
        <v>44</v>
      </c>
      <c r="V280" t="s">
        <v>69</v>
      </c>
      <c r="W280" t="str">
        <f t="shared" si="20"/>
        <v>41-50</v>
      </c>
      <c r="X280" t="str">
        <f t="shared" si="21"/>
        <v>21-30 yrs</v>
      </c>
      <c r="Y280" t="str">
        <f t="shared" si="22"/>
        <v>Mar</v>
      </c>
      <c r="Z280">
        <f t="shared" si="23"/>
        <v>2025</v>
      </c>
      <c r="AA280">
        <f t="shared" si="24"/>
        <v>0</v>
      </c>
    </row>
    <row r="281" spans="1:27" ht="15" customHeight="1" x14ac:dyDescent="0.3">
      <c r="A281" t="s">
        <v>624</v>
      </c>
      <c r="B281" s="20">
        <v>45713</v>
      </c>
      <c r="C281" t="s">
        <v>625</v>
      </c>
      <c r="D281" t="s">
        <v>35</v>
      </c>
      <c r="E281" s="37">
        <v>29</v>
      </c>
      <c r="F281" t="s">
        <v>36</v>
      </c>
      <c r="G281" t="s">
        <v>37</v>
      </c>
      <c r="H281" t="s">
        <v>66</v>
      </c>
      <c r="I281" t="s">
        <v>75</v>
      </c>
      <c r="J281" t="s">
        <v>161</v>
      </c>
      <c r="K281" s="37">
        <v>26</v>
      </c>
      <c r="L281" t="s">
        <v>52</v>
      </c>
      <c r="M281" s="21">
        <v>112400</v>
      </c>
      <c r="N281" s="21">
        <v>1510656</v>
      </c>
      <c r="O281" s="21">
        <v>161856</v>
      </c>
      <c r="P281" s="37">
        <v>5</v>
      </c>
      <c r="Q281" t="s">
        <v>126</v>
      </c>
      <c r="R281" s="37">
        <v>9</v>
      </c>
      <c r="S281" s="37">
        <v>31</v>
      </c>
      <c r="T281" t="s">
        <v>129</v>
      </c>
      <c r="U281" t="s">
        <v>63</v>
      </c>
      <c r="V281" t="s">
        <v>69</v>
      </c>
      <c r="W281" t="str">
        <f t="shared" si="20"/>
        <v>22-30</v>
      </c>
      <c r="X281" t="str">
        <f t="shared" si="21"/>
        <v>21-30 yrs</v>
      </c>
      <c r="Y281" t="str">
        <f t="shared" si="22"/>
        <v>Feb</v>
      </c>
      <c r="Z281">
        <f t="shared" si="23"/>
        <v>2025</v>
      </c>
      <c r="AA281">
        <f t="shared" si="24"/>
        <v>1</v>
      </c>
    </row>
    <row r="282" spans="1:27" ht="15" customHeight="1" x14ac:dyDescent="0.3">
      <c r="A282" t="s">
        <v>626</v>
      </c>
      <c r="B282" s="20">
        <v>45963</v>
      </c>
      <c r="C282" t="s">
        <v>627</v>
      </c>
      <c r="D282" t="s">
        <v>35</v>
      </c>
      <c r="E282" s="37">
        <v>54</v>
      </c>
      <c r="F282" t="s">
        <v>36</v>
      </c>
      <c r="G282" t="s">
        <v>37</v>
      </c>
      <c r="H282" t="s">
        <v>38</v>
      </c>
      <c r="I282" t="s">
        <v>39</v>
      </c>
      <c r="J282" t="s">
        <v>190</v>
      </c>
      <c r="K282" s="37">
        <v>1</v>
      </c>
      <c r="L282" t="s">
        <v>52</v>
      </c>
      <c r="M282" s="21">
        <v>41800</v>
      </c>
      <c r="N282" s="21">
        <v>551760</v>
      </c>
      <c r="O282" s="21">
        <v>50160</v>
      </c>
      <c r="P282" s="37">
        <v>4</v>
      </c>
      <c r="Q282" t="s">
        <v>42</v>
      </c>
      <c r="R282" s="37">
        <v>7</v>
      </c>
      <c r="S282" s="37">
        <v>29</v>
      </c>
      <c r="T282" t="s">
        <v>146</v>
      </c>
      <c r="U282" t="s">
        <v>44</v>
      </c>
      <c r="V282" t="s">
        <v>45</v>
      </c>
      <c r="W282" t="str">
        <f t="shared" si="20"/>
        <v>51-58</v>
      </c>
      <c r="X282" t="str">
        <f t="shared" si="21"/>
        <v>0-5 yrs</v>
      </c>
      <c r="Y282" t="str">
        <f t="shared" si="22"/>
        <v>Nov</v>
      </c>
      <c r="Z282">
        <f t="shared" si="23"/>
        <v>2025</v>
      </c>
      <c r="AA282">
        <f t="shared" si="24"/>
        <v>0</v>
      </c>
    </row>
    <row r="283" spans="1:27" ht="15" customHeight="1" x14ac:dyDescent="0.3">
      <c r="A283" t="s">
        <v>628</v>
      </c>
      <c r="B283" s="20">
        <v>45821</v>
      </c>
      <c r="C283" t="s">
        <v>546</v>
      </c>
      <c r="D283" t="s">
        <v>48</v>
      </c>
      <c r="E283" s="37">
        <v>34</v>
      </c>
      <c r="F283" t="s">
        <v>72</v>
      </c>
      <c r="G283" t="s">
        <v>73</v>
      </c>
      <c r="H283" t="s">
        <v>66</v>
      </c>
      <c r="I283" t="s">
        <v>60</v>
      </c>
      <c r="J283" t="s">
        <v>93</v>
      </c>
      <c r="K283" s="37">
        <v>4</v>
      </c>
      <c r="L283" t="s">
        <v>52</v>
      </c>
      <c r="M283" s="21">
        <v>139100</v>
      </c>
      <c r="N283" s="21">
        <v>1819428</v>
      </c>
      <c r="O283" s="21">
        <v>150228</v>
      </c>
      <c r="P283" s="37">
        <v>3</v>
      </c>
      <c r="Q283" t="s">
        <v>126</v>
      </c>
      <c r="R283" s="37">
        <v>1</v>
      </c>
      <c r="S283" s="37">
        <v>7</v>
      </c>
      <c r="T283" t="s">
        <v>62</v>
      </c>
      <c r="U283" t="s">
        <v>54</v>
      </c>
      <c r="V283" t="s">
        <v>45</v>
      </c>
      <c r="W283" t="str">
        <f t="shared" si="20"/>
        <v>31-40</v>
      </c>
      <c r="X283" t="str">
        <f t="shared" si="21"/>
        <v>0-5 yrs</v>
      </c>
      <c r="Y283" t="str">
        <f t="shared" si="22"/>
        <v>Jun</v>
      </c>
      <c r="Z283">
        <f t="shared" si="23"/>
        <v>2025</v>
      </c>
      <c r="AA283">
        <f t="shared" si="24"/>
        <v>1</v>
      </c>
    </row>
    <row r="284" spans="1:27" ht="15" customHeight="1" x14ac:dyDescent="0.3">
      <c r="A284" t="s">
        <v>629</v>
      </c>
      <c r="B284" s="20">
        <v>45790</v>
      </c>
      <c r="C284" t="s">
        <v>269</v>
      </c>
      <c r="D284" t="s">
        <v>35</v>
      </c>
      <c r="E284" s="37">
        <v>33</v>
      </c>
      <c r="F284" t="s">
        <v>86</v>
      </c>
      <c r="G284" t="s">
        <v>87</v>
      </c>
      <c r="H284" t="s">
        <v>38</v>
      </c>
      <c r="I284" t="s">
        <v>51</v>
      </c>
      <c r="J284" t="s">
        <v>190</v>
      </c>
      <c r="K284" s="37">
        <v>4</v>
      </c>
      <c r="L284" t="s">
        <v>52</v>
      </c>
      <c r="M284" s="21">
        <v>185100</v>
      </c>
      <c r="N284" s="21">
        <v>2554380</v>
      </c>
      <c r="O284" s="21">
        <v>333180</v>
      </c>
      <c r="P284" s="37">
        <v>5</v>
      </c>
      <c r="Q284" t="s">
        <v>42</v>
      </c>
      <c r="R284" s="37">
        <v>15</v>
      </c>
      <c r="S284" s="37">
        <v>22</v>
      </c>
      <c r="T284" t="s">
        <v>77</v>
      </c>
      <c r="U284" t="s">
        <v>63</v>
      </c>
      <c r="V284" t="s">
        <v>45</v>
      </c>
      <c r="W284" t="str">
        <f t="shared" si="20"/>
        <v>31-40</v>
      </c>
      <c r="X284" t="str">
        <f t="shared" si="21"/>
        <v>0-5 yrs</v>
      </c>
      <c r="Y284" t="str">
        <f t="shared" si="22"/>
        <v>May</v>
      </c>
      <c r="Z284">
        <f t="shared" si="23"/>
        <v>2025</v>
      </c>
      <c r="AA284">
        <f t="shared" si="24"/>
        <v>0</v>
      </c>
    </row>
    <row r="285" spans="1:27" ht="15" customHeight="1" x14ac:dyDescent="0.3">
      <c r="A285" t="s">
        <v>630</v>
      </c>
      <c r="B285" s="20">
        <v>45800</v>
      </c>
      <c r="C285" t="s">
        <v>571</v>
      </c>
      <c r="D285" t="s">
        <v>48</v>
      </c>
      <c r="E285" s="37">
        <v>34</v>
      </c>
      <c r="F285" t="s">
        <v>91</v>
      </c>
      <c r="G285" t="s">
        <v>92</v>
      </c>
      <c r="H285" t="s">
        <v>38</v>
      </c>
      <c r="I285" t="s">
        <v>39</v>
      </c>
      <c r="J285" t="s">
        <v>134</v>
      </c>
      <c r="K285" s="37">
        <v>23</v>
      </c>
      <c r="L285" t="s">
        <v>41</v>
      </c>
      <c r="M285" s="21">
        <v>40300</v>
      </c>
      <c r="N285" s="21">
        <v>556140</v>
      </c>
      <c r="O285" s="21">
        <v>72540</v>
      </c>
      <c r="P285" s="37">
        <v>3</v>
      </c>
      <c r="Q285" t="s">
        <v>42</v>
      </c>
      <c r="R285" s="37">
        <v>20</v>
      </c>
      <c r="S285" s="37">
        <v>5</v>
      </c>
      <c r="T285" t="s">
        <v>68</v>
      </c>
      <c r="U285" t="s">
        <v>44</v>
      </c>
      <c r="V285" t="s">
        <v>45</v>
      </c>
      <c r="W285" t="str">
        <f t="shared" si="20"/>
        <v>31-40</v>
      </c>
      <c r="X285" t="str">
        <f t="shared" si="21"/>
        <v>21-30 yrs</v>
      </c>
      <c r="Y285" t="str">
        <f t="shared" si="22"/>
        <v>May</v>
      </c>
      <c r="Z285">
        <f t="shared" si="23"/>
        <v>2025</v>
      </c>
      <c r="AA285">
        <f t="shared" si="24"/>
        <v>0</v>
      </c>
    </row>
    <row r="286" spans="1:27" ht="15" customHeight="1" x14ac:dyDescent="0.3">
      <c r="A286" t="s">
        <v>631</v>
      </c>
      <c r="B286" s="20">
        <v>45832</v>
      </c>
      <c r="C286" t="s">
        <v>528</v>
      </c>
      <c r="D286" t="s">
        <v>35</v>
      </c>
      <c r="E286" s="37">
        <v>48</v>
      </c>
      <c r="F286" t="s">
        <v>57</v>
      </c>
      <c r="G286" t="s">
        <v>58</v>
      </c>
      <c r="H286" t="s">
        <v>38</v>
      </c>
      <c r="I286" t="s">
        <v>39</v>
      </c>
      <c r="J286" t="s">
        <v>190</v>
      </c>
      <c r="K286" s="37">
        <v>30</v>
      </c>
      <c r="L286" t="s">
        <v>52</v>
      </c>
      <c r="M286" s="21">
        <v>37600</v>
      </c>
      <c r="N286" s="21">
        <v>473760</v>
      </c>
      <c r="O286" s="21">
        <v>22560</v>
      </c>
      <c r="P286" s="37">
        <v>2</v>
      </c>
      <c r="Q286" t="s">
        <v>42</v>
      </c>
      <c r="R286" s="37">
        <v>4</v>
      </c>
      <c r="S286" s="37">
        <v>32</v>
      </c>
      <c r="T286" t="s">
        <v>175</v>
      </c>
      <c r="U286" t="s">
        <v>63</v>
      </c>
      <c r="V286" t="s">
        <v>45</v>
      </c>
      <c r="W286" t="str">
        <f t="shared" si="20"/>
        <v>41-50</v>
      </c>
      <c r="X286" t="str">
        <f t="shared" si="21"/>
        <v>21-30 yrs</v>
      </c>
      <c r="Y286" t="str">
        <f t="shared" si="22"/>
        <v>Jun</v>
      </c>
      <c r="Z286">
        <f t="shared" si="23"/>
        <v>2025</v>
      </c>
      <c r="AA286">
        <f t="shared" si="24"/>
        <v>0</v>
      </c>
    </row>
    <row r="287" spans="1:27" ht="15" customHeight="1" x14ac:dyDescent="0.3">
      <c r="A287" t="s">
        <v>632</v>
      </c>
      <c r="B287" s="20">
        <v>45738</v>
      </c>
      <c r="C287" t="s">
        <v>598</v>
      </c>
      <c r="D287" t="s">
        <v>35</v>
      </c>
      <c r="E287" s="37">
        <v>55</v>
      </c>
      <c r="F287" t="s">
        <v>57</v>
      </c>
      <c r="G287" t="s">
        <v>58</v>
      </c>
      <c r="H287" t="s">
        <v>118</v>
      </c>
      <c r="I287" t="s">
        <v>75</v>
      </c>
      <c r="J287" t="s">
        <v>182</v>
      </c>
      <c r="K287" s="37">
        <v>9</v>
      </c>
      <c r="L287" t="s">
        <v>52</v>
      </c>
      <c r="M287" s="21">
        <v>88900</v>
      </c>
      <c r="N287" s="21">
        <v>1152144</v>
      </c>
      <c r="O287" s="21">
        <v>85344</v>
      </c>
      <c r="P287" s="37">
        <v>4</v>
      </c>
      <c r="Q287" t="s">
        <v>42</v>
      </c>
      <c r="R287" s="37">
        <v>18</v>
      </c>
      <c r="S287" s="37">
        <v>9</v>
      </c>
      <c r="T287" t="s">
        <v>175</v>
      </c>
      <c r="U287" t="s">
        <v>44</v>
      </c>
      <c r="V287" t="s">
        <v>69</v>
      </c>
      <c r="W287" t="str">
        <f t="shared" si="20"/>
        <v>51-58</v>
      </c>
      <c r="X287" t="str">
        <f t="shared" si="21"/>
        <v>6-10 yrs</v>
      </c>
      <c r="Y287" t="str">
        <f t="shared" si="22"/>
        <v>Mar</v>
      </c>
      <c r="Z287">
        <f t="shared" si="23"/>
        <v>2025</v>
      </c>
      <c r="AA287">
        <f t="shared" si="24"/>
        <v>0</v>
      </c>
    </row>
    <row r="288" spans="1:27" ht="15" customHeight="1" x14ac:dyDescent="0.3">
      <c r="A288" t="s">
        <v>633</v>
      </c>
      <c r="B288" s="20">
        <v>45703</v>
      </c>
      <c r="C288" t="s">
        <v>634</v>
      </c>
      <c r="D288" t="s">
        <v>35</v>
      </c>
      <c r="E288" s="37">
        <v>52</v>
      </c>
      <c r="F288" t="s">
        <v>86</v>
      </c>
      <c r="G288" t="s">
        <v>87</v>
      </c>
      <c r="H288" t="s">
        <v>38</v>
      </c>
      <c r="I288" t="s">
        <v>82</v>
      </c>
      <c r="J288" t="s">
        <v>110</v>
      </c>
      <c r="K288" s="37">
        <v>1</v>
      </c>
      <c r="L288" t="s">
        <v>52</v>
      </c>
      <c r="M288" s="21">
        <v>56300</v>
      </c>
      <c r="N288" s="21">
        <v>797208</v>
      </c>
      <c r="O288" s="21">
        <v>121608</v>
      </c>
      <c r="P288" s="37">
        <v>3</v>
      </c>
      <c r="Q288" t="s">
        <v>42</v>
      </c>
      <c r="R288" s="37">
        <v>1</v>
      </c>
      <c r="S288" s="37">
        <v>40</v>
      </c>
      <c r="T288" t="s">
        <v>53</v>
      </c>
      <c r="U288" t="s">
        <v>63</v>
      </c>
      <c r="V288" t="s">
        <v>69</v>
      </c>
      <c r="W288" t="str">
        <f t="shared" si="20"/>
        <v>51-58</v>
      </c>
      <c r="X288" t="str">
        <f t="shared" si="21"/>
        <v>0-5 yrs</v>
      </c>
      <c r="Y288" t="str">
        <f t="shared" si="22"/>
        <v>Feb</v>
      </c>
      <c r="Z288">
        <f t="shared" si="23"/>
        <v>2025</v>
      </c>
      <c r="AA288">
        <f t="shared" si="24"/>
        <v>0</v>
      </c>
    </row>
    <row r="289" spans="1:27" ht="15" customHeight="1" x14ac:dyDescent="0.3">
      <c r="A289" t="s">
        <v>635</v>
      </c>
      <c r="B289" s="20">
        <v>45904</v>
      </c>
      <c r="C289" t="s">
        <v>282</v>
      </c>
      <c r="D289" t="s">
        <v>35</v>
      </c>
      <c r="E289" s="37">
        <v>26</v>
      </c>
      <c r="F289" t="s">
        <v>86</v>
      </c>
      <c r="G289" t="s">
        <v>87</v>
      </c>
      <c r="H289" t="s">
        <v>66</v>
      </c>
      <c r="I289" t="s">
        <v>39</v>
      </c>
      <c r="J289" t="s">
        <v>93</v>
      </c>
      <c r="K289" s="37">
        <v>16</v>
      </c>
      <c r="L289" t="s">
        <v>52</v>
      </c>
      <c r="M289" s="21">
        <v>35100</v>
      </c>
      <c r="N289" s="21">
        <v>480168</v>
      </c>
      <c r="O289" s="21">
        <v>58968</v>
      </c>
      <c r="P289" s="37">
        <v>5</v>
      </c>
      <c r="Q289" t="s">
        <v>126</v>
      </c>
      <c r="R289" s="37">
        <v>16</v>
      </c>
      <c r="S289" s="37">
        <v>37</v>
      </c>
      <c r="T289" t="s">
        <v>94</v>
      </c>
      <c r="U289" t="s">
        <v>44</v>
      </c>
      <c r="V289" t="s">
        <v>45</v>
      </c>
      <c r="W289" t="str">
        <f t="shared" si="20"/>
        <v>22-30</v>
      </c>
      <c r="X289" t="str">
        <f t="shared" si="21"/>
        <v>11-20 yrs</v>
      </c>
      <c r="Y289" t="str">
        <f t="shared" si="22"/>
        <v>Sep</v>
      </c>
      <c r="Z289">
        <f t="shared" si="23"/>
        <v>2025</v>
      </c>
      <c r="AA289">
        <f t="shared" si="24"/>
        <v>1</v>
      </c>
    </row>
    <row r="290" spans="1:27" ht="15" customHeight="1" x14ac:dyDescent="0.3">
      <c r="A290" t="s">
        <v>636</v>
      </c>
      <c r="B290" s="20">
        <v>45750</v>
      </c>
      <c r="C290" t="s">
        <v>637</v>
      </c>
      <c r="D290" t="s">
        <v>35</v>
      </c>
      <c r="E290" s="37">
        <v>45</v>
      </c>
      <c r="F290" t="s">
        <v>72</v>
      </c>
      <c r="G290" t="s">
        <v>73</v>
      </c>
      <c r="H290" t="s">
        <v>59</v>
      </c>
      <c r="I290" t="s">
        <v>39</v>
      </c>
      <c r="J290" t="s">
        <v>61</v>
      </c>
      <c r="K290" s="37">
        <v>10</v>
      </c>
      <c r="L290" t="s">
        <v>52</v>
      </c>
      <c r="M290" s="21">
        <v>39000</v>
      </c>
      <c r="N290" s="21">
        <v>542880</v>
      </c>
      <c r="O290" s="21">
        <v>74880</v>
      </c>
      <c r="P290" s="37">
        <v>4</v>
      </c>
      <c r="Q290" t="s">
        <v>42</v>
      </c>
      <c r="R290" s="37">
        <v>14</v>
      </c>
      <c r="S290" s="37">
        <v>26</v>
      </c>
      <c r="T290" t="s">
        <v>53</v>
      </c>
      <c r="U290" t="s">
        <v>54</v>
      </c>
      <c r="V290" t="s">
        <v>69</v>
      </c>
      <c r="W290" t="str">
        <f t="shared" si="20"/>
        <v>41-50</v>
      </c>
      <c r="X290" t="str">
        <f t="shared" si="21"/>
        <v>6-10 yrs</v>
      </c>
      <c r="Y290" t="str">
        <f t="shared" si="22"/>
        <v>Apr</v>
      </c>
      <c r="Z290">
        <f t="shared" si="23"/>
        <v>2025</v>
      </c>
      <c r="AA290">
        <f t="shared" si="24"/>
        <v>0</v>
      </c>
    </row>
    <row r="291" spans="1:27" ht="15" customHeight="1" x14ac:dyDescent="0.3">
      <c r="A291" t="s">
        <v>638</v>
      </c>
      <c r="B291" s="20">
        <v>45702</v>
      </c>
      <c r="C291" t="s">
        <v>352</v>
      </c>
      <c r="D291" t="s">
        <v>48</v>
      </c>
      <c r="E291" s="37">
        <v>33</v>
      </c>
      <c r="F291" t="s">
        <v>57</v>
      </c>
      <c r="G291" t="s">
        <v>58</v>
      </c>
      <c r="H291" t="s">
        <v>38</v>
      </c>
      <c r="I291" t="s">
        <v>75</v>
      </c>
      <c r="J291" t="s">
        <v>110</v>
      </c>
      <c r="K291" s="37">
        <v>30</v>
      </c>
      <c r="L291" t="s">
        <v>52</v>
      </c>
      <c r="M291" s="21">
        <v>77600</v>
      </c>
      <c r="N291" s="21">
        <v>987072</v>
      </c>
      <c r="O291" s="21">
        <v>55872</v>
      </c>
      <c r="P291" s="37">
        <v>4</v>
      </c>
      <c r="Q291" t="s">
        <v>42</v>
      </c>
      <c r="R291" s="37">
        <v>20</v>
      </c>
      <c r="S291" s="37">
        <v>14</v>
      </c>
      <c r="T291" t="s">
        <v>68</v>
      </c>
      <c r="U291" t="s">
        <v>63</v>
      </c>
      <c r="V291" t="s">
        <v>45</v>
      </c>
      <c r="W291" t="str">
        <f t="shared" si="20"/>
        <v>31-40</v>
      </c>
      <c r="X291" t="str">
        <f t="shared" si="21"/>
        <v>21-30 yrs</v>
      </c>
      <c r="Y291" t="str">
        <f t="shared" si="22"/>
        <v>Feb</v>
      </c>
      <c r="Z291">
        <f t="shared" si="23"/>
        <v>2025</v>
      </c>
      <c r="AA291">
        <f t="shared" si="24"/>
        <v>0</v>
      </c>
    </row>
    <row r="292" spans="1:27" ht="15" customHeight="1" x14ac:dyDescent="0.3">
      <c r="A292" t="s">
        <v>639</v>
      </c>
      <c r="B292" s="20">
        <v>45785</v>
      </c>
      <c r="C292" t="s">
        <v>640</v>
      </c>
      <c r="D292" t="s">
        <v>35</v>
      </c>
      <c r="E292" s="37">
        <v>40</v>
      </c>
      <c r="F292" t="s">
        <v>57</v>
      </c>
      <c r="G292" t="s">
        <v>58</v>
      </c>
      <c r="H292" t="s">
        <v>38</v>
      </c>
      <c r="I292" t="s">
        <v>39</v>
      </c>
      <c r="J292" t="s">
        <v>40</v>
      </c>
      <c r="K292" s="37">
        <v>1</v>
      </c>
      <c r="L292" t="s">
        <v>41</v>
      </c>
      <c r="M292" s="21">
        <v>29800</v>
      </c>
      <c r="N292" s="21">
        <v>400512</v>
      </c>
      <c r="O292" s="21">
        <v>42912</v>
      </c>
      <c r="P292" s="37">
        <v>3</v>
      </c>
      <c r="Q292" t="s">
        <v>126</v>
      </c>
      <c r="R292" s="37">
        <v>9</v>
      </c>
      <c r="S292" s="37">
        <v>9</v>
      </c>
      <c r="T292" t="s">
        <v>43</v>
      </c>
      <c r="U292" t="s">
        <v>44</v>
      </c>
      <c r="V292" t="s">
        <v>45</v>
      </c>
      <c r="W292" t="str">
        <f t="shared" si="20"/>
        <v>31-40</v>
      </c>
      <c r="X292" t="str">
        <f t="shared" si="21"/>
        <v>0-5 yrs</v>
      </c>
      <c r="Y292" t="str">
        <f t="shared" si="22"/>
        <v>May</v>
      </c>
      <c r="Z292">
        <f t="shared" si="23"/>
        <v>2025</v>
      </c>
      <c r="AA292">
        <f t="shared" si="24"/>
        <v>1</v>
      </c>
    </row>
    <row r="293" spans="1:27" ht="15" customHeight="1" x14ac:dyDescent="0.3">
      <c r="A293" t="s">
        <v>641</v>
      </c>
      <c r="B293" s="20">
        <v>45668</v>
      </c>
      <c r="C293" t="s">
        <v>212</v>
      </c>
      <c r="D293" t="s">
        <v>35</v>
      </c>
      <c r="E293" s="37">
        <v>35</v>
      </c>
      <c r="F293" t="s">
        <v>36</v>
      </c>
      <c r="G293" t="s">
        <v>37</v>
      </c>
      <c r="H293" t="s">
        <v>74</v>
      </c>
      <c r="I293" t="s">
        <v>39</v>
      </c>
      <c r="J293" t="s">
        <v>152</v>
      </c>
      <c r="K293" s="37">
        <v>4</v>
      </c>
      <c r="L293" t="s">
        <v>52</v>
      </c>
      <c r="M293" s="21">
        <v>34900</v>
      </c>
      <c r="N293" s="21">
        <v>464868</v>
      </c>
      <c r="O293" s="21">
        <v>46068</v>
      </c>
      <c r="P293" s="37">
        <v>5</v>
      </c>
      <c r="Q293" t="s">
        <v>42</v>
      </c>
      <c r="R293" s="37">
        <v>18</v>
      </c>
      <c r="S293" s="37">
        <v>35</v>
      </c>
      <c r="T293" t="s">
        <v>62</v>
      </c>
      <c r="U293" t="s">
        <v>44</v>
      </c>
      <c r="V293" t="s">
        <v>45</v>
      </c>
      <c r="W293" t="str">
        <f t="shared" si="20"/>
        <v>31-40</v>
      </c>
      <c r="X293" t="str">
        <f t="shared" si="21"/>
        <v>0-5 yrs</v>
      </c>
      <c r="Y293" t="str">
        <f t="shared" si="22"/>
        <v>Jan</v>
      </c>
      <c r="Z293">
        <f t="shared" si="23"/>
        <v>2025</v>
      </c>
      <c r="AA293">
        <f t="shared" si="24"/>
        <v>0</v>
      </c>
    </row>
    <row r="294" spans="1:27" ht="15" customHeight="1" x14ac:dyDescent="0.3">
      <c r="A294" t="s">
        <v>642</v>
      </c>
      <c r="B294" s="20">
        <v>45717</v>
      </c>
      <c r="C294" t="s">
        <v>454</v>
      </c>
      <c r="D294" t="s">
        <v>35</v>
      </c>
      <c r="E294" s="37">
        <v>52</v>
      </c>
      <c r="F294" t="s">
        <v>97</v>
      </c>
      <c r="G294" t="s">
        <v>98</v>
      </c>
      <c r="H294" t="s">
        <v>118</v>
      </c>
      <c r="I294" t="s">
        <v>75</v>
      </c>
      <c r="J294" t="s">
        <v>182</v>
      </c>
      <c r="K294" s="37">
        <v>20</v>
      </c>
      <c r="L294" t="s">
        <v>120</v>
      </c>
      <c r="M294" s="21">
        <v>70400</v>
      </c>
      <c r="N294" s="21">
        <v>1005312</v>
      </c>
      <c r="O294" s="21">
        <v>160512</v>
      </c>
      <c r="P294" s="37">
        <v>2</v>
      </c>
      <c r="Q294" t="s">
        <v>42</v>
      </c>
      <c r="R294" s="37">
        <v>4</v>
      </c>
      <c r="S294" s="37">
        <v>20</v>
      </c>
      <c r="T294" t="s">
        <v>62</v>
      </c>
      <c r="U294" t="s">
        <v>44</v>
      </c>
      <c r="V294" t="s">
        <v>45</v>
      </c>
      <c r="W294" t="str">
        <f t="shared" si="20"/>
        <v>51-58</v>
      </c>
      <c r="X294" t="str">
        <f t="shared" si="21"/>
        <v>11-20 yrs</v>
      </c>
      <c r="Y294" t="str">
        <f t="shared" si="22"/>
        <v>Mar</v>
      </c>
      <c r="Z294">
        <f t="shared" si="23"/>
        <v>2025</v>
      </c>
      <c r="AA294">
        <f t="shared" si="24"/>
        <v>0</v>
      </c>
    </row>
    <row r="295" spans="1:27" ht="15" customHeight="1" x14ac:dyDescent="0.3">
      <c r="A295" t="s">
        <v>643</v>
      </c>
      <c r="B295" s="20">
        <v>45847</v>
      </c>
      <c r="C295" t="s">
        <v>338</v>
      </c>
      <c r="D295" t="s">
        <v>48</v>
      </c>
      <c r="E295" s="37">
        <v>42</v>
      </c>
      <c r="F295" t="s">
        <v>80</v>
      </c>
      <c r="G295" t="s">
        <v>81</v>
      </c>
      <c r="H295" t="s">
        <v>38</v>
      </c>
      <c r="I295" t="s">
        <v>39</v>
      </c>
      <c r="J295" t="s">
        <v>190</v>
      </c>
      <c r="K295" s="37">
        <v>5</v>
      </c>
      <c r="L295" t="s">
        <v>52</v>
      </c>
      <c r="M295" s="21">
        <v>30700</v>
      </c>
      <c r="N295" s="21">
        <v>394188</v>
      </c>
      <c r="O295" s="21">
        <v>25788</v>
      </c>
      <c r="P295" s="37">
        <v>5</v>
      </c>
      <c r="Q295" t="s">
        <v>42</v>
      </c>
      <c r="R295" s="37">
        <v>15</v>
      </c>
      <c r="S295" s="37">
        <v>22</v>
      </c>
      <c r="T295" t="s">
        <v>43</v>
      </c>
      <c r="U295" t="s">
        <v>44</v>
      </c>
      <c r="V295" t="s">
        <v>45</v>
      </c>
      <c r="W295" t="str">
        <f t="shared" si="20"/>
        <v>41-50</v>
      </c>
      <c r="X295" t="str">
        <f t="shared" si="21"/>
        <v>0-5 yrs</v>
      </c>
      <c r="Y295" t="str">
        <f t="shared" si="22"/>
        <v>Jul</v>
      </c>
      <c r="Z295">
        <f t="shared" si="23"/>
        <v>2025</v>
      </c>
      <c r="AA295">
        <f t="shared" si="24"/>
        <v>0</v>
      </c>
    </row>
    <row r="296" spans="1:27" ht="15" customHeight="1" x14ac:dyDescent="0.3">
      <c r="A296" t="s">
        <v>644</v>
      </c>
      <c r="B296" s="20">
        <v>45855</v>
      </c>
      <c r="C296" t="s">
        <v>645</v>
      </c>
      <c r="D296" t="s">
        <v>35</v>
      </c>
      <c r="E296" s="37">
        <v>40</v>
      </c>
      <c r="F296" t="s">
        <v>72</v>
      </c>
      <c r="G296" t="s">
        <v>73</v>
      </c>
      <c r="H296" t="s">
        <v>38</v>
      </c>
      <c r="I296" t="s">
        <v>39</v>
      </c>
      <c r="J296" t="s">
        <v>134</v>
      </c>
      <c r="K296" s="37">
        <v>26</v>
      </c>
      <c r="L296" t="s">
        <v>52</v>
      </c>
      <c r="M296" s="21">
        <v>29900</v>
      </c>
      <c r="N296" s="21">
        <v>391092</v>
      </c>
      <c r="O296" s="21">
        <v>32292</v>
      </c>
      <c r="P296" s="37">
        <v>3</v>
      </c>
      <c r="Q296" t="s">
        <v>42</v>
      </c>
      <c r="R296" s="37">
        <v>16</v>
      </c>
      <c r="S296" s="37">
        <v>4</v>
      </c>
      <c r="T296" t="s">
        <v>94</v>
      </c>
      <c r="U296" t="s">
        <v>54</v>
      </c>
      <c r="V296" t="s">
        <v>45</v>
      </c>
      <c r="W296" t="str">
        <f t="shared" si="20"/>
        <v>31-40</v>
      </c>
      <c r="X296" t="str">
        <f t="shared" si="21"/>
        <v>21-30 yrs</v>
      </c>
      <c r="Y296" t="str">
        <f t="shared" si="22"/>
        <v>Jul</v>
      </c>
      <c r="Z296">
        <f t="shared" si="23"/>
        <v>2025</v>
      </c>
      <c r="AA296">
        <f t="shared" si="24"/>
        <v>0</v>
      </c>
    </row>
    <row r="297" spans="1:27" ht="15" customHeight="1" x14ac:dyDescent="0.3">
      <c r="A297" t="s">
        <v>646</v>
      </c>
      <c r="B297" s="20">
        <v>45739</v>
      </c>
      <c r="C297" t="s">
        <v>396</v>
      </c>
      <c r="D297" t="s">
        <v>48</v>
      </c>
      <c r="E297" s="37">
        <v>25</v>
      </c>
      <c r="F297" t="s">
        <v>97</v>
      </c>
      <c r="G297" t="s">
        <v>98</v>
      </c>
      <c r="H297" t="s">
        <v>38</v>
      </c>
      <c r="I297" t="s">
        <v>39</v>
      </c>
      <c r="J297" t="s">
        <v>110</v>
      </c>
      <c r="K297" s="37">
        <v>23</v>
      </c>
      <c r="L297" t="s">
        <v>52</v>
      </c>
      <c r="M297" s="21">
        <v>33500</v>
      </c>
      <c r="N297" s="21">
        <v>430140</v>
      </c>
      <c r="O297" s="21">
        <v>28140</v>
      </c>
      <c r="P297" s="37">
        <v>3</v>
      </c>
      <c r="Q297" t="s">
        <v>126</v>
      </c>
      <c r="R297" s="37">
        <v>18</v>
      </c>
      <c r="S297" s="37">
        <v>11</v>
      </c>
      <c r="T297" t="s">
        <v>62</v>
      </c>
      <c r="U297" t="s">
        <v>44</v>
      </c>
      <c r="V297" t="s">
        <v>45</v>
      </c>
      <c r="W297" t="str">
        <f t="shared" si="20"/>
        <v>22-30</v>
      </c>
      <c r="X297" t="str">
        <f t="shared" si="21"/>
        <v>21-30 yrs</v>
      </c>
      <c r="Y297" t="str">
        <f t="shared" si="22"/>
        <v>Mar</v>
      </c>
      <c r="Z297">
        <f t="shared" si="23"/>
        <v>2025</v>
      </c>
      <c r="AA297">
        <f t="shared" si="24"/>
        <v>1</v>
      </c>
    </row>
    <row r="298" spans="1:27" ht="15" customHeight="1" x14ac:dyDescent="0.3">
      <c r="A298" t="s">
        <v>647</v>
      </c>
      <c r="B298" s="20">
        <v>46009</v>
      </c>
      <c r="C298" t="s">
        <v>229</v>
      </c>
      <c r="D298" t="s">
        <v>35</v>
      </c>
      <c r="E298" s="37">
        <v>36</v>
      </c>
      <c r="F298" t="s">
        <v>72</v>
      </c>
      <c r="G298" t="s">
        <v>73</v>
      </c>
      <c r="H298" t="s">
        <v>66</v>
      </c>
      <c r="I298" t="s">
        <v>82</v>
      </c>
      <c r="J298" t="s">
        <v>170</v>
      </c>
      <c r="K298" s="37">
        <v>18</v>
      </c>
      <c r="L298" t="s">
        <v>52</v>
      </c>
      <c r="M298" s="21">
        <v>71600</v>
      </c>
      <c r="N298" s="21">
        <v>927936</v>
      </c>
      <c r="O298" s="21">
        <v>68736</v>
      </c>
      <c r="P298" s="37">
        <v>4</v>
      </c>
      <c r="Q298" t="s">
        <v>42</v>
      </c>
      <c r="R298" s="37">
        <v>6</v>
      </c>
      <c r="S298" s="37">
        <v>21</v>
      </c>
      <c r="T298" t="s">
        <v>62</v>
      </c>
      <c r="U298" t="s">
        <v>138</v>
      </c>
      <c r="V298" t="s">
        <v>69</v>
      </c>
      <c r="W298" t="str">
        <f t="shared" si="20"/>
        <v>31-40</v>
      </c>
      <c r="X298" t="str">
        <f t="shared" si="21"/>
        <v>11-20 yrs</v>
      </c>
      <c r="Y298" t="str">
        <f t="shared" si="22"/>
        <v>Dec</v>
      </c>
      <c r="Z298">
        <f t="shared" si="23"/>
        <v>2025</v>
      </c>
      <c r="AA298">
        <f t="shared" si="24"/>
        <v>0</v>
      </c>
    </row>
    <row r="299" spans="1:27" ht="15" customHeight="1" x14ac:dyDescent="0.3">
      <c r="A299" t="s">
        <v>648</v>
      </c>
      <c r="B299" s="20">
        <v>45754</v>
      </c>
      <c r="C299" t="s">
        <v>649</v>
      </c>
      <c r="D299" t="s">
        <v>48</v>
      </c>
      <c r="E299" s="37">
        <v>29</v>
      </c>
      <c r="F299" t="s">
        <v>97</v>
      </c>
      <c r="G299" t="s">
        <v>98</v>
      </c>
      <c r="H299" t="s">
        <v>118</v>
      </c>
      <c r="I299" t="s">
        <v>75</v>
      </c>
      <c r="J299" t="s">
        <v>137</v>
      </c>
      <c r="K299" s="37">
        <v>17</v>
      </c>
      <c r="L299" t="s">
        <v>52</v>
      </c>
      <c r="M299" s="21">
        <v>77100</v>
      </c>
      <c r="N299" s="21">
        <v>1054728</v>
      </c>
      <c r="O299" s="21">
        <v>129528</v>
      </c>
      <c r="P299" s="37">
        <v>4</v>
      </c>
      <c r="Q299" t="s">
        <v>126</v>
      </c>
      <c r="R299" s="37">
        <v>18</v>
      </c>
      <c r="S299" s="37">
        <v>34</v>
      </c>
      <c r="T299" t="s">
        <v>62</v>
      </c>
      <c r="U299" t="s">
        <v>44</v>
      </c>
      <c r="V299" t="s">
        <v>69</v>
      </c>
      <c r="W299" t="str">
        <f t="shared" si="20"/>
        <v>22-30</v>
      </c>
      <c r="X299" t="str">
        <f t="shared" si="21"/>
        <v>11-20 yrs</v>
      </c>
      <c r="Y299" t="str">
        <f t="shared" si="22"/>
        <v>Apr</v>
      </c>
      <c r="Z299">
        <f t="shared" si="23"/>
        <v>2025</v>
      </c>
      <c r="AA299">
        <f t="shared" si="24"/>
        <v>1</v>
      </c>
    </row>
    <row r="300" spans="1:27" ht="15" customHeight="1" x14ac:dyDescent="0.3">
      <c r="A300" t="s">
        <v>650</v>
      </c>
      <c r="B300" s="20">
        <v>45856</v>
      </c>
      <c r="C300" t="s">
        <v>651</v>
      </c>
      <c r="D300" t="s">
        <v>48</v>
      </c>
      <c r="E300" s="37">
        <v>35</v>
      </c>
      <c r="F300" t="s">
        <v>97</v>
      </c>
      <c r="G300" t="s">
        <v>98</v>
      </c>
      <c r="H300" t="s">
        <v>38</v>
      </c>
      <c r="I300" t="s">
        <v>39</v>
      </c>
      <c r="J300" t="s">
        <v>190</v>
      </c>
      <c r="K300" s="37">
        <v>5</v>
      </c>
      <c r="L300" t="s">
        <v>52</v>
      </c>
      <c r="M300" s="21">
        <v>41200</v>
      </c>
      <c r="N300" s="21">
        <v>529008</v>
      </c>
      <c r="O300" s="21">
        <v>34608</v>
      </c>
      <c r="P300" s="37">
        <v>4</v>
      </c>
      <c r="Q300" t="s">
        <v>126</v>
      </c>
      <c r="R300" s="37">
        <v>9</v>
      </c>
      <c r="S300" s="37">
        <v>4</v>
      </c>
      <c r="T300" t="s">
        <v>62</v>
      </c>
      <c r="U300" t="s">
        <v>44</v>
      </c>
      <c r="V300" t="s">
        <v>45</v>
      </c>
      <c r="W300" t="str">
        <f t="shared" si="20"/>
        <v>31-40</v>
      </c>
      <c r="X300" t="str">
        <f t="shared" si="21"/>
        <v>0-5 yrs</v>
      </c>
      <c r="Y300" t="str">
        <f t="shared" si="22"/>
        <v>Jul</v>
      </c>
      <c r="Z300">
        <f t="shared" si="23"/>
        <v>2025</v>
      </c>
      <c r="AA300">
        <f t="shared" si="24"/>
        <v>1</v>
      </c>
    </row>
    <row r="301" spans="1:27" ht="15" customHeight="1" x14ac:dyDescent="0.3">
      <c r="A301" t="s">
        <v>652</v>
      </c>
      <c r="B301" s="20">
        <v>45719</v>
      </c>
      <c r="C301" t="s">
        <v>653</v>
      </c>
      <c r="D301" t="s">
        <v>48</v>
      </c>
      <c r="E301" s="37">
        <v>38</v>
      </c>
      <c r="F301" t="s">
        <v>123</v>
      </c>
      <c r="G301" t="s">
        <v>124</v>
      </c>
      <c r="H301" t="s">
        <v>66</v>
      </c>
      <c r="I301" t="s">
        <v>39</v>
      </c>
      <c r="J301" t="s">
        <v>170</v>
      </c>
      <c r="K301" s="37">
        <v>27</v>
      </c>
      <c r="L301" t="s">
        <v>52</v>
      </c>
      <c r="M301" s="21">
        <v>42100</v>
      </c>
      <c r="N301" s="21">
        <v>530460</v>
      </c>
      <c r="O301" s="21">
        <v>25260</v>
      </c>
      <c r="P301" s="37">
        <v>4</v>
      </c>
      <c r="Q301" t="s">
        <v>42</v>
      </c>
      <c r="R301" s="37">
        <v>18</v>
      </c>
      <c r="S301" s="37">
        <v>33</v>
      </c>
      <c r="T301" t="s">
        <v>43</v>
      </c>
      <c r="U301" t="s">
        <v>138</v>
      </c>
      <c r="V301" t="s">
        <v>69</v>
      </c>
      <c r="W301" t="str">
        <f t="shared" si="20"/>
        <v>31-40</v>
      </c>
      <c r="X301" t="str">
        <f t="shared" si="21"/>
        <v>21-30 yrs</v>
      </c>
      <c r="Y301" t="str">
        <f t="shared" si="22"/>
        <v>Mar</v>
      </c>
      <c r="Z301">
        <f t="shared" si="23"/>
        <v>2025</v>
      </c>
      <c r="AA301">
        <f t="shared" si="24"/>
        <v>0</v>
      </c>
    </row>
    <row r="302" spans="1:27" ht="15" customHeight="1" x14ac:dyDescent="0.3">
      <c r="A302" t="s">
        <v>654</v>
      </c>
      <c r="B302" s="20">
        <v>45964</v>
      </c>
      <c r="C302" t="s">
        <v>655</v>
      </c>
      <c r="D302" t="s">
        <v>35</v>
      </c>
      <c r="E302" s="37">
        <v>24</v>
      </c>
      <c r="F302" t="s">
        <v>108</v>
      </c>
      <c r="G302" t="s">
        <v>109</v>
      </c>
      <c r="H302" t="s">
        <v>59</v>
      </c>
      <c r="I302" t="s">
        <v>82</v>
      </c>
      <c r="J302" t="s">
        <v>125</v>
      </c>
      <c r="K302" s="37">
        <v>9</v>
      </c>
      <c r="L302" t="s">
        <v>52</v>
      </c>
      <c r="M302" s="21">
        <v>47800</v>
      </c>
      <c r="N302" s="21">
        <v>619488</v>
      </c>
      <c r="O302" s="21">
        <v>45888</v>
      </c>
      <c r="P302" s="37">
        <v>3</v>
      </c>
      <c r="Q302" t="s">
        <v>42</v>
      </c>
      <c r="R302" s="37">
        <v>12</v>
      </c>
      <c r="S302" s="37">
        <v>18</v>
      </c>
      <c r="T302" t="s">
        <v>146</v>
      </c>
      <c r="U302" t="s">
        <v>44</v>
      </c>
      <c r="V302" t="s">
        <v>45</v>
      </c>
      <c r="W302" t="str">
        <f t="shared" si="20"/>
        <v>22-30</v>
      </c>
      <c r="X302" t="str">
        <f t="shared" si="21"/>
        <v>6-10 yrs</v>
      </c>
      <c r="Y302" t="str">
        <f t="shared" si="22"/>
        <v>Nov</v>
      </c>
      <c r="Z302">
        <f t="shared" si="23"/>
        <v>2025</v>
      </c>
      <c r="AA302">
        <f t="shared" si="24"/>
        <v>0</v>
      </c>
    </row>
    <row r="303" spans="1:27" ht="15" customHeight="1" x14ac:dyDescent="0.3">
      <c r="A303" t="s">
        <v>656</v>
      </c>
      <c r="B303" s="20">
        <v>46002</v>
      </c>
      <c r="C303" t="s">
        <v>657</v>
      </c>
      <c r="D303" t="s">
        <v>48</v>
      </c>
      <c r="E303" s="37">
        <v>56</v>
      </c>
      <c r="F303" t="s">
        <v>72</v>
      </c>
      <c r="G303" t="s">
        <v>73</v>
      </c>
      <c r="H303" t="s">
        <v>66</v>
      </c>
      <c r="I303" t="s">
        <v>75</v>
      </c>
      <c r="J303" t="s">
        <v>149</v>
      </c>
      <c r="K303" s="37">
        <v>13</v>
      </c>
      <c r="L303" t="s">
        <v>41</v>
      </c>
      <c r="M303" s="21">
        <v>97100</v>
      </c>
      <c r="N303" s="21">
        <v>1339980</v>
      </c>
      <c r="O303" s="21">
        <v>174780</v>
      </c>
      <c r="P303" s="37">
        <v>3</v>
      </c>
      <c r="Q303" t="s">
        <v>126</v>
      </c>
      <c r="R303" s="37">
        <v>8</v>
      </c>
      <c r="S303" s="37">
        <v>1</v>
      </c>
      <c r="T303" t="s">
        <v>175</v>
      </c>
      <c r="U303" t="s">
        <v>63</v>
      </c>
      <c r="V303" t="s">
        <v>69</v>
      </c>
      <c r="W303" t="str">
        <f t="shared" si="20"/>
        <v>51-58</v>
      </c>
      <c r="X303" t="str">
        <f t="shared" si="21"/>
        <v>11-20 yrs</v>
      </c>
      <c r="Y303" t="str">
        <f t="shared" si="22"/>
        <v>Dec</v>
      </c>
      <c r="Z303">
        <f t="shared" si="23"/>
        <v>2025</v>
      </c>
      <c r="AA303">
        <f t="shared" si="24"/>
        <v>1</v>
      </c>
    </row>
    <row r="304" spans="1:27" ht="15" customHeight="1" x14ac:dyDescent="0.3">
      <c r="A304" t="s">
        <v>658</v>
      </c>
      <c r="B304" s="20">
        <v>45719</v>
      </c>
      <c r="C304" t="s">
        <v>659</v>
      </c>
      <c r="D304" t="s">
        <v>48</v>
      </c>
      <c r="E304" s="37">
        <v>24</v>
      </c>
      <c r="F304" t="s">
        <v>80</v>
      </c>
      <c r="G304" t="s">
        <v>81</v>
      </c>
      <c r="H304" t="s">
        <v>74</v>
      </c>
      <c r="I304" t="s">
        <v>51</v>
      </c>
      <c r="J304" t="s">
        <v>76</v>
      </c>
      <c r="K304" s="37">
        <v>19</v>
      </c>
      <c r="L304" t="s">
        <v>41</v>
      </c>
      <c r="M304" s="21">
        <v>197500</v>
      </c>
      <c r="N304" s="21">
        <v>2535900</v>
      </c>
      <c r="O304" s="21">
        <v>165900</v>
      </c>
      <c r="P304" s="37">
        <v>4</v>
      </c>
      <c r="Q304" t="s">
        <v>42</v>
      </c>
      <c r="R304" s="37">
        <v>9</v>
      </c>
      <c r="S304" s="37">
        <v>32</v>
      </c>
      <c r="T304" t="s">
        <v>175</v>
      </c>
      <c r="U304" t="s">
        <v>63</v>
      </c>
      <c r="V304" t="s">
        <v>45</v>
      </c>
      <c r="W304" t="str">
        <f t="shared" si="20"/>
        <v>22-30</v>
      </c>
      <c r="X304" t="str">
        <f t="shared" si="21"/>
        <v>11-20 yrs</v>
      </c>
      <c r="Y304" t="str">
        <f t="shared" si="22"/>
        <v>Mar</v>
      </c>
      <c r="Z304">
        <f t="shared" si="23"/>
        <v>2025</v>
      </c>
      <c r="AA304">
        <f t="shared" si="24"/>
        <v>0</v>
      </c>
    </row>
    <row r="305" spans="1:27" ht="15" customHeight="1" x14ac:dyDescent="0.3">
      <c r="A305" t="s">
        <v>660</v>
      </c>
      <c r="B305" s="20">
        <v>45967</v>
      </c>
      <c r="C305" t="s">
        <v>272</v>
      </c>
      <c r="D305" t="s">
        <v>35</v>
      </c>
      <c r="E305" s="37">
        <v>31</v>
      </c>
      <c r="F305" t="s">
        <v>49</v>
      </c>
      <c r="G305" t="s">
        <v>50</v>
      </c>
      <c r="H305" t="s">
        <v>74</v>
      </c>
      <c r="I305" t="s">
        <v>82</v>
      </c>
      <c r="J305" t="s">
        <v>83</v>
      </c>
      <c r="K305" s="37">
        <v>12</v>
      </c>
      <c r="L305" t="s">
        <v>52</v>
      </c>
      <c r="M305" s="21">
        <v>57800</v>
      </c>
      <c r="N305" s="21">
        <v>749088</v>
      </c>
      <c r="O305" s="21">
        <v>55488</v>
      </c>
      <c r="P305" s="37">
        <v>4</v>
      </c>
      <c r="Q305" t="s">
        <v>42</v>
      </c>
      <c r="R305" s="37">
        <v>17</v>
      </c>
      <c r="S305" s="37">
        <v>15</v>
      </c>
      <c r="T305" t="s">
        <v>175</v>
      </c>
      <c r="U305" t="s">
        <v>63</v>
      </c>
      <c r="V305" t="s">
        <v>69</v>
      </c>
      <c r="W305" t="str">
        <f t="shared" si="20"/>
        <v>31-40</v>
      </c>
      <c r="X305" t="str">
        <f t="shared" si="21"/>
        <v>11-20 yrs</v>
      </c>
      <c r="Y305" t="str">
        <f t="shared" si="22"/>
        <v>Nov</v>
      </c>
      <c r="Z305">
        <f t="shared" si="23"/>
        <v>2025</v>
      </c>
      <c r="AA305">
        <f t="shared" si="24"/>
        <v>0</v>
      </c>
    </row>
    <row r="306" spans="1:27" ht="15" customHeight="1" x14ac:dyDescent="0.3">
      <c r="A306" t="s">
        <v>661</v>
      </c>
      <c r="B306" s="20">
        <v>45945</v>
      </c>
      <c r="C306" t="s">
        <v>662</v>
      </c>
      <c r="D306" t="s">
        <v>48</v>
      </c>
      <c r="E306" s="37">
        <v>23</v>
      </c>
      <c r="F306" t="s">
        <v>97</v>
      </c>
      <c r="G306" t="s">
        <v>98</v>
      </c>
      <c r="H306" t="s">
        <v>59</v>
      </c>
      <c r="I306" t="s">
        <v>82</v>
      </c>
      <c r="J306" t="s">
        <v>104</v>
      </c>
      <c r="K306" s="37">
        <v>28</v>
      </c>
      <c r="L306" t="s">
        <v>52</v>
      </c>
      <c r="M306" s="21">
        <v>58400</v>
      </c>
      <c r="N306" s="21">
        <v>763872</v>
      </c>
      <c r="O306" s="21">
        <v>63072</v>
      </c>
      <c r="P306" s="37">
        <v>4</v>
      </c>
      <c r="Q306" t="s">
        <v>42</v>
      </c>
      <c r="R306" s="37">
        <v>17</v>
      </c>
      <c r="S306" s="37">
        <v>37</v>
      </c>
      <c r="T306" t="s">
        <v>43</v>
      </c>
      <c r="U306" t="s">
        <v>44</v>
      </c>
      <c r="V306" t="s">
        <v>69</v>
      </c>
      <c r="W306" t="str">
        <f t="shared" si="20"/>
        <v>22-30</v>
      </c>
      <c r="X306" t="str">
        <f t="shared" si="21"/>
        <v>21-30 yrs</v>
      </c>
      <c r="Y306" t="str">
        <f t="shared" si="22"/>
        <v>Oct</v>
      </c>
      <c r="Z306">
        <f t="shared" si="23"/>
        <v>2025</v>
      </c>
      <c r="AA306">
        <f t="shared" si="24"/>
        <v>0</v>
      </c>
    </row>
    <row r="307" spans="1:27" ht="15" customHeight="1" x14ac:dyDescent="0.3">
      <c r="A307" t="s">
        <v>663</v>
      </c>
      <c r="B307" s="20">
        <v>45943</v>
      </c>
      <c r="C307" t="s">
        <v>282</v>
      </c>
      <c r="D307" t="s">
        <v>35</v>
      </c>
      <c r="E307" s="37">
        <v>39</v>
      </c>
      <c r="F307" t="s">
        <v>57</v>
      </c>
      <c r="G307" t="s">
        <v>58</v>
      </c>
      <c r="H307" t="s">
        <v>38</v>
      </c>
      <c r="I307" t="s">
        <v>39</v>
      </c>
      <c r="J307" t="s">
        <v>40</v>
      </c>
      <c r="K307" s="37">
        <v>1</v>
      </c>
      <c r="L307" t="s">
        <v>41</v>
      </c>
      <c r="M307" s="21">
        <v>37100</v>
      </c>
      <c r="N307" s="21">
        <v>498624</v>
      </c>
      <c r="O307" s="21">
        <v>53424</v>
      </c>
      <c r="P307" s="37">
        <v>2</v>
      </c>
      <c r="Q307" t="s">
        <v>42</v>
      </c>
      <c r="R307" s="37">
        <v>20</v>
      </c>
      <c r="S307" s="37">
        <v>38</v>
      </c>
      <c r="T307" t="s">
        <v>53</v>
      </c>
      <c r="U307" t="s">
        <v>63</v>
      </c>
      <c r="V307" t="s">
        <v>69</v>
      </c>
      <c r="W307" t="str">
        <f t="shared" si="20"/>
        <v>31-40</v>
      </c>
      <c r="X307" t="str">
        <f t="shared" si="21"/>
        <v>0-5 yrs</v>
      </c>
      <c r="Y307" t="str">
        <f t="shared" si="22"/>
        <v>Oct</v>
      </c>
      <c r="Z307">
        <f t="shared" si="23"/>
        <v>2025</v>
      </c>
      <c r="AA307">
        <f t="shared" si="24"/>
        <v>0</v>
      </c>
    </row>
    <row r="308" spans="1:27" ht="15" customHeight="1" x14ac:dyDescent="0.3">
      <c r="A308" t="s">
        <v>664</v>
      </c>
      <c r="B308" s="20">
        <v>45663</v>
      </c>
      <c r="C308" t="s">
        <v>665</v>
      </c>
      <c r="D308" t="s">
        <v>35</v>
      </c>
      <c r="E308" s="37">
        <v>26</v>
      </c>
      <c r="F308" t="s">
        <v>57</v>
      </c>
      <c r="G308" t="s">
        <v>58</v>
      </c>
      <c r="H308" t="s">
        <v>74</v>
      </c>
      <c r="I308" t="s">
        <v>51</v>
      </c>
      <c r="J308" t="s">
        <v>367</v>
      </c>
      <c r="K308" s="37">
        <v>15</v>
      </c>
      <c r="L308" t="s">
        <v>52</v>
      </c>
      <c r="M308" s="21">
        <v>259500</v>
      </c>
      <c r="N308" s="21">
        <v>3394260</v>
      </c>
      <c r="O308" s="21">
        <v>280260</v>
      </c>
      <c r="P308" s="37">
        <v>4</v>
      </c>
      <c r="Q308" t="s">
        <v>42</v>
      </c>
      <c r="R308" s="37">
        <v>3</v>
      </c>
      <c r="S308" s="37">
        <v>2</v>
      </c>
      <c r="T308" t="s">
        <v>77</v>
      </c>
      <c r="U308" t="s">
        <v>44</v>
      </c>
      <c r="V308" t="s">
        <v>45</v>
      </c>
      <c r="W308" t="str">
        <f t="shared" si="20"/>
        <v>22-30</v>
      </c>
      <c r="X308" t="str">
        <f t="shared" si="21"/>
        <v>11-20 yrs</v>
      </c>
      <c r="Y308" t="str">
        <f t="shared" si="22"/>
        <v>Jan</v>
      </c>
      <c r="Z308">
        <f t="shared" si="23"/>
        <v>2025</v>
      </c>
      <c r="AA308">
        <f t="shared" si="24"/>
        <v>0</v>
      </c>
    </row>
    <row r="309" spans="1:27" ht="15" customHeight="1" x14ac:dyDescent="0.3">
      <c r="A309" t="s">
        <v>666</v>
      </c>
      <c r="B309" s="20">
        <v>45700</v>
      </c>
      <c r="C309" t="s">
        <v>348</v>
      </c>
      <c r="D309" t="s">
        <v>48</v>
      </c>
      <c r="E309" s="37">
        <v>52</v>
      </c>
      <c r="F309" t="s">
        <v>97</v>
      </c>
      <c r="G309" t="s">
        <v>98</v>
      </c>
      <c r="H309" t="s">
        <v>118</v>
      </c>
      <c r="I309" t="s">
        <v>39</v>
      </c>
      <c r="J309" t="s">
        <v>182</v>
      </c>
      <c r="K309" s="37">
        <v>14</v>
      </c>
      <c r="L309" t="s">
        <v>52</v>
      </c>
      <c r="M309" s="21">
        <v>36800</v>
      </c>
      <c r="N309" s="21">
        <v>472512</v>
      </c>
      <c r="O309" s="21">
        <v>30912</v>
      </c>
      <c r="P309" s="37">
        <v>4</v>
      </c>
      <c r="Q309" t="s">
        <v>42</v>
      </c>
      <c r="R309" s="37">
        <v>10</v>
      </c>
      <c r="S309" s="37">
        <v>37</v>
      </c>
      <c r="T309" t="s">
        <v>53</v>
      </c>
      <c r="U309" t="s">
        <v>44</v>
      </c>
      <c r="V309" t="s">
        <v>69</v>
      </c>
      <c r="W309" t="str">
        <f t="shared" si="20"/>
        <v>51-58</v>
      </c>
      <c r="X309" t="str">
        <f t="shared" si="21"/>
        <v>11-20 yrs</v>
      </c>
      <c r="Y309" t="str">
        <f t="shared" si="22"/>
        <v>Feb</v>
      </c>
      <c r="Z309">
        <f t="shared" si="23"/>
        <v>2025</v>
      </c>
      <c r="AA309">
        <f t="shared" si="24"/>
        <v>0</v>
      </c>
    </row>
    <row r="310" spans="1:27" ht="15" customHeight="1" x14ac:dyDescent="0.3">
      <c r="A310" t="s">
        <v>667</v>
      </c>
      <c r="B310" s="20">
        <v>45820</v>
      </c>
      <c r="C310" t="s">
        <v>668</v>
      </c>
      <c r="D310" t="s">
        <v>48</v>
      </c>
      <c r="E310" s="37">
        <v>30</v>
      </c>
      <c r="F310" t="s">
        <v>86</v>
      </c>
      <c r="G310" t="s">
        <v>87</v>
      </c>
      <c r="H310" t="s">
        <v>66</v>
      </c>
      <c r="I310" t="s">
        <v>75</v>
      </c>
      <c r="J310" t="s">
        <v>93</v>
      </c>
      <c r="K310" s="37">
        <v>17</v>
      </c>
      <c r="L310" t="s">
        <v>52</v>
      </c>
      <c r="M310" s="21">
        <v>103600</v>
      </c>
      <c r="N310" s="21">
        <v>1317792</v>
      </c>
      <c r="O310" s="21">
        <v>74592</v>
      </c>
      <c r="P310" s="37">
        <v>5</v>
      </c>
      <c r="Q310" t="s">
        <v>42</v>
      </c>
      <c r="R310" s="37">
        <v>9</v>
      </c>
      <c r="S310" s="37">
        <v>4</v>
      </c>
      <c r="T310" t="s">
        <v>129</v>
      </c>
      <c r="U310" t="s">
        <v>63</v>
      </c>
      <c r="V310" t="s">
        <v>45</v>
      </c>
      <c r="W310" t="str">
        <f t="shared" si="20"/>
        <v>22-30</v>
      </c>
      <c r="X310" t="str">
        <f t="shared" si="21"/>
        <v>11-20 yrs</v>
      </c>
      <c r="Y310" t="str">
        <f t="shared" si="22"/>
        <v>Jun</v>
      </c>
      <c r="Z310">
        <f t="shared" si="23"/>
        <v>2025</v>
      </c>
      <c r="AA310">
        <f t="shared" si="24"/>
        <v>0</v>
      </c>
    </row>
    <row r="311" spans="1:27" ht="15" customHeight="1" x14ac:dyDescent="0.3">
      <c r="A311" t="s">
        <v>669</v>
      </c>
      <c r="B311" s="20">
        <v>45829</v>
      </c>
      <c r="C311" t="s">
        <v>670</v>
      </c>
      <c r="D311" t="s">
        <v>35</v>
      </c>
      <c r="E311" s="37">
        <v>37</v>
      </c>
      <c r="F311" t="s">
        <v>108</v>
      </c>
      <c r="G311" t="s">
        <v>109</v>
      </c>
      <c r="H311" t="s">
        <v>38</v>
      </c>
      <c r="I311" t="s">
        <v>39</v>
      </c>
      <c r="J311" t="s">
        <v>190</v>
      </c>
      <c r="K311" s="37">
        <v>23</v>
      </c>
      <c r="L311" t="s">
        <v>120</v>
      </c>
      <c r="M311" s="21">
        <v>36600</v>
      </c>
      <c r="N311" s="21">
        <v>518256</v>
      </c>
      <c r="O311" s="21">
        <v>79056</v>
      </c>
      <c r="P311" s="37">
        <v>4</v>
      </c>
      <c r="Q311" t="s">
        <v>42</v>
      </c>
      <c r="R311" s="37">
        <v>5</v>
      </c>
      <c r="S311" s="37">
        <v>24</v>
      </c>
      <c r="T311" t="s">
        <v>77</v>
      </c>
      <c r="U311" t="s">
        <v>44</v>
      </c>
      <c r="V311" t="s">
        <v>45</v>
      </c>
      <c r="W311" t="str">
        <f t="shared" si="20"/>
        <v>31-40</v>
      </c>
      <c r="X311" t="str">
        <f t="shared" si="21"/>
        <v>21-30 yrs</v>
      </c>
      <c r="Y311" t="str">
        <f t="shared" si="22"/>
        <v>Jun</v>
      </c>
      <c r="Z311">
        <f t="shared" si="23"/>
        <v>2025</v>
      </c>
      <c r="AA311">
        <f t="shared" si="24"/>
        <v>0</v>
      </c>
    </row>
    <row r="312" spans="1:27" ht="15" customHeight="1" x14ac:dyDescent="0.3">
      <c r="A312" t="s">
        <v>671</v>
      </c>
      <c r="B312" s="20">
        <v>45778</v>
      </c>
      <c r="C312" t="s">
        <v>672</v>
      </c>
      <c r="D312" t="s">
        <v>35</v>
      </c>
      <c r="E312" s="37">
        <v>52</v>
      </c>
      <c r="F312" t="s">
        <v>86</v>
      </c>
      <c r="G312" t="s">
        <v>87</v>
      </c>
      <c r="H312" t="s">
        <v>66</v>
      </c>
      <c r="I312" t="s">
        <v>82</v>
      </c>
      <c r="J312" t="s">
        <v>93</v>
      </c>
      <c r="K312" s="37">
        <v>9</v>
      </c>
      <c r="L312" t="s">
        <v>52</v>
      </c>
      <c r="M312" s="21">
        <v>58400</v>
      </c>
      <c r="N312" s="21">
        <v>756864</v>
      </c>
      <c r="O312" s="21">
        <v>56064</v>
      </c>
      <c r="P312" s="37">
        <v>3</v>
      </c>
      <c r="Q312" t="s">
        <v>126</v>
      </c>
      <c r="R312" s="37">
        <v>8</v>
      </c>
      <c r="S312" s="37">
        <v>39</v>
      </c>
      <c r="T312" t="s">
        <v>43</v>
      </c>
      <c r="U312" t="s">
        <v>44</v>
      </c>
      <c r="V312" t="s">
        <v>45</v>
      </c>
      <c r="W312" t="str">
        <f t="shared" si="20"/>
        <v>51-58</v>
      </c>
      <c r="X312" t="str">
        <f t="shared" si="21"/>
        <v>6-10 yrs</v>
      </c>
      <c r="Y312" t="str">
        <f t="shared" si="22"/>
        <v>May</v>
      </c>
      <c r="Z312">
        <f t="shared" si="23"/>
        <v>2025</v>
      </c>
      <c r="AA312">
        <f t="shared" si="24"/>
        <v>1</v>
      </c>
    </row>
    <row r="313" spans="1:27" ht="15" customHeight="1" x14ac:dyDescent="0.3">
      <c r="A313" t="s">
        <v>673</v>
      </c>
      <c r="B313" s="20">
        <v>45936</v>
      </c>
      <c r="C313" t="s">
        <v>674</v>
      </c>
      <c r="D313" t="s">
        <v>35</v>
      </c>
      <c r="E313" s="37">
        <v>49</v>
      </c>
      <c r="F313" t="s">
        <v>72</v>
      </c>
      <c r="G313" t="s">
        <v>73</v>
      </c>
      <c r="H313" t="s">
        <v>74</v>
      </c>
      <c r="I313" t="s">
        <v>75</v>
      </c>
      <c r="J313" t="s">
        <v>367</v>
      </c>
      <c r="K313" s="37">
        <v>3</v>
      </c>
      <c r="L313" t="s">
        <v>52</v>
      </c>
      <c r="M313" s="21">
        <v>103500</v>
      </c>
      <c r="N313" s="21">
        <v>1366200</v>
      </c>
      <c r="O313" s="21">
        <v>124200</v>
      </c>
      <c r="P313" s="37">
        <v>4</v>
      </c>
      <c r="Q313" t="s">
        <v>42</v>
      </c>
      <c r="R313" s="37">
        <v>9</v>
      </c>
      <c r="S313" s="37">
        <v>24</v>
      </c>
      <c r="T313" t="s">
        <v>43</v>
      </c>
      <c r="U313" t="s">
        <v>44</v>
      </c>
      <c r="V313" t="s">
        <v>45</v>
      </c>
      <c r="W313" t="str">
        <f t="shared" si="20"/>
        <v>41-50</v>
      </c>
      <c r="X313" t="str">
        <f t="shared" si="21"/>
        <v>0-5 yrs</v>
      </c>
      <c r="Y313" t="str">
        <f t="shared" si="22"/>
        <v>Oct</v>
      </c>
      <c r="Z313">
        <f t="shared" si="23"/>
        <v>2025</v>
      </c>
      <c r="AA313">
        <f t="shared" si="24"/>
        <v>0</v>
      </c>
    </row>
    <row r="314" spans="1:27" ht="15" customHeight="1" x14ac:dyDescent="0.3">
      <c r="A314" t="s">
        <v>675</v>
      </c>
      <c r="B314" s="20">
        <v>45943</v>
      </c>
      <c r="C314" t="s">
        <v>676</v>
      </c>
      <c r="D314" t="s">
        <v>48</v>
      </c>
      <c r="E314" s="37">
        <v>33</v>
      </c>
      <c r="F314" t="s">
        <v>97</v>
      </c>
      <c r="G314" t="s">
        <v>98</v>
      </c>
      <c r="H314" t="s">
        <v>74</v>
      </c>
      <c r="I314" t="s">
        <v>60</v>
      </c>
      <c r="J314" t="s">
        <v>115</v>
      </c>
      <c r="K314" s="37">
        <v>0</v>
      </c>
      <c r="L314" t="s">
        <v>52</v>
      </c>
      <c r="M314" s="21">
        <v>143600</v>
      </c>
      <c r="N314" s="21">
        <v>1809360</v>
      </c>
      <c r="O314" s="21">
        <v>86160</v>
      </c>
      <c r="P314" s="37">
        <v>5</v>
      </c>
      <c r="Q314" t="s">
        <v>42</v>
      </c>
      <c r="R314" s="37">
        <v>2</v>
      </c>
      <c r="S314" s="37">
        <v>10</v>
      </c>
      <c r="T314" t="s">
        <v>77</v>
      </c>
      <c r="U314" t="s">
        <v>44</v>
      </c>
      <c r="V314" t="s">
        <v>45</v>
      </c>
      <c r="W314" t="str">
        <f t="shared" si="20"/>
        <v>31-40</v>
      </c>
      <c r="X314" t="str">
        <f t="shared" si="21"/>
        <v>0-5 yrs</v>
      </c>
      <c r="Y314" t="str">
        <f t="shared" si="22"/>
        <v>Oct</v>
      </c>
      <c r="Z314">
        <f t="shared" si="23"/>
        <v>2025</v>
      </c>
      <c r="AA314">
        <f t="shared" si="24"/>
        <v>0</v>
      </c>
    </row>
    <row r="315" spans="1:27" ht="15" customHeight="1" x14ac:dyDescent="0.3">
      <c r="A315" t="s">
        <v>677</v>
      </c>
      <c r="B315" s="20">
        <v>45690</v>
      </c>
      <c r="C315" t="s">
        <v>678</v>
      </c>
      <c r="D315" t="s">
        <v>35</v>
      </c>
      <c r="E315" s="37">
        <v>45</v>
      </c>
      <c r="F315" t="s">
        <v>123</v>
      </c>
      <c r="G315" t="s">
        <v>124</v>
      </c>
      <c r="H315" t="s">
        <v>118</v>
      </c>
      <c r="I315" t="s">
        <v>39</v>
      </c>
      <c r="J315" t="s">
        <v>250</v>
      </c>
      <c r="K315" s="37">
        <v>18</v>
      </c>
      <c r="L315" t="s">
        <v>52</v>
      </c>
      <c r="M315" s="21">
        <v>30300</v>
      </c>
      <c r="N315" s="21">
        <v>418139</v>
      </c>
      <c r="O315" s="21">
        <v>54540</v>
      </c>
      <c r="P315" s="37">
        <v>4</v>
      </c>
      <c r="Q315" t="s">
        <v>42</v>
      </c>
      <c r="R315" s="37">
        <v>18</v>
      </c>
      <c r="S315" s="37">
        <v>3</v>
      </c>
      <c r="T315" t="s">
        <v>146</v>
      </c>
      <c r="U315" t="s">
        <v>44</v>
      </c>
      <c r="V315" t="s">
        <v>45</v>
      </c>
      <c r="W315" t="str">
        <f t="shared" si="20"/>
        <v>41-50</v>
      </c>
      <c r="X315" t="str">
        <f t="shared" si="21"/>
        <v>11-20 yrs</v>
      </c>
      <c r="Y315" t="str">
        <f t="shared" si="22"/>
        <v>Feb</v>
      </c>
      <c r="Z315">
        <f t="shared" si="23"/>
        <v>2025</v>
      </c>
      <c r="AA315">
        <f t="shared" si="24"/>
        <v>0</v>
      </c>
    </row>
    <row r="316" spans="1:27" ht="15" customHeight="1" x14ac:dyDescent="0.3">
      <c r="A316" t="s">
        <v>679</v>
      </c>
      <c r="B316" s="20">
        <v>45812</v>
      </c>
      <c r="C316" t="s">
        <v>680</v>
      </c>
      <c r="D316" t="s">
        <v>35</v>
      </c>
      <c r="E316" s="37">
        <v>44</v>
      </c>
      <c r="F316" t="s">
        <v>57</v>
      </c>
      <c r="G316" t="s">
        <v>58</v>
      </c>
      <c r="H316" t="s">
        <v>38</v>
      </c>
      <c r="I316" t="s">
        <v>60</v>
      </c>
      <c r="J316" t="s">
        <v>99</v>
      </c>
      <c r="K316" s="37">
        <v>25</v>
      </c>
      <c r="L316" t="s">
        <v>52</v>
      </c>
      <c r="M316" s="21">
        <v>159700</v>
      </c>
      <c r="N316" s="21">
        <v>2069712</v>
      </c>
      <c r="O316" s="21">
        <v>153312</v>
      </c>
      <c r="P316" s="37">
        <v>4</v>
      </c>
      <c r="Q316" t="s">
        <v>42</v>
      </c>
      <c r="R316" s="37">
        <v>19</v>
      </c>
      <c r="S316" s="37">
        <v>35</v>
      </c>
      <c r="T316" t="s">
        <v>68</v>
      </c>
      <c r="U316" t="s">
        <v>63</v>
      </c>
      <c r="V316" t="s">
        <v>69</v>
      </c>
      <c r="W316" t="str">
        <f t="shared" si="20"/>
        <v>41-50</v>
      </c>
      <c r="X316" t="str">
        <f t="shared" si="21"/>
        <v>21-30 yrs</v>
      </c>
      <c r="Y316" t="str">
        <f t="shared" si="22"/>
        <v>Jun</v>
      </c>
      <c r="Z316">
        <f t="shared" si="23"/>
        <v>2025</v>
      </c>
      <c r="AA316">
        <f t="shared" si="24"/>
        <v>0</v>
      </c>
    </row>
    <row r="317" spans="1:27" ht="15" customHeight="1" x14ac:dyDescent="0.3">
      <c r="A317" t="s">
        <v>681</v>
      </c>
      <c r="B317" s="20">
        <v>45759</v>
      </c>
      <c r="C317" t="s">
        <v>114</v>
      </c>
      <c r="D317" t="s">
        <v>35</v>
      </c>
      <c r="E317" s="37">
        <v>22</v>
      </c>
      <c r="F317" t="s">
        <v>36</v>
      </c>
      <c r="G317" t="s">
        <v>37</v>
      </c>
      <c r="H317" t="s">
        <v>38</v>
      </c>
      <c r="I317" t="s">
        <v>39</v>
      </c>
      <c r="J317" t="s">
        <v>40</v>
      </c>
      <c r="K317" s="37">
        <v>12</v>
      </c>
      <c r="L317" t="s">
        <v>52</v>
      </c>
      <c r="M317" s="21">
        <v>31100</v>
      </c>
      <c r="N317" s="21">
        <v>403056</v>
      </c>
      <c r="O317" s="21">
        <v>29856</v>
      </c>
      <c r="P317" s="37">
        <v>5</v>
      </c>
      <c r="Q317" t="s">
        <v>42</v>
      </c>
      <c r="R317" s="37">
        <v>17</v>
      </c>
      <c r="S317" s="37">
        <v>15</v>
      </c>
      <c r="T317" t="s">
        <v>175</v>
      </c>
      <c r="U317" t="s">
        <v>44</v>
      </c>
      <c r="V317" t="s">
        <v>69</v>
      </c>
      <c r="W317" t="str">
        <f t="shared" si="20"/>
        <v>22-30</v>
      </c>
      <c r="X317" t="str">
        <f t="shared" si="21"/>
        <v>11-20 yrs</v>
      </c>
      <c r="Y317" t="str">
        <f t="shared" si="22"/>
        <v>Apr</v>
      </c>
      <c r="Z317">
        <f t="shared" si="23"/>
        <v>2025</v>
      </c>
      <c r="AA317">
        <f t="shared" si="24"/>
        <v>0</v>
      </c>
    </row>
    <row r="318" spans="1:27" ht="15" customHeight="1" x14ac:dyDescent="0.3">
      <c r="A318" t="s">
        <v>682</v>
      </c>
      <c r="B318" s="20">
        <v>45795</v>
      </c>
      <c r="C318" t="s">
        <v>302</v>
      </c>
      <c r="D318" t="s">
        <v>48</v>
      </c>
      <c r="E318" s="37">
        <v>37</v>
      </c>
      <c r="F318" t="s">
        <v>80</v>
      </c>
      <c r="G318" t="s">
        <v>81</v>
      </c>
      <c r="H318" t="s">
        <v>74</v>
      </c>
      <c r="I318" t="s">
        <v>51</v>
      </c>
      <c r="J318" t="s">
        <v>76</v>
      </c>
      <c r="K318" s="37">
        <v>1</v>
      </c>
      <c r="L318" t="s">
        <v>52</v>
      </c>
      <c r="M318" s="21">
        <v>253900</v>
      </c>
      <c r="N318" s="21">
        <v>3656160</v>
      </c>
      <c r="O318" s="21">
        <v>609360</v>
      </c>
      <c r="P318" s="37">
        <v>5</v>
      </c>
      <c r="Q318" t="s">
        <v>42</v>
      </c>
      <c r="R318" s="37">
        <v>14</v>
      </c>
      <c r="S318" s="37">
        <v>19</v>
      </c>
      <c r="T318" t="s">
        <v>62</v>
      </c>
      <c r="U318" t="s">
        <v>44</v>
      </c>
      <c r="V318" t="s">
        <v>45</v>
      </c>
      <c r="W318" t="str">
        <f t="shared" si="20"/>
        <v>31-40</v>
      </c>
      <c r="X318" t="str">
        <f t="shared" si="21"/>
        <v>0-5 yrs</v>
      </c>
      <c r="Y318" t="str">
        <f t="shared" si="22"/>
        <v>May</v>
      </c>
      <c r="Z318">
        <f t="shared" si="23"/>
        <v>2025</v>
      </c>
      <c r="AA318">
        <f t="shared" si="24"/>
        <v>0</v>
      </c>
    </row>
    <row r="319" spans="1:27" ht="15" customHeight="1" x14ac:dyDescent="0.3">
      <c r="A319" t="s">
        <v>683</v>
      </c>
      <c r="B319" s="20">
        <v>45702</v>
      </c>
      <c r="C319" t="s">
        <v>684</v>
      </c>
      <c r="D319" t="s">
        <v>35</v>
      </c>
      <c r="E319" s="37">
        <v>35</v>
      </c>
      <c r="F319" t="s">
        <v>57</v>
      </c>
      <c r="G319" t="s">
        <v>58</v>
      </c>
      <c r="H319" t="s">
        <v>38</v>
      </c>
      <c r="I319" t="s">
        <v>82</v>
      </c>
      <c r="J319" t="s">
        <v>134</v>
      </c>
      <c r="K319" s="37">
        <v>9</v>
      </c>
      <c r="L319" t="s">
        <v>52</v>
      </c>
      <c r="M319" s="21">
        <v>67400</v>
      </c>
      <c r="N319" s="21">
        <v>962472</v>
      </c>
      <c r="O319" s="21">
        <v>153672</v>
      </c>
      <c r="P319" s="37">
        <v>3</v>
      </c>
      <c r="Q319" t="s">
        <v>42</v>
      </c>
      <c r="R319" s="37">
        <v>3</v>
      </c>
      <c r="S319" s="37">
        <v>35</v>
      </c>
      <c r="T319" t="s">
        <v>62</v>
      </c>
      <c r="U319" t="s">
        <v>44</v>
      </c>
      <c r="V319" t="s">
        <v>45</v>
      </c>
      <c r="W319" t="str">
        <f t="shared" si="20"/>
        <v>31-40</v>
      </c>
      <c r="X319" t="str">
        <f t="shared" si="21"/>
        <v>6-10 yrs</v>
      </c>
      <c r="Y319" t="str">
        <f t="shared" si="22"/>
        <v>Feb</v>
      </c>
      <c r="Z319">
        <f t="shared" si="23"/>
        <v>2025</v>
      </c>
      <c r="AA319">
        <f t="shared" si="24"/>
        <v>0</v>
      </c>
    </row>
    <row r="320" spans="1:27" ht="15" customHeight="1" x14ac:dyDescent="0.3">
      <c r="A320" t="s">
        <v>685</v>
      </c>
      <c r="B320" s="20">
        <v>45925</v>
      </c>
      <c r="C320" t="s">
        <v>686</v>
      </c>
      <c r="D320" t="s">
        <v>35</v>
      </c>
      <c r="E320" s="37">
        <v>50</v>
      </c>
      <c r="F320" t="s">
        <v>123</v>
      </c>
      <c r="G320" t="s">
        <v>124</v>
      </c>
      <c r="H320" t="s">
        <v>59</v>
      </c>
      <c r="I320" t="s">
        <v>39</v>
      </c>
      <c r="J320" t="s">
        <v>125</v>
      </c>
      <c r="K320" s="37">
        <v>6</v>
      </c>
      <c r="L320" t="s">
        <v>52</v>
      </c>
      <c r="M320" s="21">
        <v>35700</v>
      </c>
      <c r="N320" s="21">
        <v>475524</v>
      </c>
      <c r="O320" s="21">
        <v>47124</v>
      </c>
      <c r="P320" s="37">
        <v>4</v>
      </c>
      <c r="Q320" t="s">
        <v>126</v>
      </c>
      <c r="R320" s="37">
        <v>12</v>
      </c>
      <c r="S320" s="37">
        <v>17</v>
      </c>
      <c r="T320" t="s">
        <v>129</v>
      </c>
      <c r="U320" t="s">
        <v>44</v>
      </c>
      <c r="V320" t="s">
        <v>45</v>
      </c>
      <c r="W320" t="str">
        <f t="shared" si="20"/>
        <v>41-50</v>
      </c>
      <c r="X320" t="str">
        <f t="shared" si="21"/>
        <v>6-10 yrs</v>
      </c>
      <c r="Y320" t="str">
        <f t="shared" si="22"/>
        <v>Sep</v>
      </c>
      <c r="Z320">
        <f t="shared" si="23"/>
        <v>2025</v>
      </c>
      <c r="AA320">
        <f t="shared" si="24"/>
        <v>1</v>
      </c>
    </row>
    <row r="321" spans="1:27" ht="15" customHeight="1" x14ac:dyDescent="0.3">
      <c r="A321" t="s">
        <v>687</v>
      </c>
      <c r="B321" s="20">
        <v>45926</v>
      </c>
      <c r="C321" t="s">
        <v>688</v>
      </c>
      <c r="D321" t="s">
        <v>35</v>
      </c>
      <c r="E321" s="37">
        <v>54</v>
      </c>
      <c r="F321" t="s">
        <v>123</v>
      </c>
      <c r="G321" t="s">
        <v>124</v>
      </c>
      <c r="H321" t="s">
        <v>118</v>
      </c>
      <c r="I321" t="s">
        <v>82</v>
      </c>
      <c r="J321" t="s">
        <v>137</v>
      </c>
      <c r="K321" s="37">
        <v>4</v>
      </c>
      <c r="L321" t="s">
        <v>52</v>
      </c>
      <c r="M321" s="21">
        <v>64800</v>
      </c>
      <c r="N321" s="21">
        <v>925344</v>
      </c>
      <c r="O321" s="21">
        <v>147744</v>
      </c>
      <c r="P321" s="37">
        <v>3</v>
      </c>
      <c r="Q321" t="s">
        <v>42</v>
      </c>
      <c r="R321" s="37">
        <v>17</v>
      </c>
      <c r="S321" s="37">
        <v>11</v>
      </c>
      <c r="T321" t="s">
        <v>105</v>
      </c>
      <c r="U321" t="s">
        <v>44</v>
      </c>
      <c r="V321" t="s">
        <v>69</v>
      </c>
      <c r="W321" t="str">
        <f t="shared" si="20"/>
        <v>51-58</v>
      </c>
      <c r="X321" t="str">
        <f t="shared" si="21"/>
        <v>0-5 yrs</v>
      </c>
      <c r="Y321" t="str">
        <f t="shared" si="22"/>
        <v>Sep</v>
      </c>
      <c r="Z321">
        <f t="shared" si="23"/>
        <v>2025</v>
      </c>
      <c r="AA321">
        <f t="shared" si="24"/>
        <v>0</v>
      </c>
    </row>
    <row r="322" spans="1:27" ht="15" customHeight="1" x14ac:dyDescent="0.3">
      <c r="A322" t="s">
        <v>689</v>
      </c>
      <c r="B322" s="20">
        <v>45942</v>
      </c>
      <c r="C322" t="s">
        <v>690</v>
      </c>
      <c r="D322" t="s">
        <v>35</v>
      </c>
      <c r="E322" s="37">
        <v>25</v>
      </c>
      <c r="F322" t="s">
        <v>91</v>
      </c>
      <c r="G322" t="s">
        <v>92</v>
      </c>
      <c r="H322" t="s">
        <v>74</v>
      </c>
      <c r="I322" t="s">
        <v>60</v>
      </c>
      <c r="J322" t="s">
        <v>83</v>
      </c>
      <c r="K322" s="37">
        <v>22</v>
      </c>
      <c r="L322" t="s">
        <v>52</v>
      </c>
      <c r="M322" s="21">
        <v>120300</v>
      </c>
      <c r="N322" s="21">
        <v>1544652</v>
      </c>
      <c r="O322" s="21">
        <v>101052</v>
      </c>
      <c r="P322" s="37">
        <v>4</v>
      </c>
      <c r="Q322" t="s">
        <v>42</v>
      </c>
      <c r="R322" s="37">
        <v>14</v>
      </c>
      <c r="S322" s="37">
        <v>1</v>
      </c>
      <c r="T322" t="s">
        <v>62</v>
      </c>
      <c r="U322" t="s">
        <v>44</v>
      </c>
      <c r="V322" t="s">
        <v>45</v>
      </c>
      <c r="W322" t="str">
        <f t="shared" ref="W322:W385" si="25">IF(E322&lt;=30,"22-30",IF(E322&lt;=40,"31-40",IF(E322&lt;=50,"41-50","51-58")))</f>
        <v>22-30</v>
      </c>
      <c r="X322" t="str">
        <f t="shared" ref="X322:X385" si="26">IF(K322&lt;=5,"0-5 yrs",IF(K322&lt;=10,"6-10 yrs",IF(K322&lt;=20,"11-20 yrs","21-30 yrs")))</f>
        <v>21-30 yrs</v>
      </c>
      <c r="Y322" t="str">
        <f t="shared" ref="Y322:Y385" si="27">TEXT(B322,"mmm")</f>
        <v>Oct</v>
      </c>
      <c r="Z322">
        <f t="shared" ref="Z322:Z385" si="28">YEAR(B322)</f>
        <v>2025</v>
      </c>
      <c r="AA322">
        <f t="shared" ref="AA322:AA385" si="29">IF(Q322="Yes",1,0)</f>
        <v>0</v>
      </c>
    </row>
    <row r="323" spans="1:27" ht="15" customHeight="1" x14ac:dyDescent="0.3">
      <c r="A323" t="s">
        <v>691</v>
      </c>
      <c r="B323" s="20">
        <v>45714</v>
      </c>
      <c r="C323" t="s">
        <v>692</v>
      </c>
      <c r="D323" t="s">
        <v>48</v>
      </c>
      <c r="E323" s="37">
        <v>58</v>
      </c>
      <c r="F323" t="s">
        <v>57</v>
      </c>
      <c r="G323" t="s">
        <v>58</v>
      </c>
      <c r="H323" t="s">
        <v>38</v>
      </c>
      <c r="I323" t="s">
        <v>82</v>
      </c>
      <c r="J323" t="s">
        <v>40</v>
      </c>
      <c r="K323" s="37">
        <v>12</v>
      </c>
      <c r="L323" t="s">
        <v>52</v>
      </c>
      <c r="M323" s="21">
        <v>60700</v>
      </c>
      <c r="N323" s="21">
        <v>859512</v>
      </c>
      <c r="O323" s="21">
        <v>131112</v>
      </c>
      <c r="P323" s="37">
        <v>3</v>
      </c>
      <c r="Q323" t="s">
        <v>42</v>
      </c>
      <c r="R323" s="37">
        <v>16</v>
      </c>
      <c r="S323" s="37">
        <v>11</v>
      </c>
      <c r="T323" t="s">
        <v>68</v>
      </c>
      <c r="U323" t="s">
        <v>63</v>
      </c>
      <c r="V323" t="s">
        <v>69</v>
      </c>
      <c r="W323" t="str">
        <f t="shared" si="25"/>
        <v>51-58</v>
      </c>
      <c r="X323" t="str">
        <f t="shared" si="26"/>
        <v>11-20 yrs</v>
      </c>
      <c r="Y323" t="str">
        <f t="shared" si="27"/>
        <v>Feb</v>
      </c>
      <c r="Z323">
        <f t="shared" si="28"/>
        <v>2025</v>
      </c>
      <c r="AA323">
        <f t="shared" si="29"/>
        <v>0</v>
      </c>
    </row>
    <row r="324" spans="1:27" ht="15" customHeight="1" x14ac:dyDescent="0.3">
      <c r="A324" t="s">
        <v>693</v>
      </c>
      <c r="B324" s="20">
        <v>45957</v>
      </c>
      <c r="C324" t="s">
        <v>478</v>
      </c>
      <c r="D324" t="s">
        <v>35</v>
      </c>
      <c r="E324" s="37">
        <v>43</v>
      </c>
      <c r="F324" t="s">
        <v>36</v>
      </c>
      <c r="G324" t="s">
        <v>37</v>
      </c>
      <c r="H324" t="s">
        <v>38</v>
      </c>
      <c r="I324" t="s">
        <v>39</v>
      </c>
      <c r="J324" t="s">
        <v>190</v>
      </c>
      <c r="K324" s="37">
        <v>27</v>
      </c>
      <c r="L324" t="s">
        <v>52</v>
      </c>
      <c r="M324" s="21">
        <v>42000</v>
      </c>
      <c r="N324" s="21">
        <v>599760</v>
      </c>
      <c r="O324" s="21">
        <v>95760</v>
      </c>
      <c r="P324" s="37">
        <v>3</v>
      </c>
      <c r="Q324" t="s">
        <v>42</v>
      </c>
      <c r="R324" s="37">
        <v>18</v>
      </c>
      <c r="S324" s="37">
        <v>4</v>
      </c>
      <c r="T324" t="s">
        <v>77</v>
      </c>
      <c r="U324" t="s">
        <v>63</v>
      </c>
      <c r="V324" t="s">
        <v>45</v>
      </c>
      <c r="W324" t="str">
        <f t="shared" si="25"/>
        <v>41-50</v>
      </c>
      <c r="X324" t="str">
        <f t="shared" si="26"/>
        <v>21-30 yrs</v>
      </c>
      <c r="Y324" t="str">
        <f t="shared" si="27"/>
        <v>Oct</v>
      </c>
      <c r="Z324">
        <f t="shared" si="28"/>
        <v>2025</v>
      </c>
      <c r="AA324">
        <f t="shared" si="29"/>
        <v>0</v>
      </c>
    </row>
    <row r="325" spans="1:27" ht="15" customHeight="1" x14ac:dyDescent="0.3">
      <c r="A325" t="s">
        <v>694</v>
      </c>
      <c r="B325" s="20">
        <v>45823</v>
      </c>
      <c r="C325" t="s">
        <v>608</v>
      </c>
      <c r="D325" t="s">
        <v>35</v>
      </c>
      <c r="E325" s="37">
        <v>50</v>
      </c>
      <c r="F325" t="s">
        <v>57</v>
      </c>
      <c r="G325" t="s">
        <v>58</v>
      </c>
      <c r="H325" t="s">
        <v>74</v>
      </c>
      <c r="I325" t="s">
        <v>39</v>
      </c>
      <c r="J325" t="s">
        <v>76</v>
      </c>
      <c r="K325" s="37">
        <v>18</v>
      </c>
      <c r="L325" t="s">
        <v>52</v>
      </c>
      <c r="M325" s="21">
        <v>46900</v>
      </c>
      <c r="N325" s="21">
        <v>624708</v>
      </c>
      <c r="O325" s="21">
        <v>61908</v>
      </c>
      <c r="P325" s="37">
        <v>3</v>
      </c>
      <c r="Q325" t="s">
        <v>42</v>
      </c>
      <c r="R325" s="37">
        <v>9</v>
      </c>
      <c r="S325" s="37">
        <v>27</v>
      </c>
      <c r="T325" t="s">
        <v>146</v>
      </c>
      <c r="U325" t="s">
        <v>138</v>
      </c>
      <c r="V325" t="s">
        <v>69</v>
      </c>
      <c r="W325" t="str">
        <f t="shared" si="25"/>
        <v>41-50</v>
      </c>
      <c r="X325" t="str">
        <f t="shared" si="26"/>
        <v>11-20 yrs</v>
      </c>
      <c r="Y325" t="str">
        <f t="shared" si="27"/>
        <v>Jun</v>
      </c>
      <c r="Z325">
        <f t="shared" si="28"/>
        <v>2025</v>
      </c>
      <c r="AA325">
        <f t="shared" si="29"/>
        <v>0</v>
      </c>
    </row>
    <row r="326" spans="1:27" ht="15" customHeight="1" x14ac:dyDescent="0.3">
      <c r="A326" t="s">
        <v>695</v>
      </c>
      <c r="B326" s="20">
        <v>45879</v>
      </c>
      <c r="C326" t="s">
        <v>696</v>
      </c>
      <c r="D326" t="s">
        <v>48</v>
      </c>
      <c r="E326" s="37">
        <v>44</v>
      </c>
      <c r="F326" t="s">
        <v>108</v>
      </c>
      <c r="G326" t="s">
        <v>109</v>
      </c>
      <c r="H326" t="s">
        <v>66</v>
      </c>
      <c r="I326" t="s">
        <v>39</v>
      </c>
      <c r="J326" t="s">
        <v>93</v>
      </c>
      <c r="K326" s="37">
        <v>15</v>
      </c>
      <c r="L326" t="s">
        <v>52</v>
      </c>
      <c r="M326" s="21">
        <v>42300</v>
      </c>
      <c r="N326" s="21">
        <v>568512</v>
      </c>
      <c r="O326" s="21">
        <v>60912</v>
      </c>
      <c r="P326" s="37">
        <v>3</v>
      </c>
      <c r="Q326" t="s">
        <v>42</v>
      </c>
      <c r="R326" s="37">
        <v>5</v>
      </c>
      <c r="S326" s="37">
        <v>37</v>
      </c>
      <c r="T326" t="s">
        <v>129</v>
      </c>
      <c r="U326" t="s">
        <v>63</v>
      </c>
      <c r="V326" t="s">
        <v>45</v>
      </c>
      <c r="W326" t="str">
        <f t="shared" si="25"/>
        <v>41-50</v>
      </c>
      <c r="X326" t="str">
        <f t="shared" si="26"/>
        <v>11-20 yrs</v>
      </c>
      <c r="Y326" t="str">
        <f t="shared" si="27"/>
        <v>Aug</v>
      </c>
      <c r="Z326">
        <f t="shared" si="28"/>
        <v>2025</v>
      </c>
      <c r="AA326">
        <f t="shared" si="29"/>
        <v>0</v>
      </c>
    </row>
    <row r="327" spans="1:27" ht="15" customHeight="1" x14ac:dyDescent="0.3">
      <c r="A327" t="s">
        <v>697</v>
      </c>
      <c r="B327" s="20">
        <v>45749</v>
      </c>
      <c r="C327" t="s">
        <v>698</v>
      </c>
      <c r="D327" t="s">
        <v>35</v>
      </c>
      <c r="E327" s="37">
        <v>43</v>
      </c>
      <c r="F327" t="s">
        <v>97</v>
      </c>
      <c r="G327" t="s">
        <v>98</v>
      </c>
      <c r="H327" t="s">
        <v>118</v>
      </c>
      <c r="I327" t="s">
        <v>82</v>
      </c>
      <c r="J327" t="s">
        <v>182</v>
      </c>
      <c r="K327" s="37">
        <v>13</v>
      </c>
      <c r="L327" t="s">
        <v>52</v>
      </c>
      <c r="M327" s="21">
        <v>47100</v>
      </c>
      <c r="N327" s="21">
        <v>627372</v>
      </c>
      <c r="O327" s="21">
        <v>62172</v>
      </c>
      <c r="P327" s="37">
        <v>2</v>
      </c>
      <c r="Q327" t="s">
        <v>42</v>
      </c>
      <c r="R327" s="37">
        <v>8</v>
      </c>
      <c r="S327" s="37">
        <v>9</v>
      </c>
      <c r="T327" t="s">
        <v>146</v>
      </c>
      <c r="U327" t="s">
        <v>44</v>
      </c>
      <c r="V327" t="s">
        <v>69</v>
      </c>
      <c r="W327" t="str">
        <f t="shared" si="25"/>
        <v>41-50</v>
      </c>
      <c r="X327" t="str">
        <f t="shared" si="26"/>
        <v>11-20 yrs</v>
      </c>
      <c r="Y327" t="str">
        <f t="shared" si="27"/>
        <v>Apr</v>
      </c>
      <c r="Z327">
        <f t="shared" si="28"/>
        <v>2025</v>
      </c>
      <c r="AA327">
        <f t="shared" si="29"/>
        <v>0</v>
      </c>
    </row>
    <row r="328" spans="1:27" ht="15" customHeight="1" x14ac:dyDescent="0.3">
      <c r="A328" t="s">
        <v>699</v>
      </c>
      <c r="B328" s="20">
        <v>45778</v>
      </c>
      <c r="C328" t="s">
        <v>569</v>
      </c>
      <c r="D328" t="s">
        <v>48</v>
      </c>
      <c r="E328" s="37">
        <v>55</v>
      </c>
      <c r="F328" t="s">
        <v>80</v>
      </c>
      <c r="G328" t="s">
        <v>81</v>
      </c>
      <c r="H328" t="s">
        <v>66</v>
      </c>
      <c r="I328" t="s">
        <v>39</v>
      </c>
      <c r="J328" t="s">
        <v>170</v>
      </c>
      <c r="K328" s="37">
        <v>5</v>
      </c>
      <c r="L328" t="s">
        <v>52</v>
      </c>
      <c r="M328" s="21">
        <v>44300</v>
      </c>
      <c r="N328" s="21">
        <v>616656</v>
      </c>
      <c r="O328" s="21">
        <v>85056</v>
      </c>
      <c r="P328" s="37">
        <v>3</v>
      </c>
      <c r="Q328" t="s">
        <v>42</v>
      </c>
      <c r="R328" s="37">
        <v>11</v>
      </c>
      <c r="S328" s="37">
        <v>4</v>
      </c>
      <c r="T328" t="s">
        <v>105</v>
      </c>
      <c r="U328" t="s">
        <v>44</v>
      </c>
      <c r="V328" t="s">
        <v>45</v>
      </c>
      <c r="W328" t="str">
        <f t="shared" si="25"/>
        <v>51-58</v>
      </c>
      <c r="X328" t="str">
        <f t="shared" si="26"/>
        <v>0-5 yrs</v>
      </c>
      <c r="Y328" t="str">
        <f t="shared" si="27"/>
        <v>May</v>
      </c>
      <c r="Z328">
        <f t="shared" si="28"/>
        <v>2025</v>
      </c>
      <c r="AA328">
        <f t="shared" si="29"/>
        <v>0</v>
      </c>
    </row>
    <row r="329" spans="1:27" ht="15" customHeight="1" x14ac:dyDescent="0.3">
      <c r="A329" t="s">
        <v>700</v>
      </c>
      <c r="B329" s="20">
        <v>45718</v>
      </c>
      <c r="C329" t="s">
        <v>701</v>
      </c>
      <c r="D329" t="s">
        <v>48</v>
      </c>
      <c r="E329" s="37">
        <v>34</v>
      </c>
      <c r="F329" t="s">
        <v>91</v>
      </c>
      <c r="G329" t="s">
        <v>92</v>
      </c>
      <c r="H329" t="s">
        <v>66</v>
      </c>
      <c r="I329" t="s">
        <v>39</v>
      </c>
      <c r="J329" t="s">
        <v>170</v>
      </c>
      <c r="K329" s="37">
        <v>21</v>
      </c>
      <c r="L329" t="s">
        <v>52</v>
      </c>
      <c r="M329" s="21">
        <v>45200</v>
      </c>
      <c r="N329" s="21">
        <v>585792</v>
      </c>
      <c r="O329" s="21">
        <v>43392</v>
      </c>
      <c r="P329" s="37">
        <v>3</v>
      </c>
      <c r="Q329" t="s">
        <v>42</v>
      </c>
      <c r="R329" s="37">
        <v>9</v>
      </c>
      <c r="S329" s="37">
        <v>40</v>
      </c>
      <c r="T329" t="s">
        <v>129</v>
      </c>
      <c r="U329" t="s">
        <v>44</v>
      </c>
      <c r="V329" t="s">
        <v>45</v>
      </c>
      <c r="W329" t="str">
        <f t="shared" si="25"/>
        <v>31-40</v>
      </c>
      <c r="X329" t="str">
        <f t="shared" si="26"/>
        <v>21-30 yrs</v>
      </c>
      <c r="Y329" t="str">
        <f t="shared" si="27"/>
        <v>Mar</v>
      </c>
      <c r="Z329">
        <f t="shared" si="28"/>
        <v>2025</v>
      </c>
      <c r="AA329">
        <f t="shared" si="29"/>
        <v>0</v>
      </c>
    </row>
    <row r="330" spans="1:27" ht="15" customHeight="1" x14ac:dyDescent="0.3">
      <c r="A330" t="s">
        <v>702</v>
      </c>
      <c r="B330" s="20">
        <v>45957</v>
      </c>
      <c r="C330" t="s">
        <v>589</v>
      </c>
      <c r="D330" t="s">
        <v>35</v>
      </c>
      <c r="E330" s="37">
        <v>52</v>
      </c>
      <c r="F330" t="s">
        <v>80</v>
      </c>
      <c r="G330" t="s">
        <v>81</v>
      </c>
      <c r="H330" t="s">
        <v>66</v>
      </c>
      <c r="I330" t="s">
        <v>51</v>
      </c>
      <c r="J330" t="s">
        <v>93</v>
      </c>
      <c r="K330" s="37">
        <v>13</v>
      </c>
      <c r="L330" t="s">
        <v>52</v>
      </c>
      <c r="M330" s="21">
        <v>208300</v>
      </c>
      <c r="N330" s="21">
        <v>2674572</v>
      </c>
      <c r="O330" s="21">
        <v>174972</v>
      </c>
      <c r="P330" s="37">
        <v>4</v>
      </c>
      <c r="Q330" t="s">
        <v>42</v>
      </c>
      <c r="R330" s="37">
        <v>5</v>
      </c>
      <c r="S330" s="37">
        <v>22</v>
      </c>
      <c r="T330" t="s">
        <v>146</v>
      </c>
      <c r="U330" t="s">
        <v>138</v>
      </c>
      <c r="V330" t="s">
        <v>69</v>
      </c>
      <c r="W330" t="str">
        <f t="shared" si="25"/>
        <v>51-58</v>
      </c>
      <c r="X330" t="str">
        <f t="shared" si="26"/>
        <v>11-20 yrs</v>
      </c>
      <c r="Y330" t="str">
        <f t="shared" si="27"/>
        <v>Oct</v>
      </c>
      <c r="Z330">
        <f t="shared" si="28"/>
        <v>2025</v>
      </c>
      <c r="AA330">
        <f t="shared" si="29"/>
        <v>0</v>
      </c>
    </row>
    <row r="331" spans="1:27" ht="15" customHeight="1" x14ac:dyDescent="0.3">
      <c r="A331" t="s">
        <v>703</v>
      </c>
      <c r="B331" s="20">
        <v>45870</v>
      </c>
      <c r="C331" t="s">
        <v>634</v>
      </c>
      <c r="D331" t="s">
        <v>35</v>
      </c>
      <c r="E331" s="37">
        <v>49</v>
      </c>
      <c r="F331" t="s">
        <v>108</v>
      </c>
      <c r="G331" t="s">
        <v>109</v>
      </c>
      <c r="H331" t="s">
        <v>118</v>
      </c>
      <c r="I331" t="s">
        <v>39</v>
      </c>
      <c r="J331" t="s">
        <v>137</v>
      </c>
      <c r="K331" s="37">
        <v>2</v>
      </c>
      <c r="L331" t="s">
        <v>41</v>
      </c>
      <c r="M331" s="21">
        <v>38700</v>
      </c>
      <c r="N331" s="21">
        <v>501552</v>
      </c>
      <c r="O331" s="21">
        <v>37152</v>
      </c>
      <c r="P331" s="37">
        <v>4</v>
      </c>
      <c r="Q331" t="s">
        <v>42</v>
      </c>
      <c r="R331" s="37">
        <v>8</v>
      </c>
      <c r="S331" s="37">
        <v>20</v>
      </c>
      <c r="T331" t="s">
        <v>146</v>
      </c>
      <c r="U331" t="s">
        <v>44</v>
      </c>
      <c r="V331" t="s">
        <v>69</v>
      </c>
      <c r="W331" t="str">
        <f t="shared" si="25"/>
        <v>41-50</v>
      </c>
      <c r="X331" t="str">
        <f t="shared" si="26"/>
        <v>0-5 yrs</v>
      </c>
      <c r="Y331" t="str">
        <f t="shared" si="27"/>
        <v>Aug</v>
      </c>
      <c r="Z331">
        <f t="shared" si="28"/>
        <v>2025</v>
      </c>
      <c r="AA331">
        <f t="shared" si="29"/>
        <v>0</v>
      </c>
    </row>
    <row r="332" spans="1:27" ht="15" customHeight="1" x14ac:dyDescent="0.3">
      <c r="A332" t="s">
        <v>704</v>
      </c>
      <c r="B332" s="20">
        <v>45936</v>
      </c>
      <c r="C332" t="s">
        <v>705</v>
      </c>
      <c r="D332" t="s">
        <v>35</v>
      </c>
      <c r="E332" s="37">
        <v>49</v>
      </c>
      <c r="F332" t="s">
        <v>57</v>
      </c>
      <c r="G332" t="s">
        <v>58</v>
      </c>
      <c r="H332" t="s">
        <v>38</v>
      </c>
      <c r="I332" t="s">
        <v>75</v>
      </c>
      <c r="J332" t="s">
        <v>40</v>
      </c>
      <c r="K332" s="37">
        <v>2</v>
      </c>
      <c r="L332" t="s">
        <v>52</v>
      </c>
      <c r="M332" s="21">
        <v>92600</v>
      </c>
      <c r="N332" s="21">
        <v>1222320</v>
      </c>
      <c r="O332" s="21">
        <v>111120</v>
      </c>
      <c r="P332" s="37">
        <v>5</v>
      </c>
      <c r="Q332" t="s">
        <v>42</v>
      </c>
      <c r="R332" s="37">
        <v>19</v>
      </c>
      <c r="S332" s="37">
        <v>37</v>
      </c>
      <c r="T332" t="s">
        <v>53</v>
      </c>
      <c r="U332" t="s">
        <v>63</v>
      </c>
      <c r="V332" t="s">
        <v>45</v>
      </c>
      <c r="W332" t="str">
        <f t="shared" si="25"/>
        <v>41-50</v>
      </c>
      <c r="X332" t="str">
        <f t="shared" si="26"/>
        <v>0-5 yrs</v>
      </c>
      <c r="Y332" t="str">
        <f t="shared" si="27"/>
        <v>Oct</v>
      </c>
      <c r="Z332">
        <f t="shared" si="28"/>
        <v>2025</v>
      </c>
      <c r="AA332">
        <f t="shared" si="29"/>
        <v>0</v>
      </c>
    </row>
    <row r="333" spans="1:27" ht="15" customHeight="1" x14ac:dyDescent="0.3">
      <c r="A333" t="s">
        <v>706</v>
      </c>
      <c r="B333" s="20">
        <v>45891</v>
      </c>
      <c r="C333" t="s">
        <v>707</v>
      </c>
      <c r="D333" t="s">
        <v>35</v>
      </c>
      <c r="E333" s="37">
        <v>22</v>
      </c>
      <c r="F333" t="s">
        <v>80</v>
      </c>
      <c r="G333" t="s">
        <v>81</v>
      </c>
      <c r="H333" t="s">
        <v>118</v>
      </c>
      <c r="I333" t="s">
        <v>39</v>
      </c>
      <c r="J333" t="s">
        <v>250</v>
      </c>
      <c r="K333" s="37">
        <v>24</v>
      </c>
      <c r="L333" t="s">
        <v>120</v>
      </c>
      <c r="M333" s="21">
        <v>35100</v>
      </c>
      <c r="N333" s="21">
        <v>446472</v>
      </c>
      <c r="O333" s="21">
        <v>25272</v>
      </c>
      <c r="P333" s="37">
        <v>4</v>
      </c>
      <c r="Q333" t="s">
        <v>42</v>
      </c>
      <c r="R333" s="37">
        <v>14</v>
      </c>
      <c r="S333" s="37">
        <v>2</v>
      </c>
      <c r="T333" t="s">
        <v>146</v>
      </c>
      <c r="U333" t="s">
        <v>54</v>
      </c>
      <c r="V333" t="s">
        <v>69</v>
      </c>
      <c r="W333" t="str">
        <f t="shared" si="25"/>
        <v>22-30</v>
      </c>
      <c r="X333" t="str">
        <f t="shared" si="26"/>
        <v>21-30 yrs</v>
      </c>
      <c r="Y333" t="str">
        <f t="shared" si="27"/>
        <v>Aug</v>
      </c>
      <c r="Z333">
        <f t="shared" si="28"/>
        <v>2025</v>
      </c>
      <c r="AA333">
        <f t="shared" si="29"/>
        <v>0</v>
      </c>
    </row>
    <row r="334" spans="1:27" ht="15" customHeight="1" x14ac:dyDescent="0.3">
      <c r="A334" t="s">
        <v>708</v>
      </c>
      <c r="B334" s="20">
        <v>45703</v>
      </c>
      <c r="C334" t="s">
        <v>709</v>
      </c>
      <c r="D334" t="s">
        <v>48</v>
      </c>
      <c r="E334" s="37">
        <v>37</v>
      </c>
      <c r="F334" t="s">
        <v>86</v>
      </c>
      <c r="G334" t="s">
        <v>87</v>
      </c>
      <c r="H334" t="s">
        <v>38</v>
      </c>
      <c r="I334" t="s">
        <v>39</v>
      </c>
      <c r="J334" t="s">
        <v>134</v>
      </c>
      <c r="K334" s="37">
        <v>6</v>
      </c>
      <c r="L334" t="s">
        <v>120</v>
      </c>
      <c r="M334" s="21">
        <v>42500</v>
      </c>
      <c r="N334" s="21">
        <v>591600</v>
      </c>
      <c r="O334" s="21">
        <v>81600</v>
      </c>
      <c r="P334" s="37">
        <v>2</v>
      </c>
      <c r="Q334" t="s">
        <v>42</v>
      </c>
      <c r="R334" s="37">
        <v>7</v>
      </c>
      <c r="S334" s="37">
        <v>22</v>
      </c>
      <c r="T334" t="s">
        <v>62</v>
      </c>
      <c r="U334" t="s">
        <v>63</v>
      </c>
      <c r="V334" t="s">
        <v>69</v>
      </c>
      <c r="W334" t="str">
        <f t="shared" si="25"/>
        <v>31-40</v>
      </c>
      <c r="X334" t="str">
        <f t="shared" si="26"/>
        <v>6-10 yrs</v>
      </c>
      <c r="Y334" t="str">
        <f t="shared" si="27"/>
        <v>Feb</v>
      </c>
      <c r="Z334">
        <f t="shared" si="28"/>
        <v>2025</v>
      </c>
      <c r="AA334">
        <f t="shared" si="29"/>
        <v>0</v>
      </c>
    </row>
    <row r="335" spans="1:27" ht="15" customHeight="1" x14ac:dyDescent="0.3">
      <c r="A335" t="s">
        <v>710</v>
      </c>
      <c r="B335" s="20">
        <v>45863</v>
      </c>
      <c r="C335" t="s">
        <v>231</v>
      </c>
      <c r="D335" t="s">
        <v>35</v>
      </c>
      <c r="E335" s="37">
        <v>31</v>
      </c>
      <c r="F335" t="s">
        <v>72</v>
      </c>
      <c r="G335" t="s">
        <v>73</v>
      </c>
      <c r="H335" t="s">
        <v>74</v>
      </c>
      <c r="I335" t="s">
        <v>82</v>
      </c>
      <c r="J335" t="s">
        <v>115</v>
      </c>
      <c r="K335" s="37">
        <v>25</v>
      </c>
      <c r="L335" t="s">
        <v>52</v>
      </c>
      <c r="M335" s="21">
        <v>57300</v>
      </c>
      <c r="N335" s="21">
        <v>770112</v>
      </c>
      <c r="O335" s="21">
        <v>82512</v>
      </c>
      <c r="P335" s="37">
        <v>2</v>
      </c>
      <c r="Q335" t="s">
        <v>42</v>
      </c>
      <c r="R335" s="37">
        <v>20</v>
      </c>
      <c r="S335" s="37">
        <v>13</v>
      </c>
      <c r="T335" t="s">
        <v>68</v>
      </c>
      <c r="U335" t="s">
        <v>44</v>
      </c>
      <c r="V335" t="s">
        <v>69</v>
      </c>
      <c r="W335" t="str">
        <f t="shared" si="25"/>
        <v>31-40</v>
      </c>
      <c r="X335" t="str">
        <f t="shared" si="26"/>
        <v>21-30 yrs</v>
      </c>
      <c r="Y335" t="str">
        <f t="shared" si="27"/>
        <v>Jul</v>
      </c>
      <c r="Z335">
        <f t="shared" si="28"/>
        <v>2025</v>
      </c>
      <c r="AA335">
        <f t="shared" si="29"/>
        <v>0</v>
      </c>
    </row>
    <row r="336" spans="1:27" ht="15" customHeight="1" x14ac:dyDescent="0.3">
      <c r="A336" t="s">
        <v>711</v>
      </c>
      <c r="B336" s="20">
        <v>45772</v>
      </c>
      <c r="C336" t="s">
        <v>712</v>
      </c>
      <c r="D336" t="s">
        <v>35</v>
      </c>
      <c r="E336" s="37">
        <v>51</v>
      </c>
      <c r="F336" t="s">
        <v>80</v>
      </c>
      <c r="G336" t="s">
        <v>81</v>
      </c>
      <c r="H336" t="s">
        <v>74</v>
      </c>
      <c r="I336" t="s">
        <v>82</v>
      </c>
      <c r="J336" t="s">
        <v>367</v>
      </c>
      <c r="K336" s="37">
        <v>22</v>
      </c>
      <c r="L336" t="s">
        <v>52</v>
      </c>
      <c r="M336" s="21">
        <v>51800</v>
      </c>
      <c r="N336" s="21">
        <v>702407</v>
      </c>
      <c r="O336" s="21">
        <v>80808</v>
      </c>
      <c r="P336" s="37">
        <v>4</v>
      </c>
      <c r="Q336" t="s">
        <v>42</v>
      </c>
      <c r="R336" s="37">
        <v>16</v>
      </c>
      <c r="S336" s="37">
        <v>18</v>
      </c>
      <c r="T336" t="s">
        <v>43</v>
      </c>
      <c r="U336" t="s">
        <v>63</v>
      </c>
      <c r="V336" t="s">
        <v>45</v>
      </c>
      <c r="W336" t="str">
        <f t="shared" si="25"/>
        <v>51-58</v>
      </c>
      <c r="X336" t="str">
        <f t="shared" si="26"/>
        <v>21-30 yrs</v>
      </c>
      <c r="Y336" t="str">
        <f t="shared" si="27"/>
        <v>Apr</v>
      </c>
      <c r="Z336">
        <f t="shared" si="28"/>
        <v>2025</v>
      </c>
      <c r="AA336">
        <f t="shared" si="29"/>
        <v>0</v>
      </c>
    </row>
    <row r="337" spans="1:27" ht="15" customHeight="1" x14ac:dyDescent="0.3">
      <c r="A337" t="s">
        <v>713</v>
      </c>
      <c r="B337" s="20">
        <v>45981</v>
      </c>
      <c r="C337" t="s">
        <v>714</v>
      </c>
      <c r="D337" t="s">
        <v>35</v>
      </c>
      <c r="E337" s="37">
        <v>48</v>
      </c>
      <c r="F337" t="s">
        <v>49</v>
      </c>
      <c r="G337" t="s">
        <v>50</v>
      </c>
      <c r="H337" t="s">
        <v>38</v>
      </c>
      <c r="I337" t="s">
        <v>82</v>
      </c>
      <c r="J337" t="s">
        <v>99</v>
      </c>
      <c r="K337" s="37">
        <v>15</v>
      </c>
      <c r="L337" t="s">
        <v>52</v>
      </c>
      <c r="M337" s="21">
        <v>66000</v>
      </c>
      <c r="N337" s="21">
        <v>863280</v>
      </c>
      <c r="O337" s="21">
        <v>71280</v>
      </c>
      <c r="P337" s="37">
        <v>2</v>
      </c>
      <c r="Q337" t="s">
        <v>42</v>
      </c>
      <c r="R337" s="37">
        <v>20</v>
      </c>
      <c r="S337" s="37">
        <v>35</v>
      </c>
      <c r="T337" t="s">
        <v>68</v>
      </c>
      <c r="U337" t="s">
        <v>44</v>
      </c>
      <c r="V337" t="s">
        <v>45</v>
      </c>
      <c r="W337" t="str">
        <f t="shared" si="25"/>
        <v>41-50</v>
      </c>
      <c r="X337" t="str">
        <f t="shared" si="26"/>
        <v>11-20 yrs</v>
      </c>
      <c r="Y337" t="str">
        <f t="shared" si="27"/>
        <v>Nov</v>
      </c>
      <c r="Z337">
        <f t="shared" si="28"/>
        <v>2025</v>
      </c>
      <c r="AA337">
        <f t="shared" si="29"/>
        <v>0</v>
      </c>
    </row>
    <row r="338" spans="1:27" ht="15" customHeight="1" x14ac:dyDescent="0.3">
      <c r="A338" t="s">
        <v>715</v>
      </c>
      <c r="B338" s="20">
        <v>45671</v>
      </c>
      <c r="C338" t="s">
        <v>716</v>
      </c>
      <c r="D338" t="s">
        <v>48</v>
      </c>
      <c r="E338" s="37">
        <v>24</v>
      </c>
      <c r="F338" t="s">
        <v>123</v>
      </c>
      <c r="G338" t="s">
        <v>124</v>
      </c>
      <c r="H338" t="s">
        <v>74</v>
      </c>
      <c r="I338" t="s">
        <v>82</v>
      </c>
      <c r="J338" t="s">
        <v>152</v>
      </c>
      <c r="K338" s="37">
        <v>4</v>
      </c>
      <c r="L338" t="s">
        <v>52</v>
      </c>
      <c r="M338" s="21">
        <v>68100</v>
      </c>
      <c r="N338" s="21">
        <v>866232</v>
      </c>
      <c r="O338" s="21">
        <v>49032</v>
      </c>
      <c r="P338" s="37">
        <v>5</v>
      </c>
      <c r="Q338" t="s">
        <v>42</v>
      </c>
      <c r="R338" s="37">
        <v>6</v>
      </c>
      <c r="S338" s="37">
        <v>30</v>
      </c>
      <c r="T338" t="s">
        <v>77</v>
      </c>
      <c r="U338" t="s">
        <v>44</v>
      </c>
      <c r="V338" t="s">
        <v>69</v>
      </c>
      <c r="W338" t="str">
        <f t="shared" si="25"/>
        <v>22-30</v>
      </c>
      <c r="X338" t="str">
        <f t="shared" si="26"/>
        <v>0-5 yrs</v>
      </c>
      <c r="Y338" t="str">
        <f t="shared" si="27"/>
        <v>Jan</v>
      </c>
      <c r="Z338">
        <f t="shared" si="28"/>
        <v>2025</v>
      </c>
      <c r="AA338">
        <f t="shared" si="29"/>
        <v>0</v>
      </c>
    </row>
    <row r="339" spans="1:27" ht="15" customHeight="1" x14ac:dyDescent="0.3">
      <c r="A339" t="s">
        <v>717</v>
      </c>
      <c r="B339" s="20">
        <v>45978</v>
      </c>
      <c r="C339" t="s">
        <v>528</v>
      </c>
      <c r="D339" t="s">
        <v>35</v>
      </c>
      <c r="E339" s="37">
        <v>48</v>
      </c>
      <c r="F339" t="s">
        <v>91</v>
      </c>
      <c r="G339" t="s">
        <v>92</v>
      </c>
      <c r="H339" t="s">
        <v>66</v>
      </c>
      <c r="I339" t="s">
        <v>39</v>
      </c>
      <c r="J339" t="s">
        <v>93</v>
      </c>
      <c r="K339" s="37">
        <v>4</v>
      </c>
      <c r="L339" t="s">
        <v>52</v>
      </c>
      <c r="M339" s="21">
        <v>44800</v>
      </c>
      <c r="N339" s="21">
        <v>645120</v>
      </c>
      <c r="O339" s="21">
        <v>107520</v>
      </c>
      <c r="P339" s="37">
        <v>3</v>
      </c>
      <c r="Q339" t="s">
        <v>42</v>
      </c>
      <c r="R339" s="37">
        <v>18</v>
      </c>
      <c r="S339" s="37">
        <v>29</v>
      </c>
      <c r="T339" t="s">
        <v>146</v>
      </c>
      <c r="U339" t="s">
        <v>44</v>
      </c>
      <c r="V339" t="s">
        <v>69</v>
      </c>
      <c r="W339" t="str">
        <f t="shared" si="25"/>
        <v>41-50</v>
      </c>
      <c r="X339" t="str">
        <f t="shared" si="26"/>
        <v>0-5 yrs</v>
      </c>
      <c r="Y339" t="str">
        <f t="shared" si="27"/>
        <v>Nov</v>
      </c>
      <c r="Z339">
        <f t="shared" si="28"/>
        <v>2025</v>
      </c>
      <c r="AA339">
        <f t="shared" si="29"/>
        <v>0</v>
      </c>
    </row>
    <row r="340" spans="1:27" ht="15" customHeight="1" x14ac:dyDescent="0.3">
      <c r="A340" t="s">
        <v>718</v>
      </c>
      <c r="B340" s="20">
        <v>45966</v>
      </c>
      <c r="C340" t="s">
        <v>719</v>
      </c>
      <c r="D340" t="s">
        <v>48</v>
      </c>
      <c r="E340" s="37">
        <v>33</v>
      </c>
      <c r="F340" t="s">
        <v>36</v>
      </c>
      <c r="G340" t="s">
        <v>37</v>
      </c>
      <c r="H340" t="s">
        <v>38</v>
      </c>
      <c r="I340" t="s">
        <v>60</v>
      </c>
      <c r="J340" t="s">
        <v>40</v>
      </c>
      <c r="K340" s="37">
        <v>25</v>
      </c>
      <c r="L340" t="s">
        <v>52</v>
      </c>
      <c r="M340" s="21">
        <v>142700</v>
      </c>
      <c r="N340" s="21">
        <v>1969259</v>
      </c>
      <c r="O340" s="21">
        <v>256860</v>
      </c>
      <c r="P340" s="37">
        <v>4</v>
      </c>
      <c r="Q340" t="s">
        <v>126</v>
      </c>
      <c r="R340" s="37">
        <v>18</v>
      </c>
      <c r="S340" s="37">
        <v>10</v>
      </c>
      <c r="T340" t="s">
        <v>77</v>
      </c>
      <c r="U340" t="s">
        <v>54</v>
      </c>
      <c r="V340" t="s">
        <v>45</v>
      </c>
      <c r="W340" t="str">
        <f t="shared" si="25"/>
        <v>31-40</v>
      </c>
      <c r="X340" t="str">
        <f t="shared" si="26"/>
        <v>21-30 yrs</v>
      </c>
      <c r="Y340" t="str">
        <f t="shared" si="27"/>
        <v>Nov</v>
      </c>
      <c r="Z340">
        <f t="shared" si="28"/>
        <v>2025</v>
      </c>
      <c r="AA340">
        <f t="shared" si="29"/>
        <v>1</v>
      </c>
    </row>
    <row r="341" spans="1:27" ht="15" customHeight="1" x14ac:dyDescent="0.3">
      <c r="A341" t="s">
        <v>720</v>
      </c>
      <c r="B341" s="20">
        <v>45759</v>
      </c>
      <c r="C341" t="s">
        <v>721</v>
      </c>
      <c r="D341" t="s">
        <v>48</v>
      </c>
      <c r="E341" s="37">
        <v>31</v>
      </c>
      <c r="F341" t="s">
        <v>80</v>
      </c>
      <c r="G341" t="s">
        <v>81</v>
      </c>
      <c r="H341" t="s">
        <v>118</v>
      </c>
      <c r="I341" t="s">
        <v>39</v>
      </c>
      <c r="J341" t="s">
        <v>137</v>
      </c>
      <c r="K341" s="37">
        <v>11</v>
      </c>
      <c r="L341" t="s">
        <v>52</v>
      </c>
      <c r="M341" s="21">
        <v>37900</v>
      </c>
      <c r="N341" s="21">
        <v>513923</v>
      </c>
      <c r="O341" s="21">
        <v>59124</v>
      </c>
      <c r="P341" s="37">
        <v>4</v>
      </c>
      <c r="Q341" t="s">
        <v>42</v>
      </c>
      <c r="R341" s="37">
        <v>9</v>
      </c>
      <c r="S341" s="37">
        <v>14</v>
      </c>
      <c r="T341" t="s">
        <v>105</v>
      </c>
      <c r="U341" t="s">
        <v>63</v>
      </c>
      <c r="V341" t="s">
        <v>45</v>
      </c>
      <c r="W341" t="str">
        <f t="shared" si="25"/>
        <v>31-40</v>
      </c>
      <c r="X341" t="str">
        <f t="shared" si="26"/>
        <v>11-20 yrs</v>
      </c>
      <c r="Y341" t="str">
        <f t="shared" si="27"/>
        <v>Apr</v>
      </c>
      <c r="Z341">
        <f t="shared" si="28"/>
        <v>2025</v>
      </c>
      <c r="AA341">
        <f t="shared" si="29"/>
        <v>0</v>
      </c>
    </row>
    <row r="342" spans="1:27" ht="15" customHeight="1" x14ac:dyDescent="0.3">
      <c r="A342" t="s">
        <v>722</v>
      </c>
      <c r="B342" s="20">
        <v>46004</v>
      </c>
      <c r="C342" t="s">
        <v>723</v>
      </c>
      <c r="D342" t="s">
        <v>35</v>
      </c>
      <c r="E342" s="37">
        <v>25</v>
      </c>
      <c r="F342" t="s">
        <v>72</v>
      </c>
      <c r="G342" t="s">
        <v>73</v>
      </c>
      <c r="H342" t="s">
        <v>66</v>
      </c>
      <c r="I342" t="s">
        <v>51</v>
      </c>
      <c r="J342" t="s">
        <v>67</v>
      </c>
      <c r="K342" s="37">
        <v>20</v>
      </c>
      <c r="L342" t="s">
        <v>52</v>
      </c>
      <c r="M342" s="21">
        <v>210300</v>
      </c>
      <c r="N342" s="21">
        <v>2876904</v>
      </c>
      <c r="O342" s="21">
        <v>353304</v>
      </c>
      <c r="P342" s="37">
        <v>2</v>
      </c>
      <c r="Q342" t="s">
        <v>42</v>
      </c>
      <c r="R342" s="37">
        <v>1</v>
      </c>
      <c r="S342" s="37">
        <v>5</v>
      </c>
      <c r="T342" t="s">
        <v>43</v>
      </c>
      <c r="U342" t="s">
        <v>44</v>
      </c>
      <c r="V342" t="s">
        <v>45</v>
      </c>
      <c r="W342" t="str">
        <f t="shared" si="25"/>
        <v>22-30</v>
      </c>
      <c r="X342" t="str">
        <f t="shared" si="26"/>
        <v>11-20 yrs</v>
      </c>
      <c r="Y342" t="str">
        <f t="shared" si="27"/>
        <v>Dec</v>
      </c>
      <c r="Z342">
        <f t="shared" si="28"/>
        <v>2025</v>
      </c>
      <c r="AA342">
        <f t="shared" si="29"/>
        <v>0</v>
      </c>
    </row>
    <row r="343" spans="1:27" ht="15" customHeight="1" x14ac:dyDescent="0.3">
      <c r="A343" t="s">
        <v>724</v>
      </c>
      <c r="B343" s="20">
        <v>45832</v>
      </c>
      <c r="C343" t="s">
        <v>133</v>
      </c>
      <c r="D343" t="s">
        <v>35</v>
      </c>
      <c r="E343" s="37">
        <v>53</v>
      </c>
      <c r="F343" t="s">
        <v>57</v>
      </c>
      <c r="G343" t="s">
        <v>58</v>
      </c>
      <c r="H343" t="s">
        <v>38</v>
      </c>
      <c r="I343" t="s">
        <v>82</v>
      </c>
      <c r="J343" t="s">
        <v>99</v>
      </c>
      <c r="K343" s="37">
        <v>13</v>
      </c>
      <c r="L343" t="s">
        <v>52</v>
      </c>
      <c r="M343" s="21">
        <v>48700</v>
      </c>
      <c r="N343" s="21">
        <v>636996</v>
      </c>
      <c r="O343" s="21">
        <v>52596</v>
      </c>
      <c r="P343" s="37">
        <v>2</v>
      </c>
      <c r="Q343" t="s">
        <v>126</v>
      </c>
      <c r="R343" s="37">
        <v>5</v>
      </c>
      <c r="S343" s="37">
        <v>33</v>
      </c>
      <c r="T343" t="s">
        <v>77</v>
      </c>
      <c r="U343" t="s">
        <v>54</v>
      </c>
      <c r="V343" t="s">
        <v>45</v>
      </c>
      <c r="W343" t="str">
        <f t="shared" si="25"/>
        <v>51-58</v>
      </c>
      <c r="X343" t="str">
        <f t="shared" si="26"/>
        <v>11-20 yrs</v>
      </c>
      <c r="Y343" t="str">
        <f t="shared" si="27"/>
        <v>Jun</v>
      </c>
      <c r="Z343">
        <f t="shared" si="28"/>
        <v>2025</v>
      </c>
      <c r="AA343">
        <f t="shared" si="29"/>
        <v>1</v>
      </c>
    </row>
    <row r="344" spans="1:27" ht="15" customHeight="1" x14ac:dyDescent="0.3">
      <c r="A344" t="s">
        <v>725</v>
      </c>
      <c r="B344" s="20">
        <v>45785</v>
      </c>
      <c r="C344" t="s">
        <v>390</v>
      </c>
      <c r="D344" t="s">
        <v>35</v>
      </c>
      <c r="E344" s="37">
        <v>49</v>
      </c>
      <c r="F344" t="s">
        <v>72</v>
      </c>
      <c r="G344" t="s">
        <v>73</v>
      </c>
      <c r="H344" t="s">
        <v>74</v>
      </c>
      <c r="I344" t="s">
        <v>82</v>
      </c>
      <c r="J344" t="s">
        <v>367</v>
      </c>
      <c r="K344" s="37">
        <v>10</v>
      </c>
      <c r="L344" t="s">
        <v>52</v>
      </c>
      <c r="M344" s="21">
        <v>52600</v>
      </c>
      <c r="N344" s="21">
        <v>751128</v>
      </c>
      <c r="O344" s="21">
        <v>119928</v>
      </c>
      <c r="P344" s="37">
        <v>3</v>
      </c>
      <c r="Q344" t="s">
        <v>42</v>
      </c>
      <c r="R344" s="37">
        <v>17</v>
      </c>
      <c r="S344" s="37">
        <v>27</v>
      </c>
      <c r="T344" t="s">
        <v>77</v>
      </c>
      <c r="U344" t="s">
        <v>63</v>
      </c>
      <c r="V344" t="s">
        <v>45</v>
      </c>
      <c r="W344" t="str">
        <f t="shared" si="25"/>
        <v>41-50</v>
      </c>
      <c r="X344" t="str">
        <f t="shared" si="26"/>
        <v>6-10 yrs</v>
      </c>
      <c r="Y344" t="str">
        <f t="shared" si="27"/>
        <v>May</v>
      </c>
      <c r="Z344">
        <f t="shared" si="28"/>
        <v>2025</v>
      </c>
      <c r="AA344">
        <f t="shared" si="29"/>
        <v>0</v>
      </c>
    </row>
    <row r="345" spans="1:27" ht="15" customHeight="1" x14ac:dyDescent="0.3">
      <c r="A345" t="s">
        <v>726</v>
      </c>
      <c r="B345" s="20">
        <v>45907</v>
      </c>
      <c r="C345" t="s">
        <v>411</v>
      </c>
      <c r="D345" t="s">
        <v>35</v>
      </c>
      <c r="E345" s="37">
        <v>54</v>
      </c>
      <c r="F345" t="s">
        <v>108</v>
      </c>
      <c r="G345" t="s">
        <v>109</v>
      </c>
      <c r="H345" t="s">
        <v>38</v>
      </c>
      <c r="I345" t="s">
        <v>82</v>
      </c>
      <c r="J345" t="s">
        <v>134</v>
      </c>
      <c r="K345" s="37">
        <v>24</v>
      </c>
      <c r="L345" t="s">
        <v>52</v>
      </c>
      <c r="M345" s="21">
        <v>54700</v>
      </c>
      <c r="N345" s="21">
        <v>728604</v>
      </c>
      <c r="O345" s="21">
        <v>72204</v>
      </c>
      <c r="P345" s="37">
        <v>4</v>
      </c>
      <c r="Q345" t="s">
        <v>42</v>
      </c>
      <c r="R345" s="37">
        <v>13</v>
      </c>
      <c r="S345" s="37">
        <v>37</v>
      </c>
      <c r="T345" t="s">
        <v>53</v>
      </c>
      <c r="U345" t="s">
        <v>44</v>
      </c>
      <c r="V345" t="s">
        <v>69</v>
      </c>
      <c r="W345" t="str">
        <f t="shared" si="25"/>
        <v>51-58</v>
      </c>
      <c r="X345" t="str">
        <f t="shared" si="26"/>
        <v>21-30 yrs</v>
      </c>
      <c r="Y345" t="str">
        <f t="shared" si="27"/>
        <v>Sep</v>
      </c>
      <c r="Z345">
        <f t="shared" si="28"/>
        <v>2025</v>
      </c>
      <c r="AA345">
        <f t="shared" si="29"/>
        <v>0</v>
      </c>
    </row>
    <row r="346" spans="1:27" ht="15" customHeight="1" x14ac:dyDescent="0.3">
      <c r="A346" t="s">
        <v>727</v>
      </c>
      <c r="B346" s="20">
        <v>45955</v>
      </c>
      <c r="C346" t="s">
        <v>331</v>
      </c>
      <c r="D346" t="s">
        <v>35</v>
      </c>
      <c r="E346" s="37">
        <v>52</v>
      </c>
      <c r="F346" t="s">
        <v>49</v>
      </c>
      <c r="G346" t="s">
        <v>50</v>
      </c>
      <c r="H346" t="s">
        <v>118</v>
      </c>
      <c r="I346" t="s">
        <v>39</v>
      </c>
      <c r="J346" t="s">
        <v>137</v>
      </c>
      <c r="K346" s="37">
        <v>10</v>
      </c>
      <c r="L346" t="s">
        <v>52</v>
      </c>
      <c r="M346" s="21">
        <v>33400</v>
      </c>
      <c r="N346" s="21">
        <v>460919</v>
      </c>
      <c r="O346" s="21">
        <v>60120</v>
      </c>
      <c r="P346" s="37">
        <v>3</v>
      </c>
      <c r="Q346" t="s">
        <v>42</v>
      </c>
      <c r="R346" s="37">
        <v>18</v>
      </c>
      <c r="S346" s="37">
        <v>8</v>
      </c>
      <c r="T346" t="s">
        <v>105</v>
      </c>
      <c r="U346" t="s">
        <v>63</v>
      </c>
      <c r="V346" t="s">
        <v>69</v>
      </c>
      <c r="W346" t="str">
        <f t="shared" si="25"/>
        <v>51-58</v>
      </c>
      <c r="X346" t="str">
        <f t="shared" si="26"/>
        <v>6-10 yrs</v>
      </c>
      <c r="Y346" t="str">
        <f t="shared" si="27"/>
        <v>Oct</v>
      </c>
      <c r="Z346">
        <f t="shared" si="28"/>
        <v>2025</v>
      </c>
      <c r="AA346">
        <f t="shared" si="29"/>
        <v>0</v>
      </c>
    </row>
    <row r="347" spans="1:27" ht="15" customHeight="1" x14ac:dyDescent="0.3">
      <c r="A347" t="s">
        <v>728</v>
      </c>
      <c r="B347" s="20">
        <v>46013</v>
      </c>
      <c r="C347" t="s">
        <v>729</v>
      </c>
      <c r="D347" t="s">
        <v>48</v>
      </c>
      <c r="E347" s="37">
        <v>36</v>
      </c>
      <c r="F347" t="s">
        <v>72</v>
      </c>
      <c r="G347" t="s">
        <v>73</v>
      </c>
      <c r="H347" t="s">
        <v>38</v>
      </c>
      <c r="I347" t="s">
        <v>82</v>
      </c>
      <c r="J347" t="s">
        <v>40</v>
      </c>
      <c r="K347" s="37">
        <v>30</v>
      </c>
      <c r="L347" t="s">
        <v>41</v>
      </c>
      <c r="M347" s="21">
        <v>61500</v>
      </c>
      <c r="N347" s="21">
        <v>885600</v>
      </c>
      <c r="O347" s="21">
        <v>147600</v>
      </c>
      <c r="P347" s="37">
        <v>5</v>
      </c>
      <c r="Q347" t="s">
        <v>42</v>
      </c>
      <c r="R347" s="37">
        <v>2</v>
      </c>
      <c r="S347" s="37">
        <v>36</v>
      </c>
      <c r="T347" t="s">
        <v>175</v>
      </c>
      <c r="U347" t="s">
        <v>63</v>
      </c>
      <c r="V347" t="s">
        <v>45</v>
      </c>
      <c r="W347" t="str">
        <f t="shared" si="25"/>
        <v>31-40</v>
      </c>
      <c r="X347" t="str">
        <f t="shared" si="26"/>
        <v>21-30 yrs</v>
      </c>
      <c r="Y347" t="str">
        <f t="shared" si="27"/>
        <v>Dec</v>
      </c>
      <c r="Z347">
        <f t="shared" si="28"/>
        <v>2025</v>
      </c>
      <c r="AA347">
        <f t="shared" si="29"/>
        <v>0</v>
      </c>
    </row>
    <row r="348" spans="1:27" ht="15" customHeight="1" x14ac:dyDescent="0.3">
      <c r="A348" t="s">
        <v>730</v>
      </c>
      <c r="B348" s="20">
        <v>45748</v>
      </c>
      <c r="C348" t="s">
        <v>221</v>
      </c>
      <c r="D348" t="s">
        <v>48</v>
      </c>
      <c r="E348" s="37">
        <v>50</v>
      </c>
      <c r="F348" t="s">
        <v>86</v>
      </c>
      <c r="G348" t="s">
        <v>87</v>
      </c>
      <c r="H348" t="s">
        <v>118</v>
      </c>
      <c r="I348" t="s">
        <v>39</v>
      </c>
      <c r="J348" t="s">
        <v>250</v>
      </c>
      <c r="K348" s="37">
        <v>9</v>
      </c>
      <c r="L348" t="s">
        <v>52</v>
      </c>
      <c r="M348" s="21">
        <v>36900</v>
      </c>
      <c r="N348" s="21">
        <v>482652</v>
      </c>
      <c r="O348" s="21">
        <v>39852</v>
      </c>
      <c r="P348" s="37">
        <v>3</v>
      </c>
      <c r="Q348" t="s">
        <v>42</v>
      </c>
      <c r="R348" s="37">
        <v>11</v>
      </c>
      <c r="S348" s="37">
        <v>39</v>
      </c>
      <c r="T348" t="s">
        <v>105</v>
      </c>
      <c r="U348" t="s">
        <v>63</v>
      </c>
      <c r="V348" t="s">
        <v>69</v>
      </c>
      <c r="W348" t="str">
        <f t="shared" si="25"/>
        <v>41-50</v>
      </c>
      <c r="X348" t="str">
        <f t="shared" si="26"/>
        <v>6-10 yrs</v>
      </c>
      <c r="Y348" t="str">
        <f t="shared" si="27"/>
        <v>Apr</v>
      </c>
      <c r="Z348">
        <f t="shared" si="28"/>
        <v>2025</v>
      </c>
      <c r="AA348">
        <f t="shared" si="29"/>
        <v>0</v>
      </c>
    </row>
    <row r="349" spans="1:27" ht="15" customHeight="1" x14ac:dyDescent="0.3">
      <c r="A349" t="s">
        <v>731</v>
      </c>
      <c r="B349" s="20">
        <v>45876</v>
      </c>
      <c r="C349" t="s">
        <v>732</v>
      </c>
      <c r="D349" t="s">
        <v>35</v>
      </c>
      <c r="E349" s="37">
        <v>29</v>
      </c>
      <c r="F349" t="s">
        <v>91</v>
      </c>
      <c r="G349" t="s">
        <v>92</v>
      </c>
      <c r="H349" t="s">
        <v>38</v>
      </c>
      <c r="I349" t="s">
        <v>39</v>
      </c>
      <c r="J349" t="s">
        <v>40</v>
      </c>
      <c r="K349" s="37">
        <v>17</v>
      </c>
      <c r="L349" t="s">
        <v>120</v>
      </c>
      <c r="M349" s="21">
        <v>34200</v>
      </c>
      <c r="N349" s="21">
        <v>484272</v>
      </c>
      <c r="O349" s="21">
        <v>73872</v>
      </c>
      <c r="P349" s="37">
        <v>5</v>
      </c>
      <c r="Q349" t="s">
        <v>42</v>
      </c>
      <c r="R349" s="37">
        <v>13</v>
      </c>
      <c r="S349" s="37">
        <v>23</v>
      </c>
      <c r="T349" t="s">
        <v>62</v>
      </c>
      <c r="U349" t="s">
        <v>44</v>
      </c>
      <c r="V349" t="s">
        <v>45</v>
      </c>
      <c r="W349" t="str">
        <f t="shared" si="25"/>
        <v>22-30</v>
      </c>
      <c r="X349" t="str">
        <f t="shared" si="26"/>
        <v>11-20 yrs</v>
      </c>
      <c r="Y349" t="str">
        <f t="shared" si="27"/>
        <v>Aug</v>
      </c>
      <c r="Z349">
        <f t="shared" si="28"/>
        <v>2025</v>
      </c>
      <c r="AA349">
        <f t="shared" si="29"/>
        <v>0</v>
      </c>
    </row>
    <row r="350" spans="1:27" ht="15" customHeight="1" x14ac:dyDescent="0.3">
      <c r="A350" t="s">
        <v>733</v>
      </c>
      <c r="B350" s="20">
        <v>45782</v>
      </c>
      <c r="C350" t="s">
        <v>307</v>
      </c>
      <c r="D350" t="s">
        <v>35</v>
      </c>
      <c r="E350" s="37">
        <v>29</v>
      </c>
      <c r="F350" t="s">
        <v>97</v>
      </c>
      <c r="G350" t="s">
        <v>98</v>
      </c>
      <c r="H350" t="s">
        <v>66</v>
      </c>
      <c r="I350" t="s">
        <v>39</v>
      </c>
      <c r="J350" t="s">
        <v>93</v>
      </c>
      <c r="K350" s="37">
        <v>14</v>
      </c>
      <c r="L350" t="s">
        <v>52</v>
      </c>
      <c r="M350" s="21">
        <v>40000</v>
      </c>
      <c r="N350" s="21">
        <v>542400</v>
      </c>
      <c r="O350" s="21">
        <v>62400</v>
      </c>
      <c r="P350" s="37">
        <v>4</v>
      </c>
      <c r="Q350" t="s">
        <v>42</v>
      </c>
      <c r="R350" s="37">
        <v>8</v>
      </c>
      <c r="S350" s="37">
        <v>32</v>
      </c>
      <c r="T350" t="s">
        <v>68</v>
      </c>
      <c r="U350" t="s">
        <v>63</v>
      </c>
      <c r="V350" t="s">
        <v>45</v>
      </c>
      <c r="W350" t="str">
        <f t="shared" si="25"/>
        <v>22-30</v>
      </c>
      <c r="X350" t="str">
        <f t="shared" si="26"/>
        <v>11-20 yrs</v>
      </c>
      <c r="Y350" t="str">
        <f t="shared" si="27"/>
        <v>May</v>
      </c>
      <c r="Z350">
        <f t="shared" si="28"/>
        <v>2025</v>
      </c>
      <c r="AA350">
        <f t="shared" si="29"/>
        <v>0</v>
      </c>
    </row>
    <row r="351" spans="1:27" ht="15" customHeight="1" x14ac:dyDescent="0.3">
      <c r="A351" t="s">
        <v>734</v>
      </c>
      <c r="B351" s="20">
        <v>45877</v>
      </c>
      <c r="C351" t="s">
        <v>735</v>
      </c>
      <c r="D351" t="s">
        <v>35</v>
      </c>
      <c r="E351" s="37">
        <v>22</v>
      </c>
      <c r="F351" t="s">
        <v>123</v>
      </c>
      <c r="G351" t="s">
        <v>124</v>
      </c>
      <c r="H351" t="s">
        <v>66</v>
      </c>
      <c r="I351" t="s">
        <v>39</v>
      </c>
      <c r="J351" t="s">
        <v>93</v>
      </c>
      <c r="K351" s="37">
        <v>8</v>
      </c>
      <c r="L351" t="s">
        <v>120</v>
      </c>
      <c r="M351" s="21">
        <v>40700</v>
      </c>
      <c r="N351" s="21">
        <v>547008</v>
      </c>
      <c r="O351" s="21">
        <v>58608</v>
      </c>
      <c r="P351" s="37">
        <v>2</v>
      </c>
      <c r="Q351" t="s">
        <v>126</v>
      </c>
      <c r="R351" s="37">
        <v>10</v>
      </c>
      <c r="S351" s="37">
        <v>35</v>
      </c>
      <c r="T351" t="s">
        <v>94</v>
      </c>
      <c r="U351" t="s">
        <v>44</v>
      </c>
      <c r="V351" t="s">
        <v>69</v>
      </c>
      <c r="W351" t="str">
        <f t="shared" si="25"/>
        <v>22-30</v>
      </c>
      <c r="X351" t="str">
        <f t="shared" si="26"/>
        <v>6-10 yrs</v>
      </c>
      <c r="Y351" t="str">
        <f t="shared" si="27"/>
        <v>Aug</v>
      </c>
      <c r="Z351">
        <f t="shared" si="28"/>
        <v>2025</v>
      </c>
      <c r="AA351">
        <f t="shared" si="29"/>
        <v>1</v>
      </c>
    </row>
    <row r="352" spans="1:27" ht="15" customHeight="1" x14ac:dyDescent="0.3">
      <c r="A352" t="s">
        <v>736</v>
      </c>
      <c r="B352" s="20">
        <v>45946</v>
      </c>
      <c r="C352" t="s">
        <v>737</v>
      </c>
      <c r="D352" t="s">
        <v>35</v>
      </c>
      <c r="E352" s="37">
        <v>56</v>
      </c>
      <c r="F352" t="s">
        <v>123</v>
      </c>
      <c r="G352" t="s">
        <v>124</v>
      </c>
      <c r="H352" t="s">
        <v>59</v>
      </c>
      <c r="I352" t="s">
        <v>60</v>
      </c>
      <c r="J352" t="s">
        <v>125</v>
      </c>
      <c r="K352" s="37">
        <v>19</v>
      </c>
      <c r="L352" t="s">
        <v>52</v>
      </c>
      <c r="M352" s="21">
        <v>114700</v>
      </c>
      <c r="N352" s="21">
        <v>1651680</v>
      </c>
      <c r="O352" s="21">
        <v>275280</v>
      </c>
      <c r="P352" s="37">
        <v>4</v>
      </c>
      <c r="Q352" t="s">
        <v>42</v>
      </c>
      <c r="R352" s="37">
        <v>6</v>
      </c>
      <c r="S352" s="37">
        <v>11</v>
      </c>
      <c r="T352" t="s">
        <v>94</v>
      </c>
      <c r="U352" t="s">
        <v>44</v>
      </c>
      <c r="V352" t="s">
        <v>45</v>
      </c>
      <c r="W352" t="str">
        <f t="shared" si="25"/>
        <v>51-58</v>
      </c>
      <c r="X352" t="str">
        <f t="shared" si="26"/>
        <v>11-20 yrs</v>
      </c>
      <c r="Y352" t="str">
        <f t="shared" si="27"/>
        <v>Oct</v>
      </c>
      <c r="Z352">
        <f t="shared" si="28"/>
        <v>2025</v>
      </c>
      <c r="AA352">
        <f t="shared" si="29"/>
        <v>0</v>
      </c>
    </row>
    <row r="353" spans="1:27" ht="15" customHeight="1" x14ac:dyDescent="0.3">
      <c r="A353" t="s">
        <v>738</v>
      </c>
      <c r="B353" s="20">
        <v>45923</v>
      </c>
      <c r="C353" t="s">
        <v>739</v>
      </c>
      <c r="D353" t="s">
        <v>35</v>
      </c>
      <c r="E353" s="37">
        <v>55</v>
      </c>
      <c r="F353" t="s">
        <v>57</v>
      </c>
      <c r="G353" t="s">
        <v>58</v>
      </c>
      <c r="H353" t="s">
        <v>38</v>
      </c>
      <c r="I353" t="s">
        <v>60</v>
      </c>
      <c r="J353" t="s">
        <v>110</v>
      </c>
      <c r="K353" s="37">
        <v>16</v>
      </c>
      <c r="L353" t="s">
        <v>52</v>
      </c>
      <c r="M353" s="21">
        <v>143200</v>
      </c>
      <c r="N353" s="21">
        <v>1873056</v>
      </c>
      <c r="O353" s="21">
        <v>154656</v>
      </c>
      <c r="P353" s="37">
        <v>4</v>
      </c>
      <c r="Q353" t="s">
        <v>42</v>
      </c>
      <c r="R353" s="37">
        <v>7</v>
      </c>
      <c r="S353" s="37">
        <v>14</v>
      </c>
      <c r="T353" t="s">
        <v>68</v>
      </c>
      <c r="U353" t="s">
        <v>138</v>
      </c>
      <c r="V353" t="s">
        <v>45</v>
      </c>
      <c r="W353" t="str">
        <f t="shared" si="25"/>
        <v>51-58</v>
      </c>
      <c r="X353" t="str">
        <f t="shared" si="26"/>
        <v>11-20 yrs</v>
      </c>
      <c r="Y353" t="str">
        <f t="shared" si="27"/>
        <v>Sep</v>
      </c>
      <c r="Z353">
        <f t="shared" si="28"/>
        <v>2025</v>
      </c>
      <c r="AA353">
        <f t="shared" si="29"/>
        <v>0</v>
      </c>
    </row>
    <row r="354" spans="1:27" ht="15" customHeight="1" x14ac:dyDescent="0.3">
      <c r="A354" t="s">
        <v>740</v>
      </c>
      <c r="B354" s="20">
        <v>45843</v>
      </c>
      <c r="C354" t="s">
        <v>469</v>
      </c>
      <c r="D354" t="s">
        <v>48</v>
      </c>
      <c r="E354" s="37">
        <v>48</v>
      </c>
      <c r="F354" t="s">
        <v>91</v>
      </c>
      <c r="G354" t="s">
        <v>92</v>
      </c>
      <c r="H354" t="s">
        <v>38</v>
      </c>
      <c r="I354" t="s">
        <v>75</v>
      </c>
      <c r="J354" t="s">
        <v>190</v>
      </c>
      <c r="K354" s="37">
        <v>15</v>
      </c>
      <c r="L354" t="s">
        <v>52</v>
      </c>
      <c r="M354" s="21">
        <v>75800</v>
      </c>
      <c r="N354" s="21">
        <v>982368</v>
      </c>
      <c r="O354" s="21">
        <v>72768</v>
      </c>
      <c r="P354" s="37">
        <v>4</v>
      </c>
      <c r="Q354" t="s">
        <v>42</v>
      </c>
      <c r="R354" s="37">
        <v>14</v>
      </c>
      <c r="S354" s="37">
        <v>38</v>
      </c>
      <c r="T354" t="s">
        <v>94</v>
      </c>
      <c r="U354" t="s">
        <v>63</v>
      </c>
      <c r="V354" t="s">
        <v>45</v>
      </c>
      <c r="W354" t="str">
        <f t="shared" si="25"/>
        <v>41-50</v>
      </c>
      <c r="X354" t="str">
        <f t="shared" si="26"/>
        <v>11-20 yrs</v>
      </c>
      <c r="Y354" t="str">
        <f t="shared" si="27"/>
        <v>Jul</v>
      </c>
      <c r="Z354">
        <f t="shared" si="28"/>
        <v>2025</v>
      </c>
      <c r="AA354">
        <f t="shared" si="29"/>
        <v>0</v>
      </c>
    </row>
    <row r="355" spans="1:27" ht="15" customHeight="1" x14ac:dyDescent="0.3">
      <c r="A355" t="s">
        <v>741</v>
      </c>
      <c r="B355" s="20">
        <v>45875</v>
      </c>
      <c r="C355" t="s">
        <v>216</v>
      </c>
      <c r="D355" t="s">
        <v>48</v>
      </c>
      <c r="E355" s="37">
        <v>48</v>
      </c>
      <c r="F355" t="s">
        <v>108</v>
      </c>
      <c r="G355" t="s">
        <v>109</v>
      </c>
      <c r="H355" t="s">
        <v>59</v>
      </c>
      <c r="I355" t="s">
        <v>51</v>
      </c>
      <c r="J355" t="s">
        <v>61</v>
      </c>
      <c r="K355" s="37">
        <v>15</v>
      </c>
      <c r="L355" t="s">
        <v>52</v>
      </c>
      <c r="M355" s="21">
        <v>235200</v>
      </c>
      <c r="N355" s="21">
        <v>3161088</v>
      </c>
      <c r="O355" s="21">
        <v>338688</v>
      </c>
      <c r="P355" s="37">
        <v>4</v>
      </c>
      <c r="Q355" t="s">
        <v>42</v>
      </c>
      <c r="R355" s="37">
        <v>17</v>
      </c>
      <c r="S355" s="37">
        <v>19</v>
      </c>
      <c r="T355" t="s">
        <v>68</v>
      </c>
      <c r="U355" t="s">
        <v>63</v>
      </c>
      <c r="V355" t="s">
        <v>45</v>
      </c>
      <c r="W355" t="str">
        <f t="shared" si="25"/>
        <v>41-50</v>
      </c>
      <c r="X355" t="str">
        <f t="shared" si="26"/>
        <v>11-20 yrs</v>
      </c>
      <c r="Y355" t="str">
        <f t="shared" si="27"/>
        <v>Aug</v>
      </c>
      <c r="Z355">
        <f t="shared" si="28"/>
        <v>2025</v>
      </c>
      <c r="AA355">
        <f t="shared" si="29"/>
        <v>0</v>
      </c>
    </row>
    <row r="356" spans="1:27" ht="15" customHeight="1" x14ac:dyDescent="0.3">
      <c r="A356" t="s">
        <v>742</v>
      </c>
      <c r="B356" s="20">
        <v>45795</v>
      </c>
      <c r="C356" t="s">
        <v>743</v>
      </c>
      <c r="D356" t="s">
        <v>35</v>
      </c>
      <c r="E356" s="37">
        <v>47</v>
      </c>
      <c r="F356" t="s">
        <v>57</v>
      </c>
      <c r="G356" t="s">
        <v>58</v>
      </c>
      <c r="H356" t="s">
        <v>66</v>
      </c>
      <c r="I356" t="s">
        <v>39</v>
      </c>
      <c r="J356" t="s">
        <v>93</v>
      </c>
      <c r="K356" s="37">
        <v>15</v>
      </c>
      <c r="L356" t="s">
        <v>52</v>
      </c>
      <c r="M356" s="21">
        <v>48900</v>
      </c>
      <c r="N356" s="21">
        <v>680688</v>
      </c>
      <c r="O356" s="21">
        <v>93888</v>
      </c>
      <c r="P356" s="37">
        <v>4</v>
      </c>
      <c r="Q356" t="s">
        <v>42</v>
      </c>
      <c r="R356" s="37">
        <v>10</v>
      </c>
      <c r="S356" s="37">
        <v>34</v>
      </c>
      <c r="T356" t="s">
        <v>62</v>
      </c>
      <c r="U356" t="s">
        <v>44</v>
      </c>
      <c r="V356" t="s">
        <v>69</v>
      </c>
      <c r="W356" t="str">
        <f t="shared" si="25"/>
        <v>41-50</v>
      </c>
      <c r="X356" t="str">
        <f t="shared" si="26"/>
        <v>11-20 yrs</v>
      </c>
      <c r="Y356" t="str">
        <f t="shared" si="27"/>
        <v>May</v>
      </c>
      <c r="Z356">
        <f t="shared" si="28"/>
        <v>2025</v>
      </c>
      <c r="AA356">
        <f t="shared" si="29"/>
        <v>0</v>
      </c>
    </row>
    <row r="357" spans="1:27" ht="15" customHeight="1" x14ac:dyDescent="0.3">
      <c r="A357" t="s">
        <v>744</v>
      </c>
      <c r="B357" s="20">
        <v>45699</v>
      </c>
      <c r="C357" t="s">
        <v>745</v>
      </c>
      <c r="D357" t="s">
        <v>35</v>
      </c>
      <c r="E357" s="37">
        <v>31</v>
      </c>
      <c r="F357" t="s">
        <v>72</v>
      </c>
      <c r="G357" t="s">
        <v>73</v>
      </c>
      <c r="H357" t="s">
        <v>66</v>
      </c>
      <c r="I357" t="s">
        <v>39</v>
      </c>
      <c r="J357" t="s">
        <v>170</v>
      </c>
      <c r="K357" s="37">
        <v>19</v>
      </c>
      <c r="L357" t="s">
        <v>52</v>
      </c>
      <c r="M357" s="21">
        <v>36000</v>
      </c>
      <c r="N357" s="21">
        <v>462240</v>
      </c>
      <c r="O357" s="21">
        <v>30240</v>
      </c>
      <c r="P357" s="37">
        <v>4</v>
      </c>
      <c r="Q357" t="s">
        <v>42</v>
      </c>
      <c r="R357" s="37">
        <v>7</v>
      </c>
      <c r="S357" s="37">
        <v>19</v>
      </c>
      <c r="T357" t="s">
        <v>105</v>
      </c>
      <c r="U357" t="s">
        <v>44</v>
      </c>
      <c r="V357" t="s">
        <v>69</v>
      </c>
      <c r="W357" t="str">
        <f t="shared" si="25"/>
        <v>31-40</v>
      </c>
      <c r="X357" t="str">
        <f t="shared" si="26"/>
        <v>11-20 yrs</v>
      </c>
      <c r="Y357" t="str">
        <f t="shared" si="27"/>
        <v>Feb</v>
      </c>
      <c r="Z357">
        <f t="shared" si="28"/>
        <v>2025</v>
      </c>
      <c r="AA357">
        <f t="shared" si="29"/>
        <v>0</v>
      </c>
    </row>
    <row r="358" spans="1:27" ht="15" customHeight="1" x14ac:dyDescent="0.3">
      <c r="A358" t="s">
        <v>746</v>
      </c>
      <c r="B358" s="20">
        <v>46018</v>
      </c>
      <c r="C358" t="s">
        <v>747</v>
      </c>
      <c r="D358" t="s">
        <v>48</v>
      </c>
      <c r="E358" s="37">
        <v>55</v>
      </c>
      <c r="F358" t="s">
        <v>86</v>
      </c>
      <c r="G358" t="s">
        <v>87</v>
      </c>
      <c r="H358" t="s">
        <v>118</v>
      </c>
      <c r="I358" t="s">
        <v>82</v>
      </c>
      <c r="J358" t="s">
        <v>250</v>
      </c>
      <c r="K358" s="37">
        <v>28</v>
      </c>
      <c r="L358" t="s">
        <v>52</v>
      </c>
      <c r="M358" s="21">
        <v>45200</v>
      </c>
      <c r="N358" s="21">
        <v>596640</v>
      </c>
      <c r="O358" s="21">
        <v>54240</v>
      </c>
      <c r="P358" s="37">
        <v>3</v>
      </c>
      <c r="Q358" t="s">
        <v>42</v>
      </c>
      <c r="R358" s="37">
        <v>16</v>
      </c>
      <c r="S358" s="37">
        <v>9</v>
      </c>
      <c r="T358" t="s">
        <v>105</v>
      </c>
      <c r="U358" t="s">
        <v>138</v>
      </c>
      <c r="V358" t="s">
        <v>69</v>
      </c>
      <c r="W358" t="str">
        <f t="shared" si="25"/>
        <v>51-58</v>
      </c>
      <c r="X358" t="str">
        <f t="shared" si="26"/>
        <v>21-30 yrs</v>
      </c>
      <c r="Y358" t="str">
        <f t="shared" si="27"/>
        <v>Dec</v>
      </c>
      <c r="Z358">
        <f t="shared" si="28"/>
        <v>2025</v>
      </c>
      <c r="AA358">
        <f t="shared" si="29"/>
        <v>0</v>
      </c>
    </row>
    <row r="359" spans="1:27" ht="15" customHeight="1" x14ac:dyDescent="0.3">
      <c r="A359" t="s">
        <v>748</v>
      </c>
      <c r="B359" s="20">
        <v>45731</v>
      </c>
      <c r="C359" t="s">
        <v>749</v>
      </c>
      <c r="D359" t="s">
        <v>35</v>
      </c>
      <c r="E359" s="37">
        <v>44</v>
      </c>
      <c r="F359" t="s">
        <v>49</v>
      </c>
      <c r="G359" t="s">
        <v>50</v>
      </c>
      <c r="H359" t="s">
        <v>66</v>
      </c>
      <c r="I359" t="s">
        <v>75</v>
      </c>
      <c r="J359" t="s">
        <v>161</v>
      </c>
      <c r="K359" s="37">
        <v>29</v>
      </c>
      <c r="L359" t="s">
        <v>52</v>
      </c>
      <c r="M359" s="21">
        <v>112500</v>
      </c>
      <c r="N359" s="21">
        <v>1539000</v>
      </c>
      <c r="O359" s="21">
        <v>189000</v>
      </c>
      <c r="P359" s="37">
        <v>4</v>
      </c>
      <c r="Q359" t="s">
        <v>42</v>
      </c>
      <c r="R359" s="37">
        <v>7</v>
      </c>
      <c r="S359" s="37">
        <v>18</v>
      </c>
      <c r="T359" t="s">
        <v>105</v>
      </c>
      <c r="U359" t="s">
        <v>63</v>
      </c>
      <c r="V359" t="s">
        <v>45</v>
      </c>
      <c r="W359" t="str">
        <f t="shared" si="25"/>
        <v>41-50</v>
      </c>
      <c r="X359" t="str">
        <f t="shared" si="26"/>
        <v>21-30 yrs</v>
      </c>
      <c r="Y359" t="str">
        <f t="shared" si="27"/>
        <v>Mar</v>
      </c>
      <c r="Z359">
        <f t="shared" si="28"/>
        <v>2025</v>
      </c>
      <c r="AA359">
        <f t="shared" si="29"/>
        <v>0</v>
      </c>
    </row>
    <row r="360" spans="1:27" ht="15" customHeight="1" x14ac:dyDescent="0.3">
      <c r="A360" t="s">
        <v>750</v>
      </c>
      <c r="B360" s="20">
        <v>45664</v>
      </c>
      <c r="C360" t="s">
        <v>751</v>
      </c>
      <c r="D360" t="s">
        <v>35</v>
      </c>
      <c r="E360" s="37">
        <v>39</v>
      </c>
      <c r="F360" t="s">
        <v>123</v>
      </c>
      <c r="G360" t="s">
        <v>124</v>
      </c>
      <c r="H360" t="s">
        <v>66</v>
      </c>
      <c r="I360" t="s">
        <v>82</v>
      </c>
      <c r="J360" t="s">
        <v>161</v>
      </c>
      <c r="K360" s="37">
        <v>16</v>
      </c>
      <c r="L360" t="s">
        <v>52</v>
      </c>
      <c r="M360" s="21">
        <v>61300</v>
      </c>
      <c r="N360" s="21">
        <v>816516</v>
      </c>
      <c r="O360" s="21">
        <v>80916</v>
      </c>
      <c r="P360" s="37">
        <v>3</v>
      </c>
      <c r="Q360" t="s">
        <v>42</v>
      </c>
      <c r="R360" s="37">
        <v>4</v>
      </c>
      <c r="S360" s="37">
        <v>23</v>
      </c>
      <c r="T360" t="s">
        <v>94</v>
      </c>
      <c r="U360" t="s">
        <v>44</v>
      </c>
      <c r="V360" t="s">
        <v>69</v>
      </c>
      <c r="W360" t="str">
        <f t="shared" si="25"/>
        <v>31-40</v>
      </c>
      <c r="X360" t="str">
        <f t="shared" si="26"/>
        <v>11-20 yrs</v>
      </c>
      <c r="Y360" t="str">
        <f t="shared" si="27"/>
        <v>Jan</v>
      </c>
      <c r="Z360">
        <f t="shared" si="28"/>
        <v>2025</v>
      </c>
      <c r="AA360">
        <f t="shared" si="29"/>
        <v>0</v>
      </c>
    </row>
    <row r="361" spans="1:27" ht="15" customHeight="1" x14ac:dyDescent="0.3">
      <c r="A361" t="s">
        <v>752</v>
      </c>
      <c r="B361" s="20">
        <v>45695</v>
      </c>
      <c r="C361" t="s">
        <v>753</v>
      </c>
      <c r="D361" t="s">
        <v>35</v>
      </c>
      <c r="E361" s="37">
        <v>33</v>
      </c>
      <c r="F361" t="s">
        <v>80</v>
      </c>
      <c r="G361" t="s">
        <v>81</v>
      </c>
      <c r="H361" t="s">
        <v>74</v>
      </c>
      <c r="I361" t="s">
        <v>75</v>
      </c>
      <c r="J361" t="s">
        <v>152</v>
      </c>
      <c r="K361" s="37">
        <v>12</v>
      </c>
      <c r="L361" t="s">
        <v>41</v>
      </c>
      <c r="M361" s="21">
        <v>103100</v>
      </c>
      <c r="N361" s="21">
        <v>1311432</v>
      </c>
      <c r="O361" s="21">
        <v>74232</v>
      </c>
      <c r="P361" s="37">
        <v>4</v>
      </c>
      <c r="Q361" t="s">
        <v>42</v>
      </c>
      <c r="R361" s="37">
        <v>6</v>
      </c>
      <c r="S361" s="37">
        <v>10</v>
      </c>
      <c r="T361" t="s">
        <v>62</v>
      </c>
      <c r="U361" t="s">
        <v>44</v>
      </c>
      <c r="V361" t="s">
        <v>45</v>
      </c>
      <c r="W361" t="str">
        <f t="shared" si="25"/>
        <v>31-40</v>
      </c>
      <c r="X361" t="str">
        <f t="shared" si="26"/>
        <v>11-20 yrs</v>
      </c>
      <c r="Y361" t="str">
        <f t="shared" si="27"/>
        <v>Feb</v>
      </c>
      <c r="Z361">
        <f t="shared" si="28"/>
        <v>2025</v>
      </c>
      <c r="AA361">
        <f t="shared" si="29"/>
        <v>0</v>
      </c>
    </row>
    <row r="362" spans="1:27" ht="15" customHeight="1" x14ac:dyDescent="0.3">
      <c r="A362" t="s">
        <v>754</v>
      </c>
      <c r="B362" s="20">
        <v>45840</v>
      </c>
      <c r="C362" t="s">
        <v>755</v>
      </c>
      <c r="D362" t="s">
        <v>48</v>
      </c>
      <c r="E362" s="37">
        <v>34</v>
      </c>
      <c r="F362" t="s">
        <v>36</v>
      </c>
      <c r="G362" t="s">
        <v>37</v>
      </c>
      <c r="H362" t="s">
        <v>118</v>
      </c>
      <c r="I362" t="s">
        <v>39</v>
      </c>
      <c r="J362" t="s">
        <v>182</v>
      </c>
      <c r="K362" s="37">
        <v>6</v>
      </c>
      <c r="L362" t="s">
        <v>52</v>
      </c>
      <c r="M362" s="21">
        <v>39400</v>
      </c>
      <c r="N362" s="21">
        <v>534264</v>
      </c>
      <c r="O362" s="21">
        <v>61464</v>
      </c>
      <c r="P362" s="37">
        <v>5</v>
      </c>
      <c r="Q362" t="s">
        <v>42</v>
      </c>
      <c r="R362" s="37">
        <v>6</v>
      </c>
      <c r="S362" s="37">
        <v>38</v>
      </c>
      <c r="T362" t="s">
        <v>105</v>
      </c>
      <c r="U362" t="s">
        <v>63</v>
      </c>
      <c r="V362" t="s">
        <v>45</v>
      </c>
      <c r="W362" t="str">
        <f t="shared" si="25"/>
        <v>31-40</v>
      </c>
      <c r="X362" t="str">
        <f t="shared" si="26"/>
        <v>6-10 yrs</v>
      </c>
      <c r="Y362" t="str">
        <f t="shared" si="27"/>
        <v>Jul</v>
      </c>
      <c r="Z362">
        <f t="shared" si="28"/>
        <v>2025</v>
      </c>
      <c r="AA362">
        <f t="shared" si="29"/>
        <v>0</v>
      </c>
    </row>
    <row r="363" spans="1:27" ht="15" customHeight="1" x14ac:dyDescent="0.3">
      <c r="A363" t="s">
        <v>756</v>
      </c>
      <c r="B363" s="20">
        <v>45680</v>
      </c>
      <c r="C363" t="s">
        <v>452</v>
      </c>
      <c r="D363" t="s">
        <v>48</v>
      </c>
      <c r="E363" s="37">
        <v>58</v>
      </c>
      <c r="F363" t="s">
        <v>57</v>
      </c>
      <c r="G363" t="s">
        <v>58</v>
      </c>
      <c r="H363" t="s">
        <v>118</v>
      </c>
      <c r="I363" t="s">
        <v>75</v>
      </c>
      <c r="J363" t="s">
        <v>250</v>
      </c>
      <c r="K363" s="37">
        <v>18</v>
      </c>
      <c r="L363" t="s">
        <v>52</v>
      </c>
      <c r="M363" s="21">
        <v>92600</v>
      </c>
      <c r="N363" s="21">
        <v>1288992</v>
      </c>
      <c r="O363" s="21">
        <v>177792</v>
      </c>
      <c r="P363" s="37">
        <v>3</v>
      </c>
      <c r="Q363" t="s">
        <v>42</v>
      </c>
      <c r="R363" s="37">
        <v>0</v>
      </c>
      <c r="S363" s="37">
        <v>2</v>
      </c>
      <c r="T363" t="s">
        <v>62</v>
      </c>
      <c r="U363" t="s">
        <v>44</v>
      </c>
      <c r="V363" t="s">
        <v>69</v>
      </c>
      <c r="W363" t="str">
        <f t="shared" si="25"/>
        <v>51-58</v>
      </c>
      <c r="X363" t="str">
        <f t="shared" si="26"/>
        <v>11-20 yrs</v>
      </c>
      <c r="Y363" t="str">
        <f t="shared" si="27"/>
        <v>Jan</v>
      </c>
      <c r="Z363">
        <f t="shared" si="28"/>
        <v>2025</v>
      </c>
      <c r="AA363">
        <f t="shared" si="29"/>
        <v>0</v>
      </c>
    </row>
    <row r="364" spans="1:27" ht="15" customHeight="1" x14ac:dyDescent="0.3">
      <c r="A364" t="s">
        <v>757</v>
      </c>
      <c r="B364" s="20">
        <v>45791</v>
      </c>
      <c r="C364" t="s">
        <v>411</v>
      </c>
      <c r="D364" t="s">
        <v>35</v>
      </c>
      <c r="E364" s="37">
        <v>47</v>
      </c>
      <c r="F364" t="s">
        <v>36</v>
      </c>
      <c r="G364" t="s">
        <v>37</v>
      </c>
      <c r="H364" t="s">
        <v>59</v>
      </c>
      <c r="I364" t="s">
        <v>75</v>
      </c>
      <c r="J364" t="s">
        <v>141</v>
      </c>
      <c r="K364" s="37">
        <v>22</v>
      </c>
      <c r="L364" t="s">
        <v>52</v>
      </c>
      <c r="M364" s="21">
        <v>72400</v>
      </c>
      <c r="N364" s="21">
        <v>1016495</v>
      </c>
      <c r="O364" s="21">
        <v>147696</v>
      </c>
      <c r="P364" s="37">
        <v>2</v>
      </c>
      <c r="Q364" t="s">
        <v>42</v>
      </c>
      <c r="R364" s="37">
        <v>6</v>
      </c>
      <c r="S364" s="37">
        <v>19</v>
      </c>
      <c r="T364" t="s">
        <v>68</v>
      </c>
      <c r="U364" t="s">
        <v>44</v>
      </c>
      <c r="V364" t="s">
        <v>45</v>
      </c>
      <c r="W364" t="str">
        <f t="shared" si="25"/>
        <v>41-50</v>
      </c>
      <c r="X364" t="str">
        <f t="shared" si="26"/>
        <v>21-30 yrs</v>
      </c>
      <c r="Y364" t="str">
        <f t="shared" si="27"/>
        <v>May</v>
      </c>
      <c r="Z364">
        <f t="shared" si="28"/>
        <v>2025</v>
      </c>
      <c r="AA364">
        <f t="shared" si="29"/>
        <v>0</v>
      </c>
    </row>
    <row r="365" spans="1:27" ht="15" customHeight="1" x14ac:dyDescent="0.3">
      <c r="A365" t="s">
        <v>758</v>
      </c>
      <c r="B365" s="20">
        <v>45872</v>
      </c>
      <c r="C365" t="s">
        <v>759</v>
      </c>
      <c r="D365" t="s">
        <v>48</v>
      </c>
      <c r="E365" s="37">
        <v>50</v>
      </c>
      <c r="F365" t="s">
        <v>72</v>
      </c>
      <c r="G365" t="s">
        <v>73</v>
      </c>
      <c r="H365" t="s">
        <v>66</v>
      </c>
      <c r="I365" t="s">
        <v>60</v>
      </c>
      <c r="J365" t="s">
        <v>161</v>
      </c>
      <c r="K365" s="37">
        <v>1</v>
      </c>
      <c r="L365" t="s">
        <v>52</v>
      </c>
      <c r="M365" s="21">
        <v>132200</v>
      </c>
      <c r="N365" s="21">
        <v>1824359</v>
      </c>
      <c r="O365" s="21">
        <v>237960</v>
      </c>
      <c r="P365" s="37">
        <v>3</v>
      </c>
      <c r="Q365" t="s">
        <v>42</v>
      </c>
      <c r="R365" s="37">
        <v>0</v>
      </c>
      <c r="S365" s="37">
        <v>4</v>
      </c>
      <c r="T365" t="s">
        <v>129</v>
      </c>
      <c r="U365" t="s">
        <v>44</v>
      </c>
      <c r="V365" t="s">
        <v>69</v>
      </c>
      <c r="W365" t="str">
        <f t="shared" si="25"/>
        <v>41-50</v>
      </c>
      <c r="X365" t="str">
        <f t="shared" si="26"/>
        <v>0-5 yrs</v>
      </c>
      <c r="Y365" t="str">
        <f t="shared" si="27"/>
        <v>Aug</v>
      </c>
      <c r="Z365">
        <f t="shared" si="28"/>
        <v>2025</v>
      </c>
      <c r="AA365">
        <f t="shared" si="29"/>
        <v>0</v>
      </c>
    </row>
    <row r="366" spans="1:27" ht="15" customHeight="1" x14ac:dyDescent="0.3">
      <c r="A366" t="s">
        <v>760</v>
      </c>
      <c r="B366" s="20">
        <v>45663</v>
      </c>
      <c r="C366" t="s">
        <v>761</v>
      </c>
      <c r="D366" t="s">
        <v>35</v>
      </c>
      <c r="E366" s="37">
        <v>35</v>
      </c>
      <c r="F366" t="s">
        <v>108</v>
      </c>
      <c r="G366" t="s">
        <v>109</v>
      </c>
      <c r="H366" t="s">
        <v>66</v>
      </c>
      <c r="I366" t="s">
        <v>82</v>
      </c>
      <c r="J366" t="s">
        <v>149</v>
      </c>
      <c r="K366" s="37">
        <v>10</v>
      </c>
      <c r="L366" t="s">
        <v>52</v>
      </c>
      <c r="M366" s="21">
        <v>65700</v>
      </c>
      <c r="N366" s="21">
        <v>859356</v>
      </c>
      <c r="O366" s="21">
        <v>70956</v>
      </c>
      <c r="P366" s="37">
        <v>4</v>
      </c>
      <c r="Q366" t="s">
        <v>42</v>
      </c>
      <c r="R366" s="37">
        <v>11</v>
      </c>
      <c r="S366" s="37">
        <v>22</v>
      </c>
      <c r="T366" t="s">
        <v>129</v>
      </c>
      <c r="U366" t="s">
        <v>63</v>
      </c>
      <c r="V366" t="s">
        <v>69</v>
      </c>
      <c r="W366" t="str">
        <f t="shared" si="25"/>
        <v>31-40</v>
      </c>
      <c r="X366" t="str">
        <f t="shared" si="26"/>
        <v>6-10 yrs</v>
      </c>
      <c r="Y366" t="str">
        <f t="shared" si="27"/>
        <v>Jan</v>
      </c>
      <c r="Z366">
        <f t="shared" si="28"/>
        <v>2025</v>
      </c>
      <c r="AA366">
        <f t="shared" si="29"/>
        <v>0</v>
      </c>
    </row>
    <row r="367" spans="1:27" ht="15" customHeight="1" x14ac:dyDescent="0.3">
      <c r="A367" t="s">
        <v>762</v>
      </c>
      <c r="B367" s="20">
        <v>45767</v>
      </c>
      <c r="C367" t="s">
        <v>327</v>
      </c>
      <c r="D367" t="s">
        <v>35</v>
      </c>
      <c r="E367" s="37">
        <v>47</v>
      </c>
      <c r="F367" t="s">
        <v>72</v>
      </c>
      <c r="G367" t="s">
        <v>73</v>
      </c>
      <c r="H367" t="s">
        <v>74</v>
      </c>
      <c r="I367" t="s">
        <v>39</v>
      </c>
      <c r="J367" t="s">
        <v>76</v>
      </c>
      <c r="K367" s="37">
        <v>5</v>
      </c>
      <c r="L367" t="s">
        <v>52</v>
      </c>
      <c r="M367" s="21">
        <v>40300</v>
      </c>
      <c r="N367" s="21">
        <v>565812</v>
      </c>
      <c r="O367" s="21">
        <v>82212</v>
      </c>
      <c r="P367" s="37">
        <v>3</v>
      </c>
      <c r="Q367" t="s">
        <v>42</v>
      </c>
      <c r="R367" s="37">
        <v>10</v>
      </c>
      <c r="S367" s="37">
        <v>11</v>
      </c>
      <c r="T367" t="s">
        <v>129</v>
      </c>
      <c r="U367" t="s">
        <v>63</v>
      </c>
      <c r="V367" t="s">
        <v>69</v>
      </c>
      <c r="W367" t="str">
        <f t="shared" si="25"/>
        <v>41-50</v>
      </c>
      <c r="X367" t="str">
        <f t="shared" si="26"/>
        <v>0-5 yrs</v>
      </c>
      <c r="Y367" t="str">
        <f t="shared" si="27"/>
        <v>Apr</v>
      </c>
      <c r="Z367">
        <f t="shared" si="28"/>
        <v>2025</v>
      </c>
      <c r="AA367">
        <f t="shared" si="29"/>
        <v>0</v>
      </c>
    </row>
    <row r="368" spans="1:27" ht="15" customHeight="1" x14ac:dyDescent="0.3">
      <c r="A368" t="s">
        <v>763</v>
      </c>
      <c r="B368" s="20">
        <v>45918</v>
      </c>
      <c r="C368" t="s">
        <v>764</v>
      </c>
      <c r="D368" t="s">
        <v>35</v>
      </c>
      <c r="E368" s="37">
        <v>45</v>
      </c>
      <c r="F368" t="s">
        <v>91</v>
      </c>
      <c r="G368" t="s">
        <v>92</v>
      </c>
      <c r="H368" t="s">
        <v>118</v>
      </c>
      <c r="I368" t="s">
        <v>82</v>
      </c>
      <c r="J368" t="s">
        <v>250</v>
      </c>
      <c r="K368" s="37">
        <v>9</v>
      </c>
      <c r="L368" t="s">
        <v>52</v>
      </c>
      <c r="M368" s="21">
        <v>60200</v>
      </c>
      <c r="N368" s="21">
        <v>845208</v>
      </c>
      <c r="O368" s="21">
        <v>122808</v>
      </c>
      <c r="P368" s="37">
        <v>4</v>
      </c>
      <c r="Q368" t="s">
        <v>42</v>
      </c>
      <c r="R368" s="37">
        <v>10</v>
      </c>
      <c r="S368" s="37">
        <v>14</v>
      </c>
      <c r="T368" t="s">
        <v>53</v>
      </c>
      <c r="U368" t="s">
        <v>63</v>
      </c>
      <c r="V368" t="s">
        <v>69</v>
      </c>
      <c r="W368" t="str">
        <f t="shared" si="25"/>
        <v>41-50</v>
      </c>
      <c r="X368" t="str">
        <f t="shared" si="26"/>
        <v>6-10 yrs</v>
      </c>
      <c r="Y368" t="str">
        <f t="shared" si="27"/>
        <v>Sep</v>
      </c>
      <c r="Z368">
        <f t="shared" si="28"/>
        <v>2025</v>
      </c>
      <c r="AA368">
        <f t="shared" si="29"/>
        <v>0</v>
      </c>
    </row>
    <row r="369" spans="1:27" ht="15" customHeight="1" x14ac:dyDescent="0.3">
      <c r="A369" t="s">
        <v>765</v>
      </c>
      <c r="B369" s="20">
        <v>45801</v>
      </c>
      <c r="C369" t="s">
        <v>766</v>
      </c>
      <c r="D369" t="s">
        <v>35</v>
      </c>
      <c r="E369" s="37">
        <v>39</v>
      </c>
      <c r="F369" t="s">
        <v>123</v>
      </c>
      <c r="G369" t="s">
        <v>124</v>
      </c>
      <c r="H369" t="s">
        <v>66</v>
      </c>
      <c r="I369" t="s">
        <v>82</v>
      </c>
      <c r="J369" t="s">
        <v>149</v>
      </c>
      <c r="K369" s="37">
        <v>1</v>
      </c>
      <c r="L369" t="s">
        <v>52</v>
      </c>
      <c r="M369" s="21">
        <v>57500</v>
      </c>
      <c r="N369" s="21">
        <v>731400</v>
      </c>
      <c r="O369" s="21">
        <v>41400</v>
      </c>
      <c r="P369" s="37">
        <v>4</v>
      </c>
      <c r="Q369" t="s">
        <v>42</v>
      </c>
      <c r="R369" s="37">
        <v>0</v>
      </c>
      <c r="S369" s="37">
        <v>18</v>
      </c>
      <c r="T369" t="s">
        <v>62</v>
      </c>
      <c r="U369" t="s">
        <v>44</v>
      </c>
      <c r="V369" t="s">
        <v>45</v>
      </c>
      <c r="W369" t="str">
        <f t="shared" si="25"/>
        <v>31-40</v>
      </c>
      <c r="X369" t="str">
        <f t="shared" si="26"/>
        <v>0-5 yrs</v>
      </c>
      <c r="Y369" t="str">
        <f t="shared" si="27"/>
        <v>May</v>
      </c>
      <c r="Z369">
        <f t="shared" si="28"/>
        <v>2025</v>
      </c>
      <c r="AA369">
        <f t="shared" si="29"/>
        <v>0</v>
      </c>
    </row>
    <row r="370" spans="1:27" ht="15" customHeight="1" x14ac:dyDescent="0.3">
      <c r="A370" t="s">
        <v>767</v>
      </c>
      <c r="B370" s="20">
        <v>45719</v>
      </c>
      <c r="C370" t="s">
        <v>768</v>
      </c>
      <c r="D370" t="s">
        <v>35</v>
      </c>
      <c r="E370" s="37">
        <v>39</v>
      </c>
      <c r="F370" t="s">
        <v>108</v>
      </c>
      <c r="G370" t="s">
        <v>109</v>
      </c>
      <c r="H370" t="s">
        <v>38</v>
      </c>
      <c r="I370" t="s">
        <v>82</v>
      </c>
      <c r="J370" t="s">
        <v>110</v>
      </c>
      <c r="K370" s="37">
        <v>4</v>
      </c>
      <c r="L370" t="s">
        <v>52</v>
      </c>
      <c r="M370" s="21">
        <v>65000</v>
      </c>
      <c r="N370" s="21">
        <v>889200</v>
      </c>
      <c r="O370" s="21">
        <v>109200</v>
      </c>
      <c r="P370" s="37">
        <v>4</v>
      </c>
      <c r="Q370" t="s">
        <v>42</v>
      </c>
      <c r="R370" s="37">
        <v>1</v>
      </c>
      <c r="S370" s="37">
        <v>15</v>
      </c>
      <c r="T370" t="s">
        <v>43</v>
      </c>
      <c r="U370" t="s">
        <v>63</v>
      </c>
      <c r="V370" t="s">
        <v>69</v>
      </c>
      <c r="W370" t="str">
        <f t="shared" si="25"/>
        <v>31-40</v>
      </c>
      <c r="X370" t="str">
        <f t="shared" si="26"/>
        <v>0-5 yrs</v>
      </c>
      <c r="Y370" t="str">
        <f t="shared" si="27"/>
        <v>Mar</v>
      </c>
      <c r="Z370">
        <f t="shared" si="28"/>
        <v>2025</v>
      </c>
      <c r="AA370">
        <f t="shared" si="29"/>
        <v>0</v>
      </c>
    </row>
    <row r="371" spans="1:27" ht="15" customHeight="1" x14ac:dyDescent="0.3">
      <c r="A371" t="s">
        <v>769</v>
      </c>
      <c r="B371" s="20">
        <v>45774</v>
      </c>
      <c r="C371" t="s">
        <v>732</v>
      </c>
      <c r="D371" t="s">
        <v>35</v>
      </c>
      <c r="E371" s="37">
        <v>49</v>
      </c>
      <c r="F371" t="s">
        <v>80</v>
      </c>
      <c r="G371" t="s">
        <v>81</v>
      </c>
      <c r="H371" t="s">
        <v>38</v>
      </c>
      <c r="I371" t="s">
        <v>75</v>
      </c>
      <c r="J371" t="s">
        <v>110</v>
      </c>
      <c r="K371" s="37">
        <v>14</v>
      </c>
      <c r="L371" t="s">
        <v>52</v>
      </c>
      <c r="M371" s="21">
        <v>81900</v>
      </c>
      <c r="N371" s="21">
        <v>1100736</v>
      </c>
      <c r="O371" s="21">
        <v>117936</v>
      </c>
      <c r="P371" s="37">
        <v>4</v>
      </c>
      <c r="Q371" t="s">
        <v>42</v>
      </c>
      <c r="R371" s="37">
        <v>9</v>
      </c>
      <c r="S371" s="37">
        <v>1</v>
      </c>
      <c r="T371" t="s">
        <v>68</v>
      </c>
      <c r="U371" t="s">
        <v>63</v>
      </c>
      <c r="V371" t="s">
        <v>45</v>
      </c>
      <c r="W371" t="str">
        <f t="shared" si="25"/>
        <v>41-50</v>
      </c>
      <c r="X371" t="str">
        <f t="shared" si="26"/>
        <v>11-20 yrs</v>
      </c>
      <c r="Y371" t="str">
        <f t="shared" si="27"/>
        <v>Apr</v>
      </c>
      <c r="Z371">
        <f t="shared" si="28"/>
        <v>2025</v>
      </c>
      <c r="AA371">
        <f t="shared" si="29"/>
        <v>0</v>
      </c>
    </row>
    <row r="372" spans="1:27" ht="15" customHeight="1" x14ac:dyDescent="0.3">
      <c r="A372" t="s">
        <v>770</v>
      </c>
      <c r="B372" s="20">
        <v>45854</v>
      </c>
      <c r="C372" t="s">
        <v>598</v>
      </c>
      <c r="D372" t="s">
        <v>35</v>
      </c>
      <c r="E372" s="37">
        <v>22</v>
      </c>
      <c r="F372" t="s">
        <v>91</v>
      </c>
      <c r="G372" t="s">
        <v>92</v>
      </c>
      <c r="H372" t="s">
        <v>38</v>
      </c>
      <c r="I372" t="s">
        <v>39</v>
      </c>
      <c r="J372" t="s">
        <v>110</v>
      </c>
      <c r="K372" s="37">
        <v>7</v>
      </c>
      <c r="L372" t="s">
        <v>52</v>
      </c>
      <c r="M372" s="21">
        <v>36700</v>
      </c>
      <c r="N372" s="21">
        <v>493248</v>
      </c>
      <c r="O372" s="21">
        <v>52848</v>
      </c>
      <c r="P372" s="37">
        <v>3</v>
      </c>
      <c r="Q372" t="s">
        <v>126</v>
      </c>
      <c r="R372" s="37">
        <v>6</v>
      </c>
      <c r="S372" s="37">
        <v>8</v>
      </c>
      <c r="T372" t="s">
        <v>43</v>
      </c>
      <c r="U372" t="s">
        <v>44</v>
      </c>
      <c r="V372" t="s">
        <v>69</v>
      </c>
      <c r="W372" t="str">
        <f t="shared" si="25"/>
        <v>22-30</v>
      </c>
      <c r="X372" t="str">
        <f t="shared" si="26"/>
        <v>6-10 yrs</v>
      </c>
      <c r="Y372" t="str">
        <f t="shared" si="27"/>
        <v>Jul</v>
      </c>
      <c r="Z372">
        <f t="shared" si="28"/>
        <v>2025</v>
      </c>
      <c r="AA372">
        <f t="shared" si="29"/>
        <v>1</v>
      </c>
    </row>
    <row r="373" spans="1:27" ht="15" customHeight="1" x14ac:dyDescent="0.3">
      <c r="A373" t="s">
        <v>771</v>
      </c>
      <c r="B373" s="20">
        <v>45913</v>
      </c>
      <c r="C373" t="s">
        <v>563</v>
      </c>
      <c r="D373" t="s">
        <v>35</v>
      </c>
      <c r="E373" s="37">
        <v>58</v>
      </c>
      <c r="F373" t="s">
        <v>57</v>
      </c>
      <c r="G373" t="s">
        <v>58</v>
      </c>
      <c r="H373" t="s">
        <v>74</v>
      </c>
      <c r="I373" t="s">
        <v>82</v>
      </c>
      <c r="J373" t="s">
        <v>152</v>
      </c>
      <c r="K373" s="37">
        <v>25</v>
      </c>
      <c r="L373" t="s">
        <v>52</v>
      </c>
      <c r="M373" s="21">
        <v>50900</v>
      </c>
      <c r="N373" s="21">
        <v>690203</v>
      </c>
      <c r="O373" s="21">
        <v>79404</v>
      </c>
      <c r="P373" s="37">
        <v>5</v>
      </c>
      <c r="Q373" t="s">
        <v>42</v>
      </c>
      <c r="R373" s="37">
        <v>17</v>
      </c>
      <c r="S373" s="37">
        <v>9</v>
      </c>
      <c r="T373" t="s">
        <v>77</v>
      </c>
      <c r="U373" t="s">
        <v>44</v>
      </c>
      <c r="V373" t="s">
        <v>45</v>
      </c>
      <c r="W373" t="str">
        <f t="shared" si="25"/>
        <v>51-58</v>
      </c>
      <c r="X373" t="str">
        <f t="shared" si="26"/>
        <v>21-30 yrs</v>
      </c>
      <c r="Y373" t="str">
        <f t="shared" si="27"/>
        <v>Sep</v>
      </c>
      <c r="Z373">
        <f t="shared" si="28"/>
        <v>2025</v>
      </c>
      <c r="AA373">
        <f t="shared" si="29"/>
        <v>0</v>
      </c>
    </row>
    <row r="374" spans="1:27" ht="15" customHeight="1" x14ac:dyDescent="0.3">
      <c r="A374" t="s">
        <v>772</v>
      </c>
      <c r="B374" s="20">
        <v>45862</v>
      </c>
      <c r="C374" t="s">
        <v>773</v>
      </c>
      <c r="D374" t="s">
        <v>35</v>
      </c>
      <c r="E374" s="37">
        <v>54</v>
      </c>
      <c r="F374" t="s">
        <v>49</v>
      </c>
      <c r="G374" t="s">
        <v>50</v>
      </c>
      <c r="H374" t="s">
        <v>38</v>
      </c>
      <c r="I374" t="s">
        <v>82</v>
      </c>
      <c r="J374" t="s">
        <v>99</v>
      </c>
      <c r="K374" s="37">
        <v>6</v>
      </c>
      <c r="L374" t="s">
        <v>52</v>
      </c>
      <c r="M374" s="21">
        <v>68600</v>
      </c>
      <c r="N374" s="21">
        <v>946679</v>
      </c>
      <c r="O374" s="21">
        <v>123480</v>
      </c>
      <c r="P374" s="37">
        <v>2</v>
      </c>
      <c r="Q374" t="s">
        <v>42</v>
      </c>
      <c r="R374" s="37">
        <v>4</v>
      </c>
      <c r="S374" s="37">
        <v>40</v>
      </c>
      <c r="T374" t="s">
        <v>129</v>
      </c>
      <c r="U374" t="s">
        <v>63</v>
      </c>
      <c r="V374" t="s">
        <v>69</v>
      </c>
      <c r="W374" t="str">
        <f t="shared" si="25"/>
        <v>51-58</v>
      </c>
      <c r="X374" t="str">
        <f t="shared" si="26"/>
        <v>6-10 yrs</v>
      </c>
      <c r="Y374" t="str">
        <f t="shared" si="27"/>
        <v>Jul</v>
      </c>
      <c r="Z374">
        <f t="shared" si="28"/>
        <v>2025</v>
      </c>
      <c r="AA374">
        <f t="shared" si="29"/>
        <v>0</v>
      </c>
    </row>
    <row r="375" spans="1:27" ht="15" customHeight="1" x14ac:dyDescent="0.3">
      <c r="A375" t="s">
        <v>774</v>
      </c>
      <c r="B375" s="20">
        <v>45995</v>
      </c>
      <c r="C375" t="s">
        <v>775</v>
      </c>
      <c r="D375" t="s">
        <v>35</v>
      </c>
      <c r="E375" s="37">
        <v>55</v>
      </c>
      <c r="F375" t="s">
        <v>91</v>
      </c>
      <c r="G375" t="s">
        <v>92</v>
      </c>
      <c r="H375" t="s">
        <v>66</v>
      </c>
      <c r="I375" t="s">
        <v>39</v>
      </c>
      <c r="J375" t="s">
        <v>170</v>
      </c>
      <c r="K375" s="37">
        <v>27</v>
      </c>
      <c r="L375" t="s">
        <v>52</v>
      </c>
      <c r="M375" s="21">
        <v>38800</v>
      </c>
      <c r="N375" s="21">
        <v>544752</v>
      </c>
      <c r="O375" s="21">
        <v>79152</v>
      </c>
      <c r="P375" s="37">
        <v>5</v>
      </c>
      <c r="Q375" t="s">
        <v>42</v>
      </c>
      <c r="R375" s="37">
        <v>3</v>
      </c>
      <c r="S375" s="37">
        <v>14</v>
      </c>
      <c r="T375" t="s">
        <v>77</v>
      </c>
      <c r="U375" t="s">
        <v>44</v>
      </c>
      <c r="V375" t="s">
        <v>69</v>
      </c>
      <c r="W375" t="str">
        <f t="shared" si="25"/>
        <v>51-58</v>
      </c>
      <c r="X375" t="str">
        <f t="shared" si="26"/>
        <v>21-30 yrs</v>
      </c>
      <c r="Y375" t="str">
        <f t="shared" si="27"/>
        <v>Dec</v>
      </c>
      <c r="Z375">
        <f t="shared" si="28"/>
        <v>2025</v>
      </c>
      <c r="AA375">
        <f t="shared" si="29"/>
        <v>0</v>
      </c>
    </row>
    <row r="376" spans="1:27" ht="15" customHeight="1" x14ac:dyDescent="0.3">
      <c r="A376" t="s">
        <v>776</v>
      </c>
      <c r="B376" s="20">
        <v>45748</v>
      </c>
      <c r="C376" t="s">
        <v>777</v>
      </c>
      <c r="D376" t="s">
        <v>48</v>
      </c>
      <c r="E376" s="37">
        <v>58</v>
      </c>
      <c r="F376" t="s">
        <v>86</v>
      </c>
      <c r="G376" t="s">
        <v>87</v>
      </c>
      <c r="H376" t="s">
        <v>59</v>
      </c>
      <c r="I376" t="s">
        <v>39</v>
      </c>
      <c r="J376" t="s">
        <v>104</v>
      </c>
      <c r="K376" s="37">
        <v>6</v>
      </c>
      <c r="L376" t="s">
        <v>52</v>
      </c>
      <c r="M376" s="21">
        <v>35000</v>
      </c>
      <c r="N376" s="21">
        <v>457800</v>
      </c>
      <c r="O376" s="21">
        <v>37800</v>
      </c>
      <c r="P376" s="37">
        <v>3</v>
      </c>
      <c r="Q376" t="s">
        <v>42</v>
      </c>
      <c r="R376" s="37">
        <v>1</v>
      </c>
      <c r="S376" s="37">
        <v>32</v>
      </c>
      <c r="T376" t="s">
        <v>62</v>
      </c>
      <c r="U376" t="s">
        <v>44</v>
      </c>
      <c r="V376" t="s">
        <v>69</v>
      </c>
      <c r="W376" t="str">
        <f t="shared" si="25"/>
        <v>51-58</v>
      </c>
      <c r="X376" t="str">
        <f t="shared" si="26"/>
        <v>6-10 yrs</v>
      </c>
      <c r="Y376" t="str">
        <f t="shared" si="27"/>
        <v>Apr</v>
      </c>
      <c r="Z376">
        <f t="shared" si="28"/>
        <v>2025</v>
      </c>
      <c r="AA376">
        <f t="shared" si="29"/>
        <v>0</v>
      </c>
    </row>
    <row r="377" spans="1:27" ht="15" customHeight="1" x14ac:dyDescent="0.3">
      <c r="A377" t="s">
        <v>778</v>
      </c>
      <c r="B377" s="20">
        <v>45693</v>
      </c>
      <c r="C377" t="s">
        <v>231</v>
      </c>
      <c r="D377" t="s">
        <v>35</v>
      </c>
      <c r="E377" s="37">
        <v>36</v>
      </c>
      <c r="F377" t="s">
        <v>108</v>
      </c>
      <c r="G377" t="s">
        <v>109</v>
      </c>
      <c r="H377" t="s">
        <v>38</v>
      </c>
      <c r="I377" t="s">
        <v>51</v>
      </c>
      <c r="J377" t="s">
        <v>190</v>
      </c>
      <c r="K377" s="37">
        <v>10</v>
      </c>
      <c r="L377" t="s">
        <v>52</v>
      </c>
      <c r="M377" s="21">
        <v>186700</v>
      </c>
      <c r="N377" s="21">
        <v>2554056</v>
      </c>
      <c r="O377" s="21">
        <v>313656</v>
      </c>
      <c r="P377" s="37">
        <v>4</v>
      </c>
      <c r="Q377" t="s">
        <v>42</v>
      </c>
      <c r="R377" s="37">
        <v>16</v>
      </c>
      <c r="S377" s="37">
        <v>8</v>
      </c>
      <c r="T377" t="s">
        <v>129</v>
      </c>
      <c r="U377" t="s">
        <v>138</v>
      </c>
      <c r="V377" t="s">
        <v>45</v>
      </c>
      <c r="W377" t="str">
        <f t="shared" si="25"/>
        <v>31-40</v>
      </c>
      <c r="X377" t="str">
        <f t="shared" si="26"/>
        <v>6-10 yrs</v>
      </c>
      <c r="Y377" t="str">
        <f t="shared" si="27"/>
        <v>Feb</v>
      </c>
      <c r="Z377">
        <f t="shared" si="28"/>
        <v>2025</v>
      </c>
      <c r="AA377">
        <f t="shared" si="29"/>
        <v>0</v>
      </c>
    </row>
    <row r="378" spans="1:27" ht="15" customHeight="1" x14ac:dyDescent="0.3">
      <c r="A378" t="s">
        <v>779</v>
      </c>
      <c r="B378" s="20">
        <v>45698</v>
      </c>
      <c r="C378" t="s">
        <v>441</v>
      </c>
      <c r="D378" t="s">
        <v>35</v>
      </c>
      <c r="E378" s="37">
        <v>41</v>
      </c>
      <c r="F378" t="s">
        <v>91</v>
      </c>
      <c r="G378" t="s">
        <v>92</v>
      </c>
      <c r="H378" t="s">
        <v>66</v>
      </c>
      <c r="I378" t="s">
        <v>39</v>
      </c>
      <c r="J378" t="s">
        <v>149</v>
      </c>
      <c r="K378" s="37">
        <v>21</v>
      </c>
      <c r="L378" t="s">
        <v>120</v>
      </c>
      <c r="M378" s="21">
        <v>43800</v>
      </c>
      <c r="N378" s="21">
        <v>614952</v>
      </c>
      <c r="O378" s="21">
        <v>89352</v>
      </c>
      <c r="P378" s="37">
        <v>4</v>
      </c>
      <c r="Q378" t="s">
        <v>42</v>
      </c>
      <c r="R378" s="37">
        <v>9</v>
      </c>
      <c r="S378" s="37">
        <v>29</v>
      </c>
      <c r="T378" t="s">
        <v>43</v>
      </c>
      <c r="U378" t="s">
        <v>44</v>
      </c>
      <c r="V378" t="s">
        <v>45</v>
      </c>
      <c r="W378" t="str">
        <f t="shared" si="25"/>
        <v>41-50</v>
      </c>
      <c r="X378" t="str">
        <f t="shared" si="26"/>
        <v>21-30 yrs</v>
      </c>
      <c r="Y378" t="str">
        <f t="shared" si="27"/>
        <v>Feb</v>
      </c>
      <c r="Z378">
        <f t="shared" si="28"/>
        <v>2025</v>
      </c>
      <c r="AA378">
        <f t="shared" si="29"/>
        <v>0</v>
      </c>
    </row>
    <row r="379" spans="1:27" ht="15" customHeight="1" x14ac:dyDescent="0.3">
      <c r="A379" t="s">
        <v>780</v>
      </c>
      <c r="B379" s="20">
        <v>45726</v>
      </c>
      <c r="C379" t="s">
        <v>501</v>
      </c>
      <c r="D379" t="s">
        <v>35</v>
      </c>
      <c r="E379" s="37">
        <v>34</v>
      </c>
      <c r="F379" t="s">
        <v>36</v>
      </c>
      <c r="G379" t="s">
        <v>37</v>
      </c>
      <c r="H379" t="s">
        <v>66</v>
      </c>
      <c r="I379" t="s">
        <v>60</v>
      </c>
      <c r="J379" t="s">
        <v>67</v>
      </c>
      <c r="K379" s="37">
        <v>17</v>
      </c>
      <c r="L379" t="s">
        <v>52</v>
      </c>
      <c r="M379" s="21">
        <v>133400</v>
      </c>
      <c r="N379" s="21">
        <v>1840919</v>
      </c>
      <c r="O379" s="21">
        <v>240120</v>
      </c>
      <c r="P379" s="37">
        <v>3</v>
      </c>
      <c r="Q379" t="s">
        <v>42</v>
      </c>
      <c r="R379" s="37">
        <v>17</v>
      </c>
      <c r="S379" s="37">
        <v>9</v>
      </c>
      <c r="T379" t="s">
        <v>62</v>
      </c>
      <c r="U379" t="s">
        <v>44</v>
      </c>
      <c r="V379" t="s">
        <v>45</v>
      </c>
      <c r="W379" t="str">
        <f t="shared" si="25"/>
        <v>31-40</v>
      </c>
      <c r="X379" t="str">
        <f t="shared" si="26"/>
        <v>11-20 yrs</v>
      </c>
      <c r="Y379" t="str">
        <f t="shared" si="27"/>
        <v>Mar</v>
      </c>
      <c r="Z379">
        <f t="shared" si="28"/>
        <v>2025</v>
      </c>
      <c r="AA379">
        <f t="shared" si="29"/>
        <v>0</v>
      </c>
    </row>
    <row r="380" spans="1:27" ht="15" customHeight="1" x14ac:dyDescent="0.3">
      <c r="A380" t="s">
        <v>781</v>
      </c>
      <c r="B380" s="20">
        <v>45940</v>
      </c>
      <c r="C380" t="s">
        <v>698</v>
      </c>
      <c r="D380" t="s">
        <v>35</v>
      </c>
      <c r="E380" s="37">
        <v>25</v>
      </c>
      <c r="F380" t="s">
        <v>49</v>
      </c>
      <c r="G380" t="s">
        <v>50</v>
      </c>
      <c r="H380" t="s">
        <v>66</v>
      </c>
      <c r="I380" t="s">
        <v>82</v>
      </c>
      <c r="J380" t="s">
        <v>170</v>
      </c>
      <c r="K380" s="37">
        <v>28</v>
      </c>
      <c r="L380" t="s">
        <v>52</v>
      </c>
      <c r="M380" s="21">
        <v>56400</v>
      </c>
      <c r="N380" s="21">
        <v>764783</v>
      </c>
      <c r="O380" s="21">
        <v>87984</v>
      </c>
      <c r="P380" s="37">
        <v>4</v>
      </c>
      <c r="Q380" t="s">
        <v>42</v>
      </c>
      <c r="R380" s="37">
        <v>10</v>
      </c>
      <c r="S380" s="37">
        <v>6</v>
      </c>
      <c r="T380" t="s">
        <v>129</v>
      </c>
      <c r="U380" t="s">
        <v>44</v>
      </c>
      <c r="V380" t="s">
        <v>45</v>
      </c>
      <c r="W380" t="str">
        <f t="shared" si="25"/>
        <v>22-30</v>
      </c>
      <c r="X380" t="str">
        <f t="shared" si="26"/>
        <v>21-30 yrs</v>
      </c>
      <c r="Y380" t="str">
        <f t="shared" si="27"/>
        <v>Oct</v>
      </c>
      <c r="Z380">
        <f t="shared" si="28"/>
        <v>2025</v>
      </c>
      <c r="AA380">
        <f t="shared" si="29"/>
        <v>0</v>
      </c>
    </row>
    <row r="381" spans="1:27" ht="15" customHeight="1" x14ac:dyDescent="0.3">
      <c r="A381" t="s">
        <v>782</v>
      </c>
      <c r="B381" s="20">
        <v>45996</v>
      </c>
      <c r="C381" t="s">
        <v>783</v>
      </c>
      <c r="D381" t="s">
        <v>35</v>
      </c>
      <c r="E381" s="37">
        <v>46</v>
      </c>
      <c r="F381" t="s">
        <v>86</v>
      </c>
      <c r="G381" t="s">
        <v>87</v>
      </c>
      <c r="H381" t="s">
        <v>66</v>
      </c>
      <c r="I381" t="s">
        <v>39</v>
      </c>
      <c r="J381" t="s">
        <v>67</v>
      </c>
      <c r="K381" s="37">
        <v>2</v>
      </c>
      <c r="L381" t="s">
        <v>52</v>
      </c>
      <c r="M381" s="21">
        <v>46000</v>
      </c>
      <c r="N381" s="21">
        <v>607200</v>
      </c>
      <c r="O381" s="21">
        <v>55200</v>
      </c>
      <c r="P381" s="37">
        <v>3</v>
      </c>
      <c r="Q381" t="s">
        <v>42</v>
      </c>
      <c r="R381" s="37">
        <v>15</v>
      </c>
      <c r="S381" s="37">
        <v>1</v>
      </c>
      <c r="T381" t="s">
        <v>43</v>
      </c>
      <c r="U381" t="s">
        <v>44</v>
      </c>
      <c r="V381" t="s">
        <v>45</v>
      </c>
      <c r="W381" t="str">
        <f t="shared" si="25"/>
        <v>41-50</v>
      </c>
      <c r="X381" t="str">
        <f t="shared" si="26"/>
        <v>0-5 yrs</v>
      </c>
      <c r="Y381" t="str">
        <f t="shared" si="27"/>
        <v>Dec</v>
      </c>
      <c r="Z381">
        <f t="shared" si="28"/>
        <v>2025</v>
      </c>
      <c r="AA381">
        <f t="shared" si="29"/>
        <v>0</v>
      </c>
    </row>
    <row r="382" spans="1:27" ht="15" customHeight="1" x14ac:dyDescent="0.3">
      <c r="A382" t="s">
        <v>784</v>
      </c>
      <c r="B382" s="20">
        <v>45879</v>
      </c>
      <c r="C382" t="s">
        <v>785</v>
      </c>
      <c r="D382" t="s">
        <v>48</v>
      </c>
      <c r="E382" s="37">
        <v>25</v>
      </c>
      <c r="F382" t="s">
        <v>80</v>
      </c>
      <c r="G382" t="s">
        <v>81</v>
      </c>
      <c r="H382" t="s">
        <v>118</v>
      </c>
      <c r="I382" t="s">
        <v>39</v>
      </c>
      <c r="J382" t="s">
        <v>137</v>
      </c>
      <c r="K382" s="37">
        <v>12</v>
      </c>
      <c r="L382" t="s">
        <v>41</v>
      </c>
      <c r="M382" s="21">
        <v>34600</v>
      </c>
      <c r="N382" s="21">
        <v>477479</v>
      </c>
      <c r="O382" s="21">
        <v>62280</v>
      </c>
      <c r="P382" s="37">
        <v>4</v>
      </c>
      <c r="Q382" t="s">
        <v>42</v>
      </c>
      <c r="R382" s="37">
        <v>19</v>
      </c>
      <c r="S382" s="37">
        <v>13</v>
      </c>
      <c r="T382" t="s">
        <v>62</v>
      </c>
      <c r="U382" t="s">
        <v>63</v>
      </c>
      <c r="V382" t="s">
        <v>69</v>
      </c>
      <c r="W382" t="str">
        <f t="shared" si="25"/>
        <v>22-30</v>
      </c>
      <c r="X382" t="str">
        <f t="shared" si="26"/>
        <v>11-20 yrs</v>
      </c>
      <c r="Y382" t="str">
        <f t="shared" si="27"/>
        <v>Aug</v>
      </c>
      <c r="Z382">
        <f t="shared" si="28"/>
        <v>2025</v>
      </c>
      <c r="AA382">
        <f t="shared" si="29"/>
        <v>0</v>
      </c>
    </row>
    <row r="383" spans="1:27" ht="15" customHeight="1" x14ac:dyDescent="0.3">
      <c r="A383" t="s">
        <v>786</v>
      </c>
      <c r="B383" s="20">
        <v>45755</v>
      </c>
      <c r="C383" t="s">
        <v>787</v>
      </c>
      <c r="D383" t="s">
        <v>48</v>
      </c>
      <c r="E383" s="37">
        <v>29</v>
      </c>
      <c r="F383" t="s">
        <v>72</v>
      </c>
      <c r="G383" t="s">
        <v>73</v>
      </c>
      <c r="H383" t="s">
        <v>59</v>
      </c>
      <c r="I383" t="s">
        <v>39</v>
      </c>
      <c r="J383" t="s">
        <v>104</v>
      </c>
      <c r="K383" s="37">
        <v>3</v>
      </c>
      <c r="L383" t="s">
        <v>52</v>
      </c>
      <c r="M383" s="21">
        <v>38300</v>
      </c>
      <c r="N383" s="21">
        <v>514752</v>
      </c>
      <c r="O383" s="21">
        <v>55152</v>
      </c>
      <c r="P383" s="37">
        <v>3</v>
      </c>
      <c r="Q383" t="s">
        <v>42</v>
      </c>
      <c r="R383" s="37">
        <v>10</v>
      </c>
      <c r="S383" s="37">
        <v>19</v>
      </c>
      <c r="T383" t="s">
        <v>105</v>
      </c>
      <c r="U383" t="s">
        <v>63</v>
      </c>
      <c r="V383" t="s">
        <v>69</v>
      </c>
      <c r="W383" t="str">
        <f t="shared" si="25"/>
        <v>22-30</v>
      </c>
      <c r="X383" t="str">
        <f t="shared" si="26"/>
        <v>0-5 yrs</v>
      </c>
      <c r="Y383" t="str">
        <f t="shared" si="27"/>
        <v>Apr</v>
      </c>
      <c r="Z383">
        <f t="shared" si="28"/>
        <v>2025</v>
      </c>
      <c r="AA383">
        <f t="shared" si="29"/>
        <v>0</v>
      </c>
    </row>
    <row r="384" spans="1:27" ht="15" customHeight="1" x14ac:dyDescent="0.3">
      <c r="A384" t="s">
        <v>788</v>
      </c>
      <c r="B384" s="20">
        <v>45733</v>
      </c>
      <c r="C384" t="s">
        <v>789</v>
      </c>
      <c r="D384" t="s">
        <v>48</v>
      </c>
      <c r="E384" s="37">
        <v>51</v>
      </c>
      <c r="F384" t="s">
        <v>36</v>
      </c>
      <c r="G384" t="s">
        <v>37</v>
      </c>
      <c r="H384" t="s">
        <v>118</v>
      </c>
      <c r="I384" t="s">
        <v>60</v>
      </c>
      <c r="J384" t="s">
        <v>182</v>
      </c>
      <c r="K384" s="37">
        <v>12</v>
      </c>
      <c r="L384" t="s">
        <v>52</v>
      </c>
      <c r="M384" s="21">
        <v>123800</v>
      </c>
      <c r="N384" s="21">
        <v>1619304</v>
      </c>
      <c r="O384" s="21">
        <v>133704</v>
      </c>
      <c r="P384" s="37">
        <v>4</v>
      </c>
      <c r="Q384" t="s">
        <v>42</v>
      </c>
      <c r="R384" s="37">
        <v>9</v>
      </c>
      <c r="S384" s="37">
        <v>12</v>
      </c>
      <c r="T384" t="s">
        <v>94</v>
      </c>
      <c r="U384" t="s">
        <v>44</v>
      </c>
      <c r="V384" t="s">
        <v>69</v>
      </c>
      <c r="W384" t="str">
        <f t="shared" si="25"/>
        <v>51-58</v>
      </c>
      <c r="X384" t="str">
        <f t="shared" si="26"/>
        <v>11-20 yrs</v>
      </c>
      <c r="Y384" t="str">
        <f t="shared" si="27"/>
        <v>Mar</v>
      </c>
      <c r="Z384">
        <f t="shared" si="28"/>
        <v>2025</v>
      </c>
      <c r="AA384">
        <f t="shared" si="29"/>
        <v>0</v>
      </c>
    </row>
    <row r="385" spans="1:27" ht="15" customHeight="1" x14ac:dyDescent="0.3">
      <c r="A385" t="s">
        <v>790</v>
      </c>
      <c r="B385" s="20">
        <v>45750</v>
      </c>
      <c r="C385" t="s">
        <v>791</v>
      </c>
      <c r="D385" t="s">
        <v>35</v>
      </c>
      <c r="E385" s="37">
        <v>43</v>
      </c>
      <c r="F385" t="s">
        <v>49</v>
      </c>
      <c r="G385" t="s">
        <v>50</v>
      </c>
      <c r="H385" t="s">
        <v>59</v>
      </c>
      <c r="I385" t="s">
        <v>82</v>
      </c>
      <c r="J385" t="s">
        <v>125</v>
      </c>
      <c r="K385" s="37">
        <v>14</v>
      </c>
      <c r="L385" t="s">
        <v>52</v>
      </c>
      <c r="M385" s="21">
        <v>58400</v>
      </c>
      <c r="N385" s="21">
        <v>749856</v>
      </c>
      <c r="O385" s="21">
        <v>49056</v>
      </c>
      <c r="P385" s="37">
        <v>3</v>
      </c>
      <c r="Q385" t="s">
        <v>42</v>
      </c>
      <c r="R385" s="37">
        <v>15</v>
      </c>
      <c r="S385" s="37">
        <v>15</v>
      </c>
      <c r="T385" t="s">
        <v>62</v>
      </c>
      <c r="U385" t="s">
        <v>44</v>
      </c>
      <c r="V385" t="s">
        <v>45</v>
      </c>
      <c r="W385" t="str">
        <f t="shared" si="25"/>
        <v>41-50</v>
      </c>
      <c r="X385" t="str">
        <f t="shared" si="26"/>
        <v>11-20 yrs</v>
      </c>
      <c r="Y385" t="str">
        <f t="shared" si="27"/>
        <v>Apr</v>
      </c>
      <c r="Z385">
        <f t="shared" si="28"/>
        <v>2025</v>
      </c>
      <c r="AA385">
        <f t="shared" si="29"/>
        <v>0</v>
      </c>
    </row>
    <row r="386" spans="1:27" ht="15" customHeight="1" x14ac:dyDescent="0.3">
      <c r="A386" t="s">
        <v>792</v>
      </c>
      <c r="B386" s="20">
        <v>45757</v>
      </c>
      <c r="C386" t="s">
        <v>793</v>
      </c>
      <c r="D386" t="s">
        <v>35</v>
      </c>
      <c r="E386" s="37">
        <v>35</v>
      </c>
      <c r="F386" t="s">
        <v>36</v>
      </c>
      <c r="G386" t="s">
        <v>37</v>
      </c>
      <c r="H386" t="s">
        <v>66</v>
      </c>
      <c r="I386" t="s">
        <v>82</v>
      </c>
      <c r="J386" t="s">
        <v>161</v>
      </c>
      <c r="K386" s="37">
        <v>18</v>
      </c>
      <c r="L386" t="s">
        <v>52</v>
      </c>
      <c r="M386" s="21">
        <v>78200</v>
      </c>
      <c r="N386" s="21">
        <v>1116696</v>
      </c>
      <c r="O386" s="21">
        <v>178296</v>
      </c>
      <c r="P386" s="37">
        <v>5</v>
      </c>
      <c r="Q386" t="s">
        <v>42</v>
      </c>
      <c r="R386" s="37">
        <v>13</v>
      </c>
      <c r="S386" s="37">
        <v>29</v>
      </c>
      <c r="T386" t="s">
        <v>68</v>
      </c>
      <c r="U386" t="s">
        <v>54</v>
      </c>
      <c r="V386" t="s">
        <v>69</v>
      </c>
      <c r="W386" t="str">
        <f t="shared" ref="W386:W449" si="30">IF(E386&lt;=30,"22-30",IF(E386&lt;=40,"31-40",IF(E386&lt;=50,"41-50","51-58")))</f>
        <v>31-40</v>
      </c>
      <c r="X386" t="str">
        <f t="shared" ref="X386:X449" si="31">IF(K386&lt;=5,"0-5 yrs",IF(K386&lt;=10,"6-10 yrs",IF(K386&lt;=20,"11-20 yrs","21-30 yrs")))</f>
        <v>11-20 yrs</v>
      </c>
      <c r="Y386" t="str">
        <f t="shared" ref="Y386:Y449" si="32">TEXT(B386,"mmm")</f>
        <v>Apr</v>
      </c>
      <c r="Z386">
        <f t="shared" ref="Z386:Z449" si="33">YEAR(B386)</f>
        <v>2025</v>
      </c>
      <c r="AA386">
        <f t="shared" ref="AA386:AA449" si="34">IF(Q386="Yes",1,0)</f>
        <v>0</v>
      </c>
    </row>
    <row r="387" spans="1:27" ht="15" customHeight="1" x14ac:dyDescent="0.3">
      <c r="A387" t="s">
        <v>794</v>
      </c>
      <c r="B387" s="20">
        <v>45762</v>
      </c>
      <c r="C387" t="s">
        <v>509</v>
      </c>
      <c r="D387" t="s">
        <v>48</v>
      </c>
      <c r="E387" s="37">
        <v>32</v>
      </c>
      <c r="F387" t="s">
        <v>91</v>
      </c>
      <c r="G387" t="s">
        <v>92</v>
      </c>
      <c r="H387" t="s">
        <v>66</v>
      </c>
      <c r="I387" t="s">
        <v>39</v>
      </c>
      <c r="J387" t="s">
        <v>170</v>
      </c>
      <c r="K387" s="37">
        <v>1</v>
      </c>
      <c r="L387" t="s">
        <v>52</v>
      </c>
      <c r="M387" s="21">
        <v>45800</v>
      </c>
      <c r="N387" s="21">
        <v>604560</v>
      </c>
      <c r="O387" s="21">
        <v>54960</v>
      </c>
      <c r="P387" s="37">
        <v>3</v>
      </c>
      <c r="Q387" t="s">
        <v>42</v>
      </c>
      <c r="R387" s="37">
        <v>4</v>
      </c>
      <c r="S387" s="37">
        <v>24</v>
      </c>
      <c r="T387" t="s">
        <v>77</v>
      </c>
      <c r="U387" t="s">
        <v>44</v>
      </c>
      <c r="V387" t="s">
        <v>69</v>
      </c>
      <c r="W387" t="str">
        <f t="shared" si="30"/>
        <v>31-40</v>
      </c>
      <c r="X387" t="str">
        <f t="shared" si="31"/>
        <v>0-5 yrs</v>
      </c>
      <c r="Y387" t="str">
        <f t="shared" si="32"/>
        <v>Apr</v>
      </c>
      <c r="Z387">
        <f t="shared" si="33"/>
        <v>2025</v>
      </c>
      <c r="AA387">
        <f t="shared" si="34"/>
        <v>0</v>
      </c>
    </row>
    <row r="388" spans="1:27" ht="15" customHeight="1" x14ac:dyDescent="0.3">
      <c r="A388" t="s">
        <v>795</v>
      </c>
      <c r="B388" s="20">
        <v>45800</v>
      </c>
      <c r="C388" t="s">
        <v>796</v>
      </c>
      <c r="D388" t="s">
        <v>35</v>
      </c>
      <c r="E388" s="37">
        <v>35</v>
      </c>
      <c r="F388" t="s">
        <v>123</v>
      </c>
      <c r="G388" t="s">
        <v>124</v>
      </c>
      <c r="H388" t="s">
        <v>66</v>
      </c>
      <c r="I388" t="s">
        <v>75</v>
      </c>
      <c r="J388" t="s">
        <v>170</v>
      </c>
      <c r="K388" s="37">
        <v>9</v>
      </c>
      <c r="L388" t="s">
        <v>52</v>
      </c>
      <c r="M388" s="21">
        <v>107300</v>
      </c>
      <c r="N388" s="21">
        <v>1364856</v>
      </c>
      <c r="O388" s="21">
        <v>77256</v>
      </c>
      <c r="P388" s="37">
        <v>3</v>
      </c>
      <c r="Q388" t="s">
        <v>42</v>
      </c>
      <c r="R388" s="37">
        <v>6</v>
      </c>
      <c r="S388" s="37">
        <v>18</v>
      </c>
      <c r="T388" t="s">
        <v>175</v>
      </c>
      <c r="U388" t="s">
        <v>44</v>
      </c>
      <c r="V388" t="s">
        <v>69</v>
      </c>
      <c r="W388" t="str">
        <f t="shared" si="30"/>
        <v>31-40</v>
      </c>
      <c r="X388" t="str">
        <f t="shared" si="31"/>
        <v>6-10 yrs</v>
      </c>
      <c r="Y388" t="str">
        <f t="shared" si="32"/>
        <v>May</v>
      </c>
      <c r="Z388">
        <f t="shared" si="33"/>
        <v>2025</v>
      </c>
      <c r="AA388">
        <f t="shared" si="34"/>
        <v>0</v>
      </c>
    </row>
    <row r="389" spans="1:27" ht="15" customHeight="1" x14ac:dyDescent="0.3">
      <c r="A389" t="s">
        <v>797</v>
      </c>
      <c r="B389" s="20">
        <v>45725</v>
      </c>
      <c r="C389" t="s">
        <v>577</v>
      </c>
      <c r="D389" t="s">
        <v>35</v>
      </c>
      <c r="E389" s="37">
        <v>24</v>
      </c>
      <c r="F389" t="s">
        <v>91</v>
      </c>
      <c r="G389" t="s">
        <v>92</v>
      </c>
      <c r="H389" t="s">
        <v>74</v>
      </c>
      <c r="I389" t="s">
        <v>39</v>
      </c>
      <c r="J389" t="s">
        <v>367</v>
      </c>
      <c r="K389" s="37">
        <v>22</v>
      </c>
      <c r="L389" t="s">
        <v>52</v>
      </c>
      <c r="M389" s="21">
        <v>45200</v>
      </c>
      <c r="N389" s="21">
        <v>591216</v>
      </c>
      <c r="O389" s="21">
        <v>48816</v>
      </c>
      <c r="P389" s="37">
        <v>2</v>
      </c>
      <c r="Q389" t="s">
        <v>42</v>
      </c>
      <c r="R389" s="37">
        <v>19</v>
      </c>
      <c r="S389" s="37">
        <v>16</v>
      </c>
      <c r="T389" t="s">
        <v>43</v>
      </c>
      <c r="U389" t="s">
        <v>63</v>
      </c>
      <c r="V389" t="s">
        <v>69</v>
      </c>
      <c r="W389" t="str">
        <f t="shared" si="30"/>
        <v>22-30</v>
      </c>
      <c r="X389" t="str">
        <f t="shared" si="31"/>
        <v>21-30 yrs</v>
      </c>
      <c r="Y389" t="str">
        <f t="shared" si="32"/>
        <v>Mar</v>
      </c>
      <c r="Z389">
        <f t="shared" si="33"/>
        <v>2025</v>
      </c>
      <c r="AA389">
        <f t="shared" si="34"/>
        <v>0</v>
      </c>
    </row>
    <row r="390" spans="1:27" ht="15" customHeight="1" x14ac:dyDescent="0.3">
      <c r="A390" t="s">
        <v>798</v>
      </c>
      <c r="B390" s="20">
        <v>45970</v>
      </c>
      <c r="C390" t="s">
        <v>369</v>
      </c>
      <c r="D390" t="s">
        <v>48</v>
      </c>
      <c r="E390" s="37">
        <v>25</v>
      </c>
      <c r="F390" t="s">
        <v>108</v>
      </c>
      <c r="G390" t="s">
        <v>109</v>
      </c>
      <c r="H390" t="s">
        <v>38</v>
      </c>
      <c r="I390" t="s">
        <v>39</v>
      </c>
      <c r="J390" t="s">
        <v>99</v>
      </c>
      <c r="K390" s="37">
        <v>9</v>
      </c>
      <c r="L390" t="s">
        <v>52</v>
      </c>
      <c r="M390" s="21">
        <v>38600</v>
      </c>
      <c r="N390" s="21">
        <v>518784</v>
      </c>
      <c r="O390" s="21">
        <v>55584</v>
      </c>
      <c r="P390" s="37">
        <v>5</v>
      </c>
      <c r="Q390" t="s">
        <v>42</v>
      </c>
      <c r="R390" s="37">
        <v>11</v>
      </c>
      <c r="S390" s="37">
        <v>36</v>
      </c>
      <c r="T390" t="s">
        <v>53</v>
      </c>
      <c r="U390" t="s">
        <v>44</v>
      </c>
      <c r="V390" t="s">
        <v>45</v>
      </c>
      <c r="W390" t="str">
        <f t="shared" si="30"/>
        <v>22-30</v>
      </c>
      <c r="X390" t="str">
        <f t="shared" si="31"/>
        <v>6-10 yrs</v>
      </c>
      <c r="Y390" t="str">
        <f t="shared" si="32"/>
        <v>Nov</v>
      </c>
      <c r="Z390">
        <f t="shared" si="33"/>
        <v>2025</v>
      </c>
      <c r="AA390">
        <f t="shared" si="34"/>
        <v>0</v>
      </c>
    </row>
    <row r="391" spans="1:27" ht="15" customHeight="1" x14ac:dyDescent="0.3">
      <c r="A391" t="s">
        <v>799</v>
      </c>
      <c r="B391" s="20">
        <v>45955</v>
      </c>
      <c r="C391" t="s">
        <v>800</v>
      </c>
      <c r="D391" t="s">
        <v>35</v>
      </c>
      <c r="E391" s="37">
        <v>53</v>
      </c>
      <c r="F391" t="s">
        <v>108</v>
      </c>
      <c r="G391" t="s">
        <v>109</v>
      </c>
      <c r="H391" t="s">
        <v>74</v>
      </c>
      <c r="I391" t="s">
        <v>39</v>
      </c>
      <c r="J391" t="s">
        <v>83</v>
      </c>
      <c r="K391" s="37">
        <v>7</v>
      </c>
      <c r="L391" t="s">
        <v>41</v>
      </c>
      <c r="M391" s="21">
        <v>36700</v>
      </c>
      <c r="N391" s="21">
        <v>493248</v>
      </c>
      <c r="O391" s="21">
        <v>52848</v>
      </c>
      <c r="P391" s="37">
        <v>3</v>
      </c>
      <c r="Q391" t="s">
        <v>42</v>
      </c>
      <c r="R391" s="37">
        <v>15</v>
      </c>
      <c r="S391" s="37">
        <v>32</v>
      </c>
      <c r="T391" t="s">
        <v>62</v>
      </c>
      <c r="U391" t="s">
        <v>44</v>
      </c>
      <c r="V391" t="s">
        <v>45</v>
      </c>
      <c r="W391" t="str">
        <f t="shared" si="30"/>
        <v>51-58</v>
      </c>
      <c r="X391" t="str">
        <f t="shared" si="31"/>
        <v>6-10 yrs</v>
      </c>
      <c r="Y391" t="str">
        <f t="shared" si="32"/>
        <v>Oct</v>
      </c>
      <c r="Z391">
        <f t="shared" si="33"/>
        <v>2025</v>
      </c>
      <c r="AA391">
        <f t="shared" si="34"/>
        <v>0</v>
      </c>
    </row>
    <row r="392" spans="1:27" ht="15" customHeight="1" x14ac:dyDescent="0.3">
      <c r="A392" t="s">
        <v>801</v>
      </c>
      <c r="B392" s="20">
        <v>45674</v>
      </c>
      <c r="C392" t="s">
        <v>653</v>
      </c>
      <c r="D392" t="s">
        <v>48</v>
      </c>
      <c r="E392" s="37">
        <v>37</v>
      </c>
      <c r="F392" t="s">
        <v>72</v>
      </c>
      <c r="G392" t="s">
        <v>73</v>
      </c>
      <c r="H392" t="s">
        <v>66</v>
      </c>
      <c r="I392" t="s">
        <v>82</v>
      </c>
      <c r="J392" t="s">
        <v>93</v>
      </c>
      <c r="K392" s="37">
        <v>1</v>
      </c>
      <c r="L392" t="s">
        <v>52</v>
      </c>
      <c r="M392" s="21">
        <v>58300</v>
      </c>
      <c r="N392" s="21">
        <v>769560</v>
      </c>
      <c r="O392" s="21">
        <v>69960</v>
      </c>
      <c r="P392" s="37">
        <v>3</v>
      </c>
      <c r="Q392" t="s">
        <v>42</v>
      </c>
      <c r="R392" s="37">
        <v>20</v>
      </c>
      <c r="S392" s="37">
        <v>28</v>
      </c>
      <c r="T392" t="s">
        <v>68</v>
      </c>
      <c r="U392" t="s">
        <v>44</v>
      </c>
      <c r="V392" t="s">
        <v>45</v>
      </c>
      <c r="W392" t="str">
        <f t="shared" si="30"/>
        <v>31-40</v>
      </c>
      <c r="X392" t="str">
        <f t="shared" si="31"/>
        <v>0-5 yrs</v>
      </c>
      <c r="Y392" t="str">
        <f t="shared" si="32"/>
        <v>Jan</v>
      </c>
      <c r="Z392">
        <f t="shared" si="33"/>
        <v>2025</v>
      </c>
      <c r="AA392">
        <f t="shared" si="34"/>
        <v>0</v>
      </c>
    </row>
    <row r="393" spans="1:27" ht="15" customHeight="1" x14ac:dyDescent="0.3">
      <c r="A393" t="s">
        <v>802</v>
      </c>
      <c r="B393" s="20">
        <v>45703</v>
      </c>
      <c r="C393" t="s">
        <v>803</v>
      </c>
      <c r="D393" t="s">
        <v>48</v>
      </c>
      <c r="E393" s="37">
        <v>36</v>
      </c>
      <c r="F393" t="s">
        <v>86</v>
      </c>
      <c r="G393" t="s">
        <v>87</v>
      </c>
      <c r="H393" t="s">
        <v>59</v>
      </c>
      <c r="I393" t="s">
        <v>39</v>
      </c>
      <c r="J393" t="s">
        <v>61</v>
      </c>
      <c r="K393" s="37">
        <v>26</v>
      </c>
      <c r="L393" t="s">
        <v>52</v>
      </c>
      <c r="M393" s="21">
        <v>27800</v>
      </c>
      <c r="N393" s="21">
        <v>400320</v>
      </c>
      <c r="O393" s="21">
        <v>66720</v>
      </c>
      <c r="P393" s="37">
        <v>4</v>
      </c>
      <c r="Q393" t="s">
        <v>42</v>
      </c>
      <c r="R393" s="37">
        <v>0</v>
      </c>
      <c r="S393" s="37">
        <v>16</v>
      </c>
      <c r="T393" t="s">
        <v>129</v>
      </c>
      <c r="U393" t="s">
        <v>63</v>
      </c>
      <c r="V393" t="s">
        <v>45</v>
      </c>
      <c r="W393" t="str">
        <f t="shared" si="30"/>
        <v>31-40</v>
      </c>
      <c r="X393" t="str">
        <f t="shared" si="31"/>
        <v>21-30 yrs</v>
      </c>
      <c r="Y393" t="str">
        <f t="shared" si="32"/>
        <v>Feb</v>
      </c>
      <c r="Z393">
        <f t="shared" si="33"/>
        <v>2025</v>
      </c>
      <c r="AA393">
        <f t="shared" si="34"/>
        <v>0</v>
      </c>
    </row>
    <row r="394" spans="1:27" ht="15" customHeight="1" x14ac:dyDescent="0.3">
      <c r="A394" t="s">
        <v>804</v>
      </c>
      <c r="B394" s="20">
        <v>45801</v>
      </c>
      <c r="C394" t="s">
        <v>805</v>
      </c>
      <c r="D394" t="s">
        <v>35</v>
      </c>
      <c r="E394" s="37">
        <v>33</v>
      </c>
      <c r="F394" t="s">
        <v>36</v>
      </c>
      <c r="G394" t="s">
        <v>37</v>
      </c>
      <c r="H394" t="s">
        <v>118</v>
      </c>
      <c r="I394" t="s">
        <v>51</v>
      </c>
      <c r="J394" t="s">
        <v>137</v>
      </c>
      <c r="K394" s="37">
        <v>14</v>
      </c>
      <c r="L394" t="s">
        <v>52</v>
      </c>
      <c r="M394" s="21">
        <v>171800</v>
      </c>
      <c r="N394" s="21">
        <v>2247144</v>
      </c>
      <c r="O394" s="21">
        <v>185544</v>
      </c>
      <c r="P394" s="37">
        <v>5</v>
      </c>
      <c r="Q394" t="s">
        <v>42</v>
      </c>
      <c r="R394" s="37">
        <v>4</v>
      </c>
      <c r="S394" s="37">
        <v>2</v>
      </c>
      <c r="T394" t="s">
        <v>62</v>
      </c>
      <c r="U394" t="s">
        <v>63</v>
      </c>
      <c r="V394" t="s">
        <v>69</v>
      </c>
      <c r="W394" t="str">
        <f t="shared" si="30"/>
        <v>31-40</v>
      </c>
      <c r="X394" t="str">
        <f t="shared" si="31"/>
        <v>11-20 yrs</v>
      </c>
      <c r="Y394" t="str">
        <f t="shared" si="32"/>
        <v>May</v>
      </c>
      <c r="Z394">
        <f t="shared" si="33"/>
        <v>2025</v>
      </c>
      <c r="AA394">
        <f t="shared" si="34"/>
        <v>0</v>
      </c>
    </row>
    <row r="395" spans="1:27" ht="15" customHeight="1" x14ac:dyDescent="0.3">
      <c r="A395" t="s">
        <v>806</v>
      </c>
      <c r="B395" s="20">
        <v>45861</v>
      </c>
      <c r="C395" t="s">
        <v>229</v>
      </c>
      <c r="D395" t="s">
        <v>35</v>
      </c>
      <c r="E395" s="37">
        <v>49</v>
      </c>
      <c r="F395" t="s">
        <v>57</v>
      </c>
      <c r="G395" t="s">
        <v>58</v>
      </c>
      <c r="H395" t="s">
        <v>118</v>
      </c>
      <c r="I395" t="s">
        <v>39</v>
      </c>
      <c r="J395" t="s">
        <v>137</v>
      </c>
      <c r="K395" s="37">
        <v>21</v>
      </c>
      <c r="L395" t="s">
        <v>41</v>
      </c>
      <c r="M395" s="21">
        <v>33700</v>
      </c>
      <c r="N395" s="21">
        <v>452928</v>
      </c>
      <c r="O395" s="21">
        <v>48528</v>
      </c>
      <c r="P395" s="37">
        <v>2</v>
      </c>
      <c r="Q395" t="s">
        <v>42</v>
      </c>
      <c r="R395" s="37">
        <v>17</v>
      </c>
      <c r="S395" s="37">
        <v>17</v>
      </c>
      <c r="T395" t="s">
        <v>94</v>
      </c>
      <c r="U395" t="s">
        <v>54</v>
      </c>
      <c r="V395" t="s">
        <v>45</v>
      </c>
      <c r="W395" t="str">
        <f t="shared" si="30"/>
        <v>41-50</v>
      </c>
      <c r="X395" t="str">
        <f t="shared" si="31"/>
        <v>21-30 yrs</v>
      </c>
      <c r="Y395" t="str">
        <f t="shared" si="32"/>
        <v>Jul</v>
      </c>
      <c r="Z395">
        <f t="shared" si="33"/>
        <v>2025</v>
      </c>
      <c r="AA395">
        <f t="shared" si="34"/>
        <v>0</v>
      </c>
    </row>
    <row r="396" spans="1:27" ht="15" customHeight="1" x14ac:dyDescent="0.3">
      <c r="A396" t="s">
        <v>807</v>
      </c>
      <c r="B396" s="20">
        <v>46012</v>
      </c>
      <c r="C396" t="s">
        <v>714</v>
      </c>
      <c r="D396" t="s">
        <v>35</v>
      </c>
      <c r="E396" s="37">
        <v>30</v>
      </c>
      <c r="F396" t="s">
        <v>57</v>
      </c>
      <c r="G396" t="s">
        <v>58</v>
      </c>
      <c r="H396" t="s">
        <v>74</v>
      </c>
      <c r="I396" t="s">
        <v>75</v>
      </c>
      <c r="J396" t="s">
        <v>83</v>
      </c>
      <c r="K396" s="37">
        <v>0</v>
      </c>
      <c r="L396" t="s">
        <v>52</v>
      </c>
      <c r="M396" s="21">
        <v>99000</v>
      </c>
      <c r="N396" s="21">
        <v>1259280</v>
      </c>
      <c r="O396" s="21">
        <v>71280</v>
      </c>
      <c r="P396" s="37">
        <v>4</v>
      </c>
      <c r="Q396" t="s">
        <v>42</v>
      </c>
      <c r="R396" s="37">
        <v>5</v>
      </c>
      <c r="S396" s="37">
        <v>20</v>
      </c>
      <c r="T396" t="s">
        <v>68</v>
      </c>
      <c r="U396" t="s">
        <v>44</v>
      </c>
      <c r="V396" t="s">
        <v>45</v>
      </c>
      <c r="W396" t="str">
        <f t="shared" si="30"/>
        <v>22-30</v>
      </c>
      <c r="X396" t="str">
        <f t="shared" si="31"/>
        <v>0-5 yrs</v>
      </c>
      <c r="Y396" t="str">
        <f t="shared" si="32"/>
        <v>Dec</v>
      </c>
      <c r="Z396">
        <f t="shared" si="33"/>
        <v>2025</v>
      </c>
      <c r="AA396">
        <f t="shared" si="34"/>
        <v>0</v>
      </c>
    </row>
    <row r="397" spans="1:27" ht="15" customHeight="1" x14ac:dyDescent="0.3">
      <c r="A397" t="s">
        <v>808</v>
      </c>
      <c r="B397" s="20">
        <v>46010</v>
      </c>
      <c r="C397" t="s">
        <v>809</v>
      </c>
      <c r="D397" t="s">
        <v>48</v>
      </c>
      <c r="E397" s="37">
        <v>40</v>
      </c>
      <c r="F397" t="s">
        <v>97</v>
      </c>
      <c r="G397" t="s">
        <v>98</v>
      </c>
      <c r="H397" t="s">
        <v>66</v>
      </c>
      <c r="I397" t="s">
        <v>82</v>
      </c>
      <c r="J397" t="s">
        <v>93</v>
      </c>
      <c r="K397" s="37">
        <v>5</v>
      </c>
      <c r="L397" t="s">
        <v>52</v>
      </c>
      <c r="M397" s="21">
        <v>69600</v>
      </c>
      <c r="N397" s="21">
        <v>960479</v>
      </c>
      <c r="O397" s="21">
        <v>125280</v>
      </c>
      <c r="P397" s="37">
        <v>4</v>
      </c>
      <c r="Q397" t="s">
        <v>126</v>
      </c>
      <c r="R397" s="37">
        <v>5</v>
      </c>
      <c r="S397" s="37">
        <v>13</v>
      </c>
      <c r="T397" t="s">
        <v>129</v>
      </c>
      <c r="U397" t="s">
        <v>44</v>
      </c>
      <c r="V397" t="s">
        <v>45</v>
      </c>
      <c r="W397" t="str">
        <f t="shared" si="30"/>
        <v>31-40</v>
      </c>
      <c r="X397" t="str">
        <f t="shared" si="31"/>
        <v>0-5 yrs</v>
      </c>
      <c r="Y397" t="str">
        <f t="shared" si="32"/>
        <v>Dec</v>
      </c>
      <c r="Z397">
        <f t="shared" si="33"/>
        <v>2025</v>
      </c>
      <c r="AA397">
        <f t="shared" si="34"/>
        <v>1</v>
      </c>
    </row>
    <row r="398" spans="1:27" ht="15" customHeight="1" x14ac:dyDescent="0.3">
      <c r="A398" t="s">
        <v>810</v>
      </c>
      <c r="B398" s="20">
        <v>45872</v>
      </c>
      <c r="C398" t="s">
        <v>735</v>
      </c>
      <c r="D398" t="s">
        <v>35</v>
      </c>
      <c r="E398" s="37">
        <v>49</v>
      </c>
      <c r="F398" t="s">
        <v>72</v>
      </c>
      <c r="G398" t="s">
        <v>73</v>
      </c>
      <c r="H398" t="s">
        <v>66</v>
      </c>
      <c r="I398" t="s">
        <v>82</v>
      </c>
      <c r="J398" t="s">
        <v>67</v>
      </c>
      <c r="K398" s="37">
        <v>16</v>
      </c>
      <c r="L398" t="s">
        <v>120</v>
      </c>
      <c r="M398" s="21">
        <v>57100</v>
      </c>
      <c r="N398" s="21">
        <v>753720</v>
      </c>
      <c r="O398" s="21">
        <v>68520</v>
      </c>
      <c r="P398" s="37">
        <v>4</v>
      </c>
      <c r="Q398" t="s">
        <v>42</v>
      </c>
      <c r="R398" s="37">
        <v>2</v>
      </c>
      <c r="S398" s="37">
        <v>1</v>
      </c>
      <c r="T398" t="s">
        <v>175</v>
      </c>
      <c r="U398" t="s">
        <v>44</v>
      </c>
      <c r="V398" t="s">
        <v>69</v>
      </c>
      <c r="W398" t="str">
        <f t="shared" si="30"/>
        <v>41-50</v>
      </c>
      <c r="X398" t="str">
        <f t="shared" si="31"/>
        <v>11-20 yrs</v>
      </c>
      <c r="Y398" t="str">
        <f t="shared" si="32"/>
        <v>Aug</v>
      </c>
      <c r="Z398">
        <f t="shared" si="33"/>
        <v>2025</v>
      </c>
      <c r="AA398">
        <f t="shared" si="34"/>
        <v>0</v>
      </c>
    </row>
    <row r="399" spans="1:27" ht="15" customHeight="1" x14ac:dyDescent="0.3">
      <c r="A399" t="s">
        <v>811</v>
      </c>
      <c r="B399" s="20">
        <v>45862</v>
      </c>
      <c r="C399" t="s">
        <v>812</v>
      </c>
      <c r="D399" t="s">
        <v>35</v>
      </c>
      <c r="E399" s="37">
        <v>24</v>
      </c>
      <c r="F399" t="s">
        <v>57</v>
      </c>
      <c r="G399" t="s">
        <v>58</v>
      </c>
      <c r="H399" t="s">
        <v>38</v>
      </c>
      <c r="I399" t="s">
        <v>39</v>
      </c>
      <c r="J399" t="s">
        <v>134</v>
      </c>
      <c r="K399" s="37">
        <v>18</v>
      </c>
      <c r="L399" t="s">
        <v>52</v>
      </c>
      <c r="M399" s="21">
        <v>31600</v>
      </c>
      <c r="N399" s="21">
        <v>428495</v>
      </c>
      <c r="O399" s="21">
        <v>49296</v>
      </c>
      <c r="P399" s="37">
        <v>2</v>
      </c>
      <c r="Q399" t="s">
        <v>42</v>
      </c>
      <c r="R399" s="37">
        <v>4</v>
      </c>
      <c r="S399" s="37">
        <v>30</v>
      </c>
      <c r="T399" t="s">
        <v>94</v>
      </c>
      <c r="U399" t="s">
        <v>63</v>
      </c>
      <c r="V399" t="s">
        <v>69</v>
      </c>
      <c r="W399" t="str">
        <f t="shared" si="30"/>
        <v>22-30</v>
      </c>
      <c r="X399" t="str">
        <f t="shared" si="31"/>
        <v>11-20 yrs</v>
      </c>
      <c r="Y399" t="str">
        <f t="shared" si="32"/>
        <v>Jul</v>
      </c>
      <c r="Z399">
        <f t="shared" si="33"/>
        <v>2025</v>
      </c>
      <c r="AA399">
        <f t="shared" si="34"/>
        <v>0</v>
      </c>
    </row>
    <row r="400" spans="1:27" ht="15" customHeight="1" x14ac:dyDescent="0.3">
      <c r="A400" t="s">
        <v>813</v>
      </c>
      <c r="B400" s="20">
        <v>45934</v>
      </c>
      <c r="C400" t="s">
        <v>151</v>
      </c>
      <c r="D400" t="s">
        <v>48</v>
      </c>
      <c r="E400" s="37">
        <v>27</v>
      </c>
      <c r="F400" t="s">
        <v>97</v>
      </c>
      <c r="G400" t="s">
        <v>98</v>
      </c>
      <c r="H400" t="s">
        <v>74</v>
      </c>
      <c r="I400" t="s">
        <v>39</v>
      </c>
      <c r="J400" t="s">
        <v>76</v>
      </c>
      <c r="K400" s="37">
        <v>24</v>
      </c>
      <c r="L400" t="s">
        <v>52</v>
      </c>
      <c r="M400" s="21">
        <v>32300</v>
      </c>
      <c r="N400" s="21">
        <v>437987</v>
      </c>
      <c r="O400" s="21">
        <v>50388</v>
      </c>
      <c r="P400" s="37">
        <v>5</v>
      </c>
      <c r="Q400" t="s">
        <v>42</v>
      </c>
      <c r="R400" s="37">
        <v>12</v>
      </c>
      <c r="S400" s="37">
        <v>25</v>
      </c>
      <c r="T400" t="s">
        <v>43</v>
      </c>
      <c r="U400" t="s">
        <v>44</v>
      </c>
      <c r="V400" t="s">
        <v>45</v>
      </c>
      <c r="W400" t="str">
        <f t="shared" si="30"/>
        <v>22-30</v>
      </c>
      <c r="X400" t="str">
        <f t="shared" si="31"/>
        <v>21-30 yrs</v>
      </c>
      <c r="Y400" t="str">
        <f t="shared" si="32"/>
        <v>Oct</v>
      </c>
      <c r="Z400">
        <f t="shared" si="33"/>
        <v>2025</v>
      </c>
      <c r="AA400">
        <f t="shared" si="34"/>
        <v>0</v>
      </c>
    </row>
    <row r="401" spans="1:27" ht="15" customHeight="1" x14ac:dyDescent="0.3">
      <c r="A401" t="s">
        <v>814</v>
      </c>
      <c r="B401" s="20">
        <v>45765</v>
      </c>
      <c r="C401" t="s">
        <v>815</v>
      </c>
      <c r="D401" t="s">
        <v>48</v>
      </c>
      <c r="E401" s="37">
        <v>37</v>
      </c>
      <c r="F401" t="s">
        <v>108</v>
      </c>
      <c r="G401" t="s">
        <v>109</v>
      </c>
      <c r="H401" t="s">
        <v>66</v>
      </c>
      <c r="I401" t="s">
        <v>39</v>
      </c>
      <c r="J401" t="s">
        <v>161</v>
      </c>
      <c r="K401" s="37">
        <v>26</v>
      </c>
      <c r="L401" t="s">
        <v>52</v>
      </c>
      <c r="M401" s="21">
        <v>41800</v>
      </c>
      <c r="N401" s="21">
        <v>571824</v>
      </c>
      <c r="O401" s="21">
        <v>70224</v>
      </c>
      <c r="P401" s="37">
        <v>5</v>
      </c>
      <c r="Q401" t="s">
        <v>42</v>
      </c>
      <c r="R401" s="37">
        <v>14</v>
      </c>
      <c r="S401" s="37">
        <v>1</v>
      </c>
      <c r="T401" t="s">
        <v>77</v>
      </c>
      <c r="U401" t="s">
        <v>63</v>
      </c>
      <c r="V401" t="s">
        <v>69</v>
      </c>
      <c r="W401" t="str">
        <f t="shared" si="30"/>
        <v>31-40</v>
      </c>
      <c r="X401" t="str">
        <f t="shared" si="31"/>
        <v>21-30 yrs</v>
      </c>
      <c r="Y401" t="str">
        <f t="shared" si="32"/>
        <v>Apr</v>
      </c>
      <c r="Z401">
        <f t="shared" si="33"/>
        <v>2025</v>
      </c>
      <c r="AA401">
        <f t="shared" si="34"/>
        <v>0</v>
      </c>
    </row>
    <row r="402" spans="1:27" ht="15" customHeight="1" x14ac:dyDescent="0.3">
      <c r="A402" t="s">
        <v>816</v>
      </c>
      <c r="B402" s="20">
        <v>45911</v>
      </c>
      <c r="C402" t="s">
        <v>206</v>
      </c>
      <c r="D402" t="s">
        <v>48</v>
      </c>
      <c r="E402" s="37">
        <v>51</v>
      </c>
      <c r="F402" t="s">
        <v>57</v>
      </c>
      <c r="G402" t="s">
        <v>58</v>
      </c>
      <c r="H402" t="s">
        <v>118</v>
      </c>
      <c r="I402" t="s">
        <v>39</v>
      </c>
      <c r="J402" t="s">
        <v>137</v>
      </c>
      <c r="K402" s="37">
        <v>28</v>
      </c>
      <c r="L402" t="s">
        <v>52</v>
      </c>
      <c r="M402" s="21">
        <v>39300</v>
      </c>
      <c r="N402" s="21">
        <v>561204</v>
      </c>
      <c r="O402" s="21">
        <v>89604</v>
      </c>
      <c r="P402" s="37">
        <v>4</v>
      </c>
      <c r="Q402" t="s">
        <v>42</v>
      </c>
      <c r="R402" s="37">
        <v>16</v>
      </c>
      <c r="S402" s="37">
        <v>35</v>
      </c>
      <c r="T402" t="s">
        <v>77</v>
      </c>
      <c r="U402" t="s">
        <v>44</v>
      </c>
      <c r="V402" t="s">
        <v>45</v>
      </c>
      <c r="W402" t="str">
        <f t="shared" si="30"/>
        <v>51-58</v>
      </c>
      <c r="X402" t="str">
        <f t="shared" si="31"/>
        <v>21-30 yrs</v>
      </c>
      <c r="Y402" t="str">
        <f t="shared" si="32"/>
        <v>Sep</v>
      </c>
      <c r="Z402">
        <f t="shared" si="33"/>
        <v>2025</v>
      </c>
      <c r="AA402">
        <f t="shared" si="34"/>
        <v>0</v>
      </c>
    </row>
    <row r="403" spans="1:27" ht="15" customHeight="1" x14ac:dyDescent="0.3">
      <c r="A403" t="s">
        <v>817</v>
      </c>
      <c r="B403" s="20">
        <v>45658</v>
      </c>
      <c r="C403" t="s">
        <v>239</v>
      </c>
      <c r="D403" t="s">
        <v>35</v>
      </c>
      <c r="E403" s="37">
        <v>34</v>
      </c>
      <c r="F403" t="s">
        <v>97</v>
      </c>
      <c r="G403" t="s">
        <v>98</v>
      </c>
      <c r="H403" t="s">
        <v>74</v>
      </c>
      <c r="I403" t="s">
        <v>39</v>
      </c>
      <c r="J403" t="s">
        <v>83</v>
      </c>
      <c r="K403" s="37">
        <v>17</v>
      </c>
      <c r="L403" t="s">
        <v>52</v>
      </c>
      <c r="M403" s="21">
        <v>38800</v>
      </c>
      <c r="N403" s="21">
        <v>549408</v>
      </c>
      <c r="O403" s="21">
        <v>83808</v>
      </c>
      <c r="P403" s="37">
        <v>2</v>
      </c>
      <c r="Q403" t="s">
        <v>126</v>
      </c>
      <c r="R403" s="37">
        <v>6</v>
      </c>
      <c r="S403" s="37">
        <v>9</v>
      </c>
      <c r="T403" t="s">
        <v>62</v>
      </c>
      <c r="U403" t="s">
        <v>63</v>
      </c>
      <c r="V403" t="s">
        <v>69</v>
      </c>
      <c r="W403" t="str">
        <f t="shared" si="30"/>
        <v>31-40</v>
      </c>
      <c r="X403" t="str">
        <f t="shared" si="31"/>
        <v>11-20 yrs</v>
      </c>
      <c r="Y403" t="str">
        <f t="shared" si="32"/>
        <v>Jan</v>
      </c>
      <c r="Z403">
        <f t="shared" si="33"/>
        <v>2025</v>
      </c>
      <c r="AA403">
        <f t="shared" si="34"/>
        <v>1</v>
      </c>
    </row>
    <row r="404" spans="1:27" ht="15" customHeight="1" x14ac:dyDescent="0.3">
      <c r="A404" t="s">
        <v>818</v>
      </c>
      <c r="B404" s="20">
        <v>45933</v>
      </c>
      <c r="C404" t="s">
        <v>819</v>
      </c>
      <c r="D404" t="s">
        <v>48</v>
      </c>
      <c r="E404" s="37">
        <v>49</v>
      </c>
      <c r="F404" t="s">
        <v>108</v>
      </c>
      <c r="G404" t="s">
        <v>109</v>
      </c>
      <c r="H404" t="s">
        <v>66</v>
      </c>
      <c r="I404" t="s">
        <v>60</v>
      </c>
      <c r="J404" t="s">
        <v>161</v>
      </c>
      <c r="K404" s="37">
        <v>16</v>
      </c>
      <c r="L404" t="s">
        <v>120</v>
      </c>
      <c r="M404" s="21">
        <v>183800</v>
      </c>
      <c r="N404" s="21">
        <v>2492327</v>
      </c>
      <c r="O404" s="21">
        <v>286728</v>
      </c>
      <c r="P404" s="37">
        <v>3</v>
      </c>
      <c r="Q404" t="s">
        <v>42</v>
      </c>
      <c r="R404" s="37">
        <v>5</v>
      </c>
      <c r="S404" s="37">
        <v>24</v>
      </c>
      <c r="T404" t="s">
        <v>68</v>
      </c>
      <c r="U404" t="s">
        <v>63</v>
      </c>
      <c r="V404" t="s">
        <v>69</v>
      </c>
      <c r="W404" t="str">
        <f t="shared" si="30"/>
        <v>41-50</v>
      </c>
      <c r="X404" t="str">
        <f t="shared" si="31"/>
        <v>11-20 yrs</v>
      </c>
      <c r="Y404" t="str">
        <f t="shared" si="32"/>
        <v>Oct</v>
      </c>
      <c r="Z404">
        <f t="shared" si="33"/>
        <v>2025</v>
      </c>
      <c r="AA404">
        <f t="shared" si="34"/>
        <v>0</v>
      </c>
    </row>
    <row r="405" spans="1:27" ht="15" customHeight="1" x14ac:dyDescent="0.3">
      <c r="A405" t="s">
        <v>820</v>
      </c>
      <c r="B405" s="20">
        <v>45673</v>
      </c>
      <c r="C405" t="s">
        <v>821</v>
      </c>
      <c r="D405" t="s">
        <v>35</v>
      </c>
      <c r="E405" s="37">
        <v>23</v>
      </c>
      <c r="F405" t="s">
        <v>91</v>
      </c>
      <c r="G405" t="s">
        <v>92</v>
      </c>
      <c r="H405" t="s">
        <v>38</v>
      </c>
      <c r="I405" t="s">
        <v>82</v>
      </c>
      <c r="J405" t="s">
        <v>110</v>
      </c>
      <c r="K405" s="37">
        <v>28</v>
      </c>
      <c r="L405" t="s">
        <v>41</v>
      </c>
      <c r="M405" s="21">
        <v>47600</v>
      </c>
      <c r="N405" s="21">
        <v>679728</v>
      </c>
      <c r="O405" s="21">
        <v>108528</v>
      </c>
      <c r="P405" s="37">
        <v>5</v>
      </c>
      <c r="Q405" t="s">
        <v>42</v>
      </c>
      <c r="R405" s="37">
        <v>3</v>
      </c>
      <c r="S405" s="37">
        <v>16</v>
      </c>
      <c r="T405" t="s">
        <v>62</v>
      </c>
      <c r="U405" t="s">
        <v>44</v>
      </c>
      <c r="V405" t="s">
        <v>69</v>
      </c>
      <c r="W405" t="str">
        <f t="shared" si="30"/>
        <v>22-30</v>
      </c>
      <c r="X405" t="str">
        <f t="shared" si="31"/>
        <v>21-30 yrs</v>
      </c>
      <c r="Y405" t="str">
        <f t="shared" si="32"/>
        <v>Jan</v>
      </c>
      <c r="Z405">
        <f t="shared" si="33"/>
        <v>2025</v>
      </c>
      <c r="AA405">
        <f t="shared" si="34"/>
        <v>0</v>
      </c>
    </row>
    <row r="406" spans="1:27" ht="15" customHeight="1" x14ac:dyDescent="0.3">
      <c r="A406" t="s">
        <v>822</v>
      </c>
      <c r="B406" s="20">
        <v>45787</v>
      </c>
      <c r="C406" t="s">
        <v>823</v>
      </c>
      <c r="D406" t="s">
        <v>35</v>
      </c>
      <c r="E406" s="37">
        <v>45</v>
      </c>
      <c r="F406" t="s">
        <v>97</v>
      </c>
      <c r="G406" t="s">
        <v>98</v>
      </c>
      <c r="H406" t="s">
        <v>59</v>
      </c>
      <c r="I406" t="s">
        <v>39</v>
      </c>
      <c r="J406" t="s">
        <v>104</v>
      </c>
      <c r="K406" s="37">
        <v>21</v>
      </c>
      <c r="L406" t="s">
        <v>52</v>
      </c>
      <c r="M406" s="21">
        <v>35100</v>
      </c>
      <c r="N406" s="21">
        <v>467532</v>
      </c>
      <c r="O406" s="21">
        <v>46332</v>
      </c>
      <c r="P406" s="37">
        <v>3</v>
      </c>
      <c r="Q406" t="s">
        <v>42</v>
      </c>
      <c r="R406" s="37">
        <v>9</v>
      </c>
      <c r="S406" s="37">
        <v>30</v>
      </c>
      <c r="T406" t="s">
        <v>175</v>
      </c>
      <c r="U406" t="s">
        <v>44</v>
      </c>
      <c r="V406" t="s">
        <v>69</v>
      </c>
      <c r="W406" t="str">
        <f t="shared" si="30"/>
        <v>41-50</v>
      </c>
      <c r="X406" t="str">
        <f t="shared" si="31"/>
        <v>21-30 yrs</v>
      </c>
      <c r="Y406" t="str">
        <f t="shared" si="32"/>
        <v>May</v>
      </c>
      <c r="Z406">
        <f t="shared" si="33"/>
        <v>2025</v>
      </c>
      <c r="AA406">
        <f t="shared" si="34"/>
        <v>0</v>
      </c>
    </row>
    <row r="407" spans="1:27" ht="15" customHeight="1" x14ac:dyDescent="0.3">
      <c r="A407" t="s">
        <v>824</v>
      </c>
      <c r="B407" s="20">
        <v>45904</v>
      </c>
      <c r="C407" t="s">
        <v>237</v>
      </c>
      <c r="D407" t="s">
        <v>48</v>
      </c>
      <c r="E407" s="37">
        <v>46</v>
      </c>
      <c r="F407" t="s">
        <v>123</v>
      </c>
      <c r="G407" t="s">
        <v>124</v>
      </c>
      <c r="H407" t="s">
        <v>66</v>
      </c>
      <c r="I407" t="s">
        <v>75</v>
      </c>
      <c r="J407" t="s">
        <v>161</v>
      </c>
      <c r="K407" s="37">
        <v>12</v>
      </c>
      <c r="L407" t="s">
        <v>52</v>
      </c>
      <c r="M407" s="21">
        <v>87800</v>
      </c>
      <c r="N407" s="21">
        <v>1201104</v>
      </c>
      <c r="O407" s="21">
        <v>147504</v>
      </c>
      <c r="P407" s="37">
        <v>4</v>
      </c>
      <c r="Q407" t="s">
        <v>42</v>
      </c>
      <c r="R407" s="37">
        <v>4</v>
      </c>
      <c r="S407" s="37">
        <v>34</v>
      </c>
      <c r="T407" t="s">
        <v>53</v>
      </c>
      <c r="U407" t="s">
        <v>44</v>
      </c>
      <c r="V407" t="s">
        <v>45</v>
      </c>
      <c r="W407" t="str">
        <f t="shared" si="30"/>
        <v>41-50</v>
      </c>
      <c r="X407" t="str">
        <f t="shared" si="31"/>
        <v>11-20 yrs</v>
      </c>
      <c r="Y407" t="str">
        <f t="shared" si="32"/>
        <v>Sep</v>
      </c>
      <c r="Z407">
        <f t="shared" si="33"/>
        <v>2025</v>
      </c>
      <c r="AA407">
        <f t="shared" si="34"/>
        <v>0</v>
      </c>
    </row>
    <row r="408" spans="1:27" ht="15" customHeight="1" x14ac:dyDescent="0.3">
      <c r="A408" t="s">
        <v>825</v>
      </c>
      <c r="B408" s="20">
        <v>45943</v>
      </c>
      <c r="C408" t="s">
        <v>591</v>
      </c>
      <c r="D408" t="s">
        <v>48</v>
      </c>
      <c r="E408" s="37">
        <v>47</v>
      </c>
      <c r="F408" t="s">
        <v>97</v>
      </c>
      <c r="G408" t="s">
        <v>98</v>
      </c>
      <c r="H408" t="s">
        <v>74</v>
      </c>
      <c r="I408" t="s">
        <v>39</v>
      </c>
      <c r="J408" t="s">
        <v>115</v>
      </c>
      <c r="K408" s="37">
        <v>0</v>
      </c>
      <c r="L408" t="s">
        <v>52</v>
      </c>
      <c r="M408" s="21">
        <v>38000</v>
      </c>
      <c r="N408" s="21">
        <v>492480</v>
      </c>
      <c r="O408" s="21">
        <v>36480</v>
      </c>
      <c r="P408" s="37">
        <v>4</v>
      </c>
      <c r="Q408" t="s">
        <v>126</v>
      </c>
      <c r="R408" s="37">
        <v>8</v>
      </c>
      <c r="S408" s="37">
        <v>12</v>
      </c>
      <c r="T408" t="s">
        <v>62</v>
      </c>
      <c r="U408" t="s">
        <v>63</v>
      </c>
      <c r="V408" t="s">
        <v>69</v>
      </c>
      <c r="W408" t="str">
        <f t="shared" si="30"/>
        <v>41-50</v>
      </c>
      <c r="X408" t="str">
        <f t="shared" si="31"/>
        <v>0-5 yrs</v>
      </c>
      <c r="Y408" t="str">
        <f t="shared" si="32"/>
        <v>Oct</v>
      </c>
      <c r="Z408">
        <f t="shared" si="33"/>
        <v>2025</v>
      </c>
      <c r="AA408">
        <f t="shared" si="34"/>
        <v>1</v>
      </c>
    </row>
    <row r="409" spans="1:27" ht="15" customHeight="1" x14ac:dyDescent="0.3">
      <c r="A409" t="s">
        <v>826</v>
      </c>
      <c r="B409" s="20">
        <v>46012</v>
      </c>
      <c r="C409" t="s">
        <v>827</v>
      </c>
      <c r="D409" t="s">
        <v>35</v>
      </c>
      <c r="E409" s="37">
        <v>51</v>
      </c>
      <c r="F409" t="s">
        <v>123</v>
      </c>
      <c r="G409" t="s">
        <v>124</v>
      </c>
      <c r="H409" t="s">
        <v>38</v>
      </c>
      <c r="I409" t="s">
        <v>75</v>
      </c>
      <c r="J409" t="s">
        <v>40</v>
      </c>
      <c r="K409" s="37">
        <v>12</v>
      </c>
      <c r="L409" t="s">
        <v>52</v>
      </c>
      <c r="M409" s="21">
        <v>98700</v>
      </c>
      <c r="N409" s="21">
        <v>1397592</v>
      </c>
      <c r="O409" s="21">
        <v>213192</v>
      </c>
      <c r="P409" s="37">
        <v>4</v>
      </c>
      <c r="Q409" t="s">
        <v>42</v>
      </c>
      <c r="R409" s="37">
        <v>0</v>
      </c>
      <c r="S409" s="37">
        <v>13</v>
      </c>
      <c r="T409" t="s">
        <v>68</v>
      </c>
      <c r="U409" t="s">
        <v>44</v>
      </c>
      <c r="V409" t="s">
        <v>45</v>
      </c>
      <c r="W409" t="str">
        <f t="shared" si="30"/>
        <v>51-58</v>
      </c>
      <c r="X409" t="str">
        <f t="shared" si="31"/>
        <v>11-20 yrs</v>
      </c>
      <c r="Y409" t="str">
        <f t="shared" si="32"/>
        <v>Dec</v>
      </c>
      <c r="Z409">
        <f t="shared" si="33"/>
        <v>2025</v>
      </c>
      <c r="AA409">
        <f t="shared" si="34"/>
        <v>0</v>
      </c>
    </row>
    <row r="410" spans="1:27" ht="15" customHeight="1" x14ac:dyDescent="0.3">
      <c r="A410" t="s">
        <v>828</v>
      </c>
      <c r="B410" s="20">
        <v>45770</v>
      </c>
      <c r="C410" t="s">
        <v>311</v>
      </c>
      <c r="D410" t="s">
        <v>35</v>
      </c>
      <c r="E410" s="37">
        <v>47</v>
      </c>
      <c r="F410" t="s">
        <v>97</v>
      </c>
      <c r="G410" t="s">
        <v>98</v>
      </c>
      <c r="H410" t="s">
        <v>59</v>
      </c>
      <c r="I410" t="s">
        <v>39</v>
      </c>
      <c r="J410" t="s">
        <v>104</v>
      </c>
      <c r="K410" s="37">
        <v>30</v>
      </c>
      <c r="L410" t="s">
        <v>52</v>
      </c>
      <c r="M410" s="21">
        <v>33400</v>
      </c>
      <c r="N410" s="21">
        <v>452903</v>
      </c>
      <c r="O410" s="21">
        <v>52104</v>
      </c>
      <c r="P410" s="37">
        <v>4</v>
      </c>
      <c r="Q410" t="s">
        <v>42</v>
      </c>
      <c r="R410" s="37">
        <v>2</v>
      </c>
      <c r="S410" s="37">
        <v>23</v>
      </c>
      <c r="T410" t="s">
        <v>94</v>
      </c>
      <c r="U410" t="s">
        <v>44</v>
      </c>
      <c r="V410" t="s">
        <v>69</v>
      </c>
      <c r="W410" t="str">
        <f t="shared" si="30"/>
        <v>41-50</v>
      </c>
      <c r="X410" t="str">
        <f t="shared" si="31"/>
        <v>21-30 yrs</v>
      </c>
      <c r="Y410" t="str">
        <f t="shared" si="32"/>
        <v>Apr</v>
      </c>
      <c r="Z410">
        <f t="shared" si="33"/>
        <v>2025</v>
      </c>
      <c r="AA410">
        <f t="shared" si="34"/>
        <v>0</v>
      </c>
    </row>
    <row r="411" spans="1:27" ht="15" customHeight="1" x14ac:dyDescent="0.3">
      <c r="A411" t="s">
        <v>829</v>
      </c>
      <c r="B411" s="20">
        <v>45954</v>
      </c>
      <c r="C411" t="s">
        <v>563</v>
      </c>
      <c r="D411" t="s">
        <v>35</v>
      </c>
      <c r="E411" s="37">
        <v>42</v>
      </c>
      <c r="F411" t="s">
        <v>123</v>
      </c>
      <c r="G411" t="s">
        <v>124</v>
      </c>
      <c r="H411" t="s">
        <v>66</v>
      </c>
      <c r="I411" t="s">
        <v>39</v>
      </c>
      <c r="J411" t="s">
        <v>67</v>
      </c>
      <c r="K411" s="37">
        <v>16</v>
      </c>
      <c r="L411" t="s">
        <v>52</v>
      </c>
      <c r="M411" s="21">
        <v>45700</v>
      </c>
      <c r="N411" s="21">
        <v>592272</v>
      </c>
      <c r="O411" s="21">
        <v>43872</v>
      </c>
      <c r="P411" s="37">
        <v>4</v>
      </c>
      <c r="Q411" t="s">
        <v>42</v>
      </c>
      <c r="R411" s="37">
        <v>20</v>
      </c>
      <c r="S411" s="37">
        <v>3</v>
      </c>
      <c r="T411" t="s">
        <v>68</v>
      </c>
      <c r="U411" t="s">
        <v>63</v>
      </c>
      <c r="V411" t="s">
        <v>69</v>
      </c>
      <c r="W411" t="str">
        <f t="shared" si="30"/>
        <v>41-50</v>
      </c>
      <c r="X411" t="str">
        <f t="shared" si="31"/>
        <v>11-20 yrs</v>
      </c>
      <c r="Y411" t="str">
        <f t="shared" si="32"/>
        <v>Oct</v>
      </c>
      <c r="Z411">
        <f t="shared" si="33"/>
        <v>2025</v>
      </c>
      <c r="AA411">
        <f t="shared" si="34"/>
        <v>0</v>
      </c>
    </row>
    <row r="412" spans="1:27" ht="15" customHeight="1" x14ac:dyDescent="0.3">
      <c r="A412" t="s">
        <v>830</v>
      </c>
      <c r="B412" s="20">
        <v>45768</v>
      </c>
      <c r="C412" t="s">
        <v>203</v>
      </c>
      <c r="D412" t="s">
        <v>48</v>
      </c>
      <c r="E412" s="37">
        <v>52</v>
      </c>
      <c r="F412" t="s">
        <v>108</v>
      </c>
      <c r="G412" t="s">
        <v>109</v>
      </c>
      <c r="H412" t="s">
        <v>118</v>
      </c>
      <c r="I412" t="s">
        <v>39</v>
      </c>
      <c r="J412" t="s">
        <v>219</v>
      </c>
      <c r="K412" s="37">
        <v>24</v>
      </c>
      <c r="L412" t="s">
        <v>52</v>
      </c>
      <c r="M412" s="21">
        <v>29900</v>
      </c>
      <c r="N412" s="21">
        <v>412619</v>
      </c>
      <c r="O412" s="21">
        <v>53820</v>
      </c>
      <c r="P412" s="37">
        <v>2</v>
      </c>
      <c r="Q412" t="s">
        <v>126</v>
      </c>
      <c r="R412" s="37">
        <v>0</v>
      </c>
      <c r="S412" s="37">
        <v>21</v>
      </c>
      <c r="T412" t="s">
        <v>105</v>
      </c>
      <c r="U412" t="s">
        <v>138</v>
      </c>
      <c r="V412" t="s">
        <v>45</v>
      </c>
      <c r="W412" t="str">
        <f t="shared" si="30"/>
        <v>51-58</v>
      </c>
      <c r="X412" t="str">
        <f t="shared" si="31"/>
        <v>21-30 yrs</v>
      </c>
      <c r="Y412" t="str">
        <f t="shared" si="32"/>
        <v>Apr</v>
      </c>
      <c r="Z412">
        <f t="shared" si="33"/>
        <v>2025</v>
      </c>
      <c r="AA412">
        <f t="shared" si="34"/>
        <v>1</v>
      </c>
    </row>
    <row r="413" spans="1:27" ht="15" customHeight="1" x14ac:dyDescent="0.3">
      <c r="A413" t="s">
        <v>831</v>
      </c>
      <c r="B413" s="20">
        <v>45857</v>
      </c>
      <c r="C413" t="s">
        <v>197</v>
      </c>
      <c r="D413" t="s">
        <v>48</v>
      </c>
      <c r="E413" s="37">
        <v>45</v>
      </c>
      <c r="F413" t="s">
        <v>91</v>
      </c>
      <c r="G413" t="s">
        <v>92</v>
      </c>
      <c r="H413" t="s">
        <v>38</v>
      </c>
      <c r="I413" t="s">
        <v>39</v>
      </c>
      <c r="J413" t="s">
        <v>40</v>
      </c>
      <c r="K413" s="37">
        <v>0</v>
      </c>
      <c r="L413" t="s">
        <v>120</v>
      </c>
      <c r="M413" s="21">
        <v>34200</v>
      </c>
      <c r="N413" s="21">
        <v>492480</v>
      </c>
      <c r="O413" s="21">
        <v>82080</v>
      </c>
      <c r="P413" s="37">
        <v>5</v>
      </c>
      <c r="Q413" t="s">
        <v>42</v>
      </c>
      <c r="R413" s="37">
        <v>13</v>
      </c>
      <c r="S413" s="37">
        <v>15</v>
      </c>
      <c r="T413" t="s">
        <v>68</v>
      </c>
      <c r="U413" t="s">
        <v>44</v>
      </c>
      <c r="V413" t="s">
        <v>45</v>
      </c>
      <c r="W413" t="str">
        <f t="shared" si="30"/>
        <v>41-50</v>
      </c>
      <c r="X413" t="str">
        <f t="shared" si="31"/>
        <v>0-5 yrs</v>
      </c>
      <c r="Y413" t="str">
        <f t="shared" si="32"/>
        <v>Jul</v>
      </c>
      <c r="Z413">
        <f t="shared" si="33"/>
        <v>2025</v>
      </c>
      <c r="AA413">
        <f t="shared" si="34"/>
        <v>0</v>
      </c>
    </row>
    <row r="414" spans="1:27" ht="15" customHeight="1" x14ac:dyDescent="0.3">
      <c r="A414" t="s">
        <v>832</v>
      </c>
      <c r="B414" s="20">
        <v>45659</v>
      </c>
      <c r="C414" t="s">
        <v>833</v>
      </c>
      <c r="D414" t="s">
        <v>48</v>
      </c>
      <c r="E414" s="37">
        <v>50</v>
      </c>
      <c r="F414" t="s">
        <v>36</v>
      </c>
      <c r="G414" t="s">
        <v>37</v>
      </c>
      <c r="H414" t="s">
        <v>38</v>
      </c>
      <c r="I414" t="s">
        <v>60</v>
      </c>
      <c r="J414" t="s">
        <v>99</v>
      </c>
      <c r="K414" s="37">
        <v>15</v>
      </c>
      <c r="L414" t="s">
        <v>52</v>
      </c>
      <c r="M414" s="21">
        <v>136300</v>
      </c>
      <c r="N414" s="21">
        <v>1880939</v>
      </c>
      <c r="O414" s="21">
        <v>245340</v>
      </c>
      <c r="P414" s="37">
        <v>1</v>
      </c>
      <c r="Q414" t="s">
        <v>42</v>
      </c>
      <c r="R414" s="37">
        <v>2</v>
      </c>
      <c r="S414" s="37">
        <v>33</v>
      </c>
      <c r="T414" t="s">
        <v>68</v>
      </c>
      <c r="U414" t="s">
        <v>44</v>
      </c>
      <c r="V414" t="s">
        <v>45</v>
      </c>
      <c r="W414" t="str">
        <f t="shared" si="30"/>
        <v>41-50</v>
      </c>
      <c r="X414" t="str">
        <f t="shared" si="31"/>
        <v>11-20 yrs</v>
      </c>
      <c r="Y414" t="str">
        <f t="shared" si="32"/>
        <v>Jan</v>
      </c>
      <c r="Z414">
        <f t="shared" si="33"/>
        <v>2025</v>
      </c>
      <c r="AA414">
        <f t="shared" si="34"/>
        <v>0</v>
      </c>
    </row>
    <row r="415" spans="1:27" ht="15" customHeight="1" x14ac:dyDescent="0.3">
      <c r="A415" t="s">
        <v>834</v>
      </c>
      <c r="B415" s="20">
        <v>45810</v>
      </c>
      <c r="C415" t="s">
        <v>331</v>
      </c>
      <c r="D415" t="s">
        <v>35</v>
      </c>
      <c r="E415" s="37">
        <v>28</v>
      </c>
      <c r="F415" t="s">
        <v>72</v>
      </c>
      <c r="G415" t="s">
        <v>73</v>
      </c>
      <c r="H415" t="s">
        <v>118</v>
      </c>
      <c r="I415" t="s">
        <v>75</v>
      </c>
      <c r="J415" t="s">
        <v>137</v>
      </c>
      <c r="K415" s="37">
        <v>17</v>
      </c>
      <c r="L415" t="s">
        <v>52</v>
      </c>
      <c r="M415" s="21">
        <v>88100</v>
      </c>
      <c r="N415" s="21">
        <v>1194636</v>
      </c>
      <c r="O415" s="21">
        <v>137436</v>
      </c>
      <c r="P415" s="37">
        <v>5</v>
      </c>
      <c r="Q415" t="s">
        <v>42</v>
      </c>
      <c r="R415" s="37">
        <v>14</v>
      </c>
      <c r="S415" s="37">
        <v>3</v>
      </c>
      <c r="T415" t="s">
        <v>62</v>
      </c>
      <c r="U415" t="s">
        <v>54</v>
      </c>
      <c r="V415" t="s">
        <v>69</v>
      </c>
      <c r="W415" t="str">
        <f t="shared" si="30"/>
        <v>22-30</v>
      </c>
      <c r="X415" t="str">
        <f t="shared" si="31"/>
        <v>11-20 yrs</v>
      </c>
      <c r="Y415" t="str">
        <f t="shared" si="32"/>
        <v>Jun</v>
      </c>
      <c r="Z415">
        <f t="shared" si="33"/>
        <v>2025</v>
      </c>
      <c r="AA415">
        <f t="shared" si="34"/>
        <v>0</v>
      </c>
    </row>
    <row r="416" spans="1:27" ht="15" customHeight="1" x14ac:dyDescent="0.3">
      <c r="A416" t="s">
        <v>835</v>
      </c>
      <c r="B416" s="20">
        <v>45939</v>
      </c>
      <c r="C416" t="s">
        <v>288</v>
      </c>
      <c r="D416" t="s">
        <v>35</v>
      </c>
      <c r="E416" s="37">
        <v>47</v>
      </c>
      <c r="F416" t="s">
        <v>108</v>
      </c>
      <c r="G416" t="s">
        <v>109</v>
      </c>
      <c r="H416" t="s">
        <v>118</v>
      </c>
      <c r="I416" t="s">
        <v>60</v>
      </c>
      <c r="J416" t="s">
        <v>219</v>
      </c>
      <c r="K416" s="37">
        <v>12</v>
      </c>
      <c r="L416" t="s">
        <v>52</v>
      </c>
      <c r="M416" s="21">
        <v>110500</v>
      </c>
      <c r="N416" s="21">
        <v>1511640</v>
      </c>
      <c r="O416" s="21">
        <v>185640</v>
      </c>
      <c r="P416" s="37">
        <v>4</v>
      </c>
      <c r="Q416" t="s">
        <v>42</v>
      </c>
      <c r="R416" s="37">
        <v>11</v>
      </c>
      <c r="S416" s="37">
        <v>0</v>
      </c>
      <c r="T416" t="s">
        <v>129</v>
      </c>
      <c r="U416" t="s">
        <v>63</v>
      </c>
      <c r="V416" t="s">
        <v>69</v>
      </c>
      <c r="W416" t="str">
        <f t="shared" si="30"/>
        <v>41-50</v>
      </c>
      <c r="X416" t="str">
        <f t="shared" si="31"/>
        <v>11-20 yrs</v>
      </c>
      <c r="Y416" t="str">
        <f t="shared" si="32"/>
        <v>Oct</v>
      </c>
      <c r="Z416">
        <f t="shared" si="33"/>
        <v>2025</v>
      </c>
      <c r="AA416">
        <f t="shared" si="34"/>
        <v>0</v>
      </c>
    </row>
    <row r="417" spans="1:27" ht="15" customHeight="1" x14ac:dyDescent="0.3">
      <c r="A417" t="s">
        <v>836</v>
      </c>
      <c r="B417" s="20">
        <v>45935</v>
      </c>
      <c r="C417" t="s">
        <v>837</v>
      </c>
      <c r="D417" t="s">
        <v>48</v>
      </c>
      <c r="E417" s="37">
        <v>35</v>
      </c>
      <c r="F417" t="s">
        <v>80</v>
      </c>
      <c r="G417" t="s">
        <v>81</v>
      </c>
      <c r="H417" t="s">
        <v>74</v>
      </c>
      <c r="I417" t="s">
        <v>39</v>
      </c>
      <c r="J417" t="s">
        <v>152</v>
      </c>
      <c r="K417" s="37">
        <v>12</v>
      </c>
      <c r="L417" t="s">
        <v>52</v>
      </c>
      <c r="M417" s="21">
        <v>36200</v>
      </c>
      <c r="N417" s="21">
        <v>482184</v>
      </c>
      <c r="O417" s="21">
        <v>47784</v>
      </c>
      <c r="P417" s="37">
        <v>5</v>
      </c>
      <c r="Q417" t="s">
        <v>126</v>
      </c>
      <c r="R417" s="37">
        <v>0</v>
      </c>
      <c r="S417" s="37">
        <v>31</v>
      </c>
      <c r="T417" t="s">
        <v>146</v>
      </c>
      <c r="U417" t="s">
        <v>63</v>
      </c>
      <c r="V417" t="s">
        <v>69</v>
      </c>
      <c r="W417" t="str">
        <f t="shared" si="30"/>
        <v>31-40</v>
      </c>
      <c r="X417" t="str">
        <f t="shared" si="31"/>
        <v>11-20 yrs</v>
      </c>
      <c r="Y417" t="str">
        <f t="shared" si="32"/>
        <v>Oct</v>
      </c>
      <c r="Z417">
        <f t="shared" si="33"/>
        <v>2025</v>
      </c>
      <c r="AA417">
        <f t="shared" si="34"/>
        <v>1</v>
      </c>
    </row>
    <row r="418" spans="1:27" ht="15" customHeight="1" x14ac:dyDescent="0.3">
      <c r="A418" t="s">
        <v>838</v>
      </c>
      <c r="B418" s="20">
        <v>45684</v>
      </c>
      <c r="C418" t="s">
        <v>839</v>
      </c>
      <c r="D418" t="s">
        <v>35</v>
      </c>
      <c r="E418" s="37">
        <v>40</v>
      </c>
      <c r="F418" t="s">
        <v>123</v>
      </c>
      <c r="G418" t="s">
        <v>124</v>
      </c>
      <c r="H418" t="s">
        <v>118</v>
      </c>
      <c r="I418" t="s">
        <v>39</v>
      </c>
      <c r="J418" t="s">
        <v>250</v>
      </c>
      <c r="K418" s="37">
        <v>27</v>
      </c>
      <c r="L418" t="s">
        <v>52</v>
      </c>
      <c r="M418" s="21">
        <v>40700</v>
      </c>
      <c r="N418" s="21">
        <v>556776</v>
      </c>
      <c r="O418" s="21">
        <v>68376</v>
      </c>
      <c r="P418" s="37">
        <v>2</v>
      </c>
      <c r="Q418" t="s">
        <v>42</v>
      </c>
      <c r="R418" s="37">
        <v>3</v>
      </c>
      <c r="S418" s="37">
        <v>7</v>
      </c>
      <c r="T418" t="s">
        <v>68</v>
      </c>
      <c r="U418" t="s">
        <v>63</v>
      </c>
      <c r="V418" t="s">
        <v>69</v>
      </c>
      <c r="W418" t="str">
        <f t="shared" si="30"/>
        <v>31-40</v>
      </c>
      <c r="X418" t="str">
        <f t="shared" si="31"/>
        <v>21-30 yrs</v>
      </c>
      <c r="Y418" t="str">
        <f t="shared" si="32"/>
        <v>Jan</v>
      </c>
      <c r="Z418">
        <f t="shared" si="33"/>
        <v>2025</v>
      </c>
      <c r="AA418">
        <f t="shared" si="34"/>
        <v>0</v>
      </c>
    </row>
    <row r="419" spans="1:27" ht="15" customHeight="1" x14ac:dyDescent="0.3">
      <c r="A419" t="s">
        <v>840</v>
      </c>
      <c r="B419" s="20">
        <v>45774</v>
      </c>
      <c r="C419" t="s">
        <v>616</v>
      </c>
      <c r="D419" t="s">
        <v>35</v>
      </c>
      <c r="E419" s="37">
        <v>58</v>
      </c>
      <c r="F419" t="s">
        <v>57</v>
      </c>
      <c r="G419" t="s">
        <v>58</v>
      </c>
      <c r="H419" t="s">
        <v>74</v>
      </c>
      <c r="I419" t="s">
        <v>82</v>
      </c>
      <c r="J419" t="s">
        <v>115</v>
      </c>
      <c r="K419" s="37">
        <v>10</v>
      </c>
      <c r="L419" t="s">
        <v>41</v>
      </c>
      <c r="M419" s="21">
        <v>51800</v>
      </c>
      <c r="N419" s="21">
        <v>727272</v>
      </c>
      <c r="O419" s="21">
        <v>105672</v>
      </c>
      <c r="P419" s="37">
        <v>2</v>
      </c>
      <c r="Q419" t="s">
        <v>42</v>
      </c>
      <c r="R419" s="37">
        <v>19</v>
      </c>
      <c r="S419" s="37">
        <v>13</v>
      </c>
      <c r="T419" t="s">
        <v>68</v>
      </c>
      <c r="U419" t="s">
        <v>63</v>
      </c>
      <c r="V419" t="s">
        <v>69</v>
      </c>
      <c r="W419" t="str">
        <f t="shared" si="30"/>
        <v>51-58</v>
      </c>
      <c r="X419" t="str">
        <f t="shared" si="31"/>
        <v>6-10 yrs</v>
      </c>
      <c r="Y419" t="str">
        <f t="shared" si="32"/>
        <v>Apr</v>
      </c>
      <c r="Z419">
        <f t="shared" si="33"/>
        <v>2025</v>
      </c>
      <c r="AA419">
        <f t="shared" si="34"/>
        <v>0</v>
      </c>
    </row>
    <row r="420" spans="1:27" ht="15" customHeight="1" x14ac:dyDescent="0.3">
      <c r="A420" t="s">
        <v>841</v>
      </c>
      <c r="B420" s="20">
        <v>45705</v>
      </c>
      <c r="C420" t="s">
        <v>842</v>
      </c>
      <c r="D420" t="s">
        <v>48</v>
      </c>
      <c r="E420" s="37">
        <v>54</v>
      </c>
      <c r="F420" t="s">
        <v>80</v>
      </c>
      <c r="G420" t="s">
        <v>81</v>
      </c>
      <c r="H420" t="s">
        <v>66</v>
      </c>
      <c r="I420" t="s">
        <v>39</v>
      </c>
      <c r="J420" t="s">
        <v>161</v>
      </c>
      <c r="K420" s="37">
        <v>26</v>
      </c>
      <c r="L420" t="s">
        <v>52</v>
      </c>
      <c r="M420" s="21">
        <v>45000</v>
      </c>
      <c r="N420" s="21">
        <v>599400</v>
      </c>
      <c r="O420" s="21">
        <v>59400</v>
      </c>
      <c r="P420" s="37">
        <v>4</v>
      </c>
      <c r="Q420" t="s">
        <v>42</v>
      </c>
      <c r="R420" s="37">
        <v>0</v>
      </c>
      <c r="S420" s="37">
        <v>11</v>
      </c>
      <c r="T420" t="s">
        <v>43</v>
      </c>
      <c r="U420" t="s">
        <v>54</v>
      </c>
      <c r="V420" t="s">
        <v>69</v>
      </c>
      <c r="W420" t="str">
        <f t="shared" si="30"/>
        <v>51-58</v>
      </c>
      <c r="X420" t="str">
        <f t="shared" si="31"/>
        <v>21-30 yrs</v>
      </c>
      <c r="Y420" t="str">
        <f t="shared" si="32"/>
        <v>Feb</v>
      </c>
      <c r="Z420">
        <f t="shared" si="33"/>
        <v>2025</v>
      </c>
      <c r="AA420">
        <f t="shared" si="34"/>
        <v>0</v>
      </c>
    </row>
    <row r="421" spans="1:27" ht="15" customHeight="1" x14ac:dyDescent="0.3">
      <c r="A421" t="s">
        <v>843</v>
      </c>
      <c r="B421" s="20">
        <v>45906</v>
      </c>
      <c r="C421" t="s">
        <v>844</v>
      </c>
      <c r="D421" t="s">
        <v>35</v>
      </c>
      <c r="E421" s="37">
        <v>24</v>
      </c>
      <c r="F421" t="s">
        <v>49</v>
      </c>
      <c r="G421" t="s">
        <v>50</v>
      </c>
      <c r="H421" t="s">
        <v>118</v>
      </c>
      <c r="I421" t="s">
        <v>39</v>
      </c>
      <c r="J421" t="s">
        <v>182</v>
      </c>
      <c r="K421" s="37">
        <v>17</v>
      </c>
      <c r="L421" t="s">
        <v>52</v>
      </c>
      <c r="M421" s="21">
        <v>32400</v>
      </c>
      <c r="N421" s="21">
        <v>462672</v>
      </c>
      <c r="O421" s="21">
        <v>73872</v>
      </c>
      <c r="P421" s="37">
        <v>5</v>
      </c>
      <c r="Q421" t="s">
        <v>42</v>
      </c>
      <c r="R421" s="37">
        <v>15</v>
      </c>
      <c r="S421" s="37">
        <v>37</v>
      </c>
      <c r="T421" t="s">
        <v>175</v>
      </c>
      <c r="U421" t="s">
        <v>44</v>
      </c>
      <c r="V421" t="s">
        <v>69</v>
      </c>
      <c r="W421" t="str">
        <f t="shared" si="30"/>
        <v>22-30</v>
      </c>
      <c r="X421" t="str">
        <f t="shared" si="31"/>
        <v>11-20 yrs</v>
      </c>
      <c r="Y421" t="str">
        <f t="shared" si="32"/>
        <v>Sep</v>
      </c>
      <c r="Z421">
        <f t="shared" si="33"/>
        <v>2025</v>
      </c>
      <c r="AA421">
        <f t="shared" si="34"/>
        <v>0</v>
      </c>
    </row>
    <row r="422" spans="1:27" ht="15" customHeight="1" x14ac:dyDescent="0.3">
      <c r="A422" t="s">
        <v>845</v>
      </c>
      <c r="B422" s="20">
        <v>45965</v>
      </c>
      <c r="C422" t="s">
        <v>566</v>
      </c>
      <c r="D422" t="s">
        <v>35</v>
      </c>
      <c r="E422" s="37">
        <v>50</v>
      </c>
      <c r="F422" t="s">
        <v>108</v>
      </c>
      <c r="G422" t="s">
        <v>109</v>
      </c>
      <c r="H422" t="s">
        <v>118</v>
      </c>
      <c r="I422" t="s">
        <v>51</v>
      </c>
      <c r="J422" t="s">
        <v>219</v>
      </c>
      <c r="K422" s="37">
        <v>7</v>
      </c>
      <c r="L422" t="s">
        <v>52</v>
      </c>
      <c r="M422" s="21">
        <v>176900</v>
      </c>
      <c r="N422" s="21">
        <v>2462448</v>
      </c>
      <c r="O422" s="21">
        <v>339648</v>
      </c>
      <c r="P422" s="37">
        <v>3</v>
      </c>
      <c r="Q422" t="s">
        <v>42</v>
      </c>
      <c r="R422" s="37">
        <v>11</v>
      </c>
      <c r="S422" s="37">
        <v>8</v>
      </c>
      <c r="T422" t="s">
        <v>175</v>
      </c>
      <c r="U422" t="s">
        <v>44</v>
      </c>
      <c r="V422" t="s">
        <v>69</v>
      </c>
      <c r="W422" t="str">
        <f t="shared" si="30"/>
        <v>41-50</v>
      </c>
      <c r="X422" t="str">
        <f t="shared" si="31"/>
        <v>6-10 yrs</v>
      </c>
      <c r="Y422" t="str">
        <f t="shared" si="32"/>
        <v>Nov</v>
      </c>
      <c r="Z422">
        <f t="shared" si="33"/>
        <v>2025</v>
      </c>
      <c r="AA422">
        <f t="shared" si="34"/>
        <v>0</v>
      </c>
    </row>
    <row r="423" spans="1:27" ht="15" customHeight="1" x14ac:dyDescent="0.3">
      <c r="A423" t="s">
        <v>846</v>
      </c>
      <c r="B423" s="20">
        <v>45920</v>
      </c>
      <c r="C423" t="s">
        <v>598</v>
      </c>
      <c r="D423" t="s">
        <v>35</v>
      </c>
      <c r="E423" s="37">
        <v>24</v>
      </c>
      <c r="F423" t="s">
        <v>36</v>
      </c>
      <c r="G423" t="s">
        <v>37</v>
      </c>
      <c r="H423" t="s">
        <v>59</v>
      </c>
      <c r="I423" t="s">
        <v>39</v>
      </c>
      <c r="J423" t="s">
        <v>141</v>
      </c>
      <c r="K423" s="37">
        <v>12</v>
      </c>
      <c r="L423" t="s">
        <v>52</v>
      </c>
      <c r="M423" s="21">
        <v>34500</v>
      </c>
      <c r="N423" s="21">
        <v>488520</v>
      </c>
      <c r="O423" s="21">
        <v>74520</v>
      </c>
      <c r="P423" s="37">
        <v>5</v>
      </c>
      <c r="Q423" t="s">
        <v>126</v>
      </c>
      <c r="R423" s="37">
        <v>4</v>
      </c>
      <c r="S423" s="37">
        <v>21</v>
      </c>
      <c r="T423" t="s">
        <v>68</v>
      </c>
      <c r="U423" t="s">
        <v>63</v>
      </c>
      <c r="V423" t="s">
        <v>69</v>
      </c>
      <c r="W423" t="str">
        <f t="shared" si="30"/>
        <v>22-30</v>
      </c>
      <c r="X423" t="str">
        <f t="shared" si="31"/>
        <v>11-20 yrs</v>
      </c>
      <c r="Y423" t="str">
        <f t="shared" si="32"/>
        <v>Sep</v>
      </c>
      <c r="Z423">
        <f t="shared" si="33"/>
        <v>2025</v>
      </c>
      <c r="AA423">
        <f t="shared" si="34"/>
        <v>1</v>
      </c>
    </row>
    <row r="424" spans="1:27" ht="15" customHeight="1" x14ac:dyDescent="0.3">
      <c r="A424" t="s">
        <v>847</v>
      </c>
      <c r="B424" s="20">
        <v>45732</v>
      </c>
      <c r="C424" t="s">
        <v>815</v>
      </c>
      <c r="D424" t="s">
        <v>48</v>
      </c>
      <c r="E424" s="37">
        <v>34</v>
      </c>
      <c r="F424" t="s">
        <v>72</v>
      </c>
      <c r="G424" t="s">
        <v>73</v>
      </c>
      <c r="H424" t="s">
        <v>74</v>
      </c>
      <c r="I424" t="s">
        <v>75</v>
      </c>
      <c r="J424" t="s">
        <v>115</v>
      </c>
      <c r="K424" s="37">
        <v>20</v>
      </c>
      <c r="L424" t="s">
        <v>52</v>
      </c>
      <c r="M424" s="21">
        <v>95500</v>
      </c>
      <c r="N424" s="21">
        <v>1317900</v>
      </c>
      <c r="O424" s="21">
        <v>171900</v>
      </c>
      <c r="P424" s="37">
        <v>2</v>
      </c>
      <c r="Q424" t="s">
        <v>42</v>
      </c>
      <c r="R424" s="37">
        <v>4</v>
      </c>
      <c r="S424" s="37">
        <v>4</v>
      </c>
      <c r="T424" t="s">
        <v>68</v>
      </c>
      <c r="U424" t="s">
        <v>44</v>
      </c>
      <c r="V424" t="s">
        <v>45</v>
      </c>
      <c r="W424" t="str">
        <f t="shared" si="30"/>
        <v>31-40</v>
      </c>
      <c r="X424" t="str">
        <f t="shared" si="31"/>
        <v>11-20 yrs</v>
      </c>
      <c r="Y424" t="str">
        <f t="shared" si="32"/>
        <v>Mar</v>
      </c>
      <c r="Z424">
        <f t="shared" si="33"/>
        <v>2025</v>
      </c>
      <c r="AA424">
        <f t="shared" si="34"/>
        <v>0</v>
      </c>
    </row>
    <row r="425" spans="1:27" ht="15" customHeight="1" x14ac:dyDescent="0.3">
      <c r="A425" t="s">
        <v>848</v>
      </c>
      <c r="B425" s="20">
        <v>45856</v>
      </c>
      <c r="C425" t="s">
        <v>849</v>
      </c>
      <c r="D425" t="s">
        <v>48</v>
      </c>
      <c r="E425" s="37">
        <v>58</v>
      </c>
      <c r="F425" t="s">
        <v>72</v>
      </c>
      <c r="G425" t="s">
        <v>73</v>
      </c>
      <c r="H425" t="s">
        <v>66</v>
      </c>
      <c r="I425" t="s">
        <v>82</v>
      </c>
      <c r="J425" t="s">
        <v>93</v>
      </c>
      <c r="K425" s="37">
        <v>9</v>
      </c>
      <c r="L425" t="s">
        <v>52</v>
      </c>
      <c r="M425" s="21">
        <v>78100</v>
      </c>
      <c r="N425" s="21">
        <v>993432</v>
      </c>
      <c r="O425" s="21">
        <v>56232</v>
      </c>
      <c r="P425" s="37">
        <v>2</v>
      </c>
      <c r="Q425" t="s">
        <v>42</v>
      </c>
      <c r="R425" s="37">
        <v>6</v>
      </c>
      <c r="S425" s="37">
        <v>35</v>
      </c>
      <c r="T425" t="s">
        <v>105</v>
      </c>
      <c r="U425" t="s">
        <v>63</v>
      </c>
      <c r="V425" t="s">
        <v>45</v>
      </c>
      <c r="W425" t="str">
        <f t="shared" si="30"/>
        <v>51-58</v>
      </c>
      <c r="X425" t="str">
        <f t="shared" si="31"/>
        <v>6-10 yrs</v>
      </c>
      <c r="Y425" t="str">
        <f t="shared" si="32"/>
        <v>Jul</v>
      </c>
      <c r="Z425">
        <f t="shared" si="33"/>
        <v>2025</v>
      </c>
      <c r="AA425">
        <f t="shared" si="34"/>
        <v>0</v>
      </c>
    </row>
    <row r="426" spans="1:27" ht="15" customHeight="1" x14ac:dyDescent="0.3">
      <c r="A426" t="s">
        <v>850</v>
      </c>
      <c r="B426" s="20">
        <v>45852</v>
      </c>
      <c r="C426" t="s">
        <v>489</v>
      </c>
      <c r="D426" t="s">
        <v>48</v>
      </c>
      <c r="E426" s="37">
        <v>22</v>
      </c>
      <c r="F426" t="s">
        <v>49</v>
      </c>
      <c r="G426" t="s">
        <v>50</v>
      </c>
      <c r="H426" t="s">
        <v>74</v>
      </c>
      <c r="I426" t="s">
        <v>39</v>
      </c>
      <c r="J426" t="s">
        <v>83</v>
      </c>
      <c r="K426" s="37">
        <v>3</v>
      </c>
      <c r="L426" t="s">
        <v>52</v>
      </c>
      <c r="M426" s="21">
        <v>34000</v>
      </c>
      <c r="N426" s="21">
        <v>456960</v>
      </c>
      <c r="O426" s="21">
        <v>48960</v>
      </c>
      <c r="P426" s="37">
        <v>5</v>
      </c>
      <c r="Q426" t="s">
        <v>42</v>
      </c>
      <c r="R426" s="37">
        <v>0</v>
      </c>
      <c r="S426" s="37">
        <v>19</v>
      </c>
      <c r="T426" t="s">
        <v>68</v>
      </c>
      <c r="U426" t="s">
        <v>44</v>
      </c>
      <c r="V426" t="s">
        <v>69</v>
      </c>
      <c r="W426" t="str">
        <f t="shared" si="30"/>
        <v>22-30</v>
      </c>
      <c r="X426" t="str">
        <f t="shared" si="31"/>
        <v>0-5 yrs</v>
      </c>
      <c r="Y426" t="str">
        <f t="shared" si="32"/>
        <v>Jul</v>
      </c>
      <c r="Z426">
        <f t="shared" si="33"/>
        <v>2025</v>
      </c>
      <c r="AA426">
        <f t="shared" si="34"/>
        <v>0</v>
      </c>
    </row>
    <row r="427" spans="1:27" ht="15" customHeight="1" x14ac:dyDescent="0.3">
      <c r="A427" t="s">
        <v>851</v>
      </c>
      <c r="B427" s="20">
        <v>45707</v>
      </c>
      <c r="C427" t="s">
        <v>803</v>
      </c>
      <c r="D427" t="s">
        <v>48</v>
      </c>
      <c r="E427" s="37">
        <v>40</v>
      </c>
      <c r="F427" t="s">
        <v>97</v>
      </c>
      <c r="G427" t="s">
        <v>98</v>
      </c>
      <c r="H427" t="s">
        <v>74</v>
      </c>
      <c r="I427" t="s">
        <v>82</v>
      </c>
      <c r="J427" t="s">
        <v>152</v>
      </c>
      <c r="K427" s="37">
        <v>20</v>
      </c>
      <c r="L427" t="s">
        <v>52</v>
      </c>
      <c r="M427" s="21">
        <v>60800</v>
      </c>
      <c r="N427" s="21">
        <v>795264</v>
      </c>
      <c r="O427" s="21">
        <v>65664</v>
      </c>
      <c r="P427" s="37">
        <v>4</v>
      </c>
      <c r="Q427" t="s">
        <v>126</v>
      </c>
      <c r="R427" s="37">
        <v>5</v>
      </c>
      <c r="S427" s="37">
        <v>25</v>
      </c>
      <c r="T427" t="s">
        <v>62</v>
      </c>
      <c r="U427" t="s">
        <v>44</v>
      </c>
      <c r="V427" t="s">
        <v>45</v>
      </c>
      <c r="W427" t="str">
        <f t="shared" si="30"/>
        <v>31-40</v>
      </c>
      <c r="X427" t="str">
        <f t="shared" si="31"/>
        <v>11-20 yrs</v>
      </c>
      <c r="Y427" t="str">
        <f t="shared" si="32"/>
        <v>Feb</v>
      </c>
      <c r="Z427">
        <f t="shared" si="33"/>
        <v>2025</v>
      </c>
      <c r="AA427">
        <f t="shared" si="34"/>
        <v>1</v>
      </c>
    </row>
    <row r="428" spans="1:27" ht="15" customHeight="1" x14ac:dyDescent="0.3">
      <c r="A428" t="s">
        <v>852</v>
      </c>
      <c r="B428" s="20">
        <v>45801</v>
      </c>
      <c r="C428" t="s">
        <v>300</v>
      </c>
      <c r="D428" t="s">
        <v>35</v>
      </c>
      <c r="E428" s="37">
        <v>32</v>
      </c>
      <c r="F428" t="s">
        <v>108</v>
      </c>
      <c r="G428" t="s">
        <v>109</v>
      </c>
      <c r="H428" t="s">
        <v>118</v>
      </c>
      <c r="I428" t="s">
        <v>82</v>
      </c>
      <c r="J428" t="s">
        <v>137</v>
      </c>
      <c r="K428" s="37">
        <v>10</v>
      </c>
      <c r="L428" t="s">
        <v>52</v>
      </c>
      <c r="M428" s="21">
        <v>61300</v>
      </c>
      <c r="N428" s="21">
        <v>779736</v>
      </c>
      <c r="O428" s="21">
        <v>44136</v>
      </c>
      <c r="P428" s="37">
        <v>4</v>
      </c>
      <c r="Q428" t="s">
        <v>42</v>
      </c>
      <c r="R428" s="37">
        <v>18</v>
      </c>
      <c r="S428" s="37">
        <v>27</v>
      </c>
      <c r="T428" t="s">
        <v>77</v>
      </c>
      <c r="U428" t="s">
        <v>44</v>
      </c>
      <c r="V428" t="s">
        <v>45</v>
      </c>
      <c r="W428" t="str">
        <f t="shared" si="30"/>
        <v>31-40</v>
      </c>
      <c r="X428" t="str">
        <f t="shared" si="31"/>
        <v>6-10 yrs</v>
      </c>
      <c r="Y428" t="str">
        <f t="shared" si="32"/>
        <v>May</v>
      </c>
      <c r="Z428">
        <f t="shared" si="33"/>
        <v>2025</v>
      </c>
      <c r="AA428">
        <f t="shared" si="34"/>
        <v>0</v>
      </c>
    </row>
    <row r="429" spans="1:27" ht="15" customHeight="1" x14ac:dyDescent="0.3">
      <c r="A429" t="s">
        <v>853</v>
      </c>
      <c r="B429" s="20">
        <v>45763</v>
      </c>
      <c r="C429" t="s">
        <v>854</v>
      </c>
      <c r="D429" t="s">
        <v>48</v>
      </c>
      <c r="E429" s="37">
        <v>23</v>
      </c>
      <c r="F429" t="s">
        <v>91</v>
      </c>
      <c r="G429" t="s">
        <v>92</v>
      </c>
      <c r="H429" t="s">
        <v>38</v>
      </c>
      <c r="I429" t="s">
        <v>39</v>
      </c>
      <c r="J429" t="s">
        <v>134</v>
      </c>
      <c r="K429" s="37">
        <v>0</v>
      </c>
      <c r="L429" t="s">
        <v>52</v>
      </c>
      <c r="M429" s="21">
        <v>35900</v>
      </c>
      <c r="N429" s="21">
        <v>504035</v>
      </c>
      <c r="O429" s="21">
        <v>73236</v>
      </c>
      <c r="P429" s="37">
        <v>5</v>
      </c>
      <c r="Q429" t="s">
        <v>42</v>
      </c>
      <c r="R429" s="37">
        <v>9</v>
      </c>
      <c r="S429" s="37">
        <v>21</v>
      </c>
      <c r="T429" t="s">
        <v>175</v>
      </c>
      <c r="U429" t="s">
        <v>54</v>
      </c>
      <c r="V429" t="s">
        <v>45</v>
      </c>
      <c r="W429" t="str">
        <f t="shared" si="30"/>
        <v>22-30</v>
      </c>
      <c r="X429" t="str">
        <f t="shared" si="31"/>
        <v>0-5 yrs</v>
      </c>
      <c r="Y429" t="str">
        <f t="shared" si="32"/>
        <v>Apr</v>
      </c>
      <c r="Z429">
        <f t="shared" si="33"/>
        <v>2025</v>
      </c>
      <c r="AA429">
        <f t="shared" si="34"/>
        <v>0</v>
      </c>
    </row>
    <row r="430" spans="1:27" ht="15" customHeight="1" x14ac:dyDescent="0.3">
      <c r="A430" t="s">
        <v>855</v>
      </c>
      <c r="B430" s="20">
        <v>45729</v>
      </c>
      <c r="C430" t="s">
        <v>396</v>
      </c>
      <c r="D430" t="s">
        <v>48</v>
      </c>
      <c r="E430" s="37">
        <v>28</v>
      </c>
      <c r="F430" t="s">
        <v>108</v>
      </c>
      <c r="G430" t="s">
        <v>109</v>
      </c>
      <c r="H430" t="s">
        <v>66</v>
      </c>
      <c r="I430" t="s">
        <v>75</v>
      </c>
      <c r="J430" t="s">
        <v>170</v>
      </c>
      <c r="K430" s="37">
        <v>24</v>
      </c>
      <c r="L430" t="s">
        <v>52</v>
      </c>
      <c r="M430" s="21">
        <v>96300</v>
      </c>
      <c r="N430" s="21">
        <v>1294272</v>
      </c>
      <c r="O430" s="21">
        <v>138672</v>
      </c>
      <c r="P430" s="37">
        <v>5</v>
      </c>
      <c r="Q430" t="s">
        <v>42</v>
      </c>
      <c r="R430" s="37">
        <v>4</v>
      </c>
      <c r="S430" s="37">
        <v>34</v>
      </c>
      <c r="T430" t="s">
        <v>94</v>
      </c>
      <c r="U430" t="s">
        <v>63</v>
      </c>
      <c r="V430" t="s">
        <v>45</v>
      </c>
      <c r="W430" t="str">
        <f t="shared" si="30"/>
        <v>22-30</v>
      </c>
      <c r="X430" t="str">
        <f t="shared" si="31"/>
        <v>21-30 yrs</v>
      </c>
      <c r="Y430" t="str">
        <f t="shared" si="32"/>
        <v>Mar</v>
      </c>
      <c r="Z430">
        <f t="shared" si="33"/>
        <v>2025</v>
      </c>
      <c r="AA430">
        <f t="shared" si="34"/>
        <v>0</v>
      </c>
    </row>
    <row r="431" spans="1:27" ht="15" customHeight="1" x14ac:dyDescent="0.3">
      <c r="A431" t="s">
        <v>856</v>
      </c>
      <c r="B431" s="20">
        <v>45831</v>
      </c>
      <c r="C431" t="s">
        <v>589</v>
      </c>
      <c r="D431" t="s">
        <v>35</v>
      </c>
      <c r="E431" s="37">
        <v>29</v>
      </c>
      <c r="F431" t="s">
        <v>123</v>
      </c>
      <c r="G431" t="s">
        <v>124</v>
      </c>
      <c r="H431" t="s">
        <v>118</v>
      </c>
      <c r="I431" t="s">
        <v>39</v>
      </c>
      <c r="J431" t="s">
        <v>182</v>
      </c>
      <c r="K431" s="37">
        <v>13</v>
      </c>
      <c r="L431" t="s">
        <v>120</v>
      </c>
      <c r="M431" s="21">
        <v>28500</v>
      </c>
      <c r="N431" s="21">
        <v>389880</v>
      </c>
      <c r="O431" s="21">
        <v>47880</v>
      </c>
      <c r="P431" s="37">
        <v>4</v>
      </c>
      <c r="Q431" t="s">
        <v>42</v>
      </c>
      <c r="R431" s="37">
        <v>3</v>
      </c>
      <c r="S431" s="37">
        <v>2</v>
      </c>
      <c r="T431" t="s">
        <v>53</v>
      </c>
      <c r="U431" t="s">
        <v>44</v>
      </c>
      <c r="V431" t="s">
        <v>69</v>
      </c>
      <c r="W431" t="str">
        <f t="shared" si="30"/>
        <v>22-30</v>
      </c>
      <c r="X431" t="str">
        <f t="shared" si="31"/>
        <v>11-20 yrs</v>
      </c>
      <c r="Y431" t="str">
        <f t="shared" si="32"/>
        <v>Jun</v>
      </c>
      <c r="Z431">
        <f t="shared" si="33"/>
        <v>2025</v>
      </c>
      <c r="AA431">
        <f t="shared" si="34"/>
        <v>0</v>
      </c>
    </row>
    <row r="432" spans="1:27" ht="15" customHeight="1" x14ac:dyDescent="0.3">
      <c r="A432" t="s">
        <v>857</v>
      </c>
      <c r="B432" s="20">
        <v>45963</v>
      </c>
      <c r="C432" t="s">
        <v>858</v>
      </c>
      <c r="D432" t="s">
        <v>48</v>
      </c>
      <c r="E432" s="37">
        <v>45</v>
      </c>
      <c r="F432" t="s">
        <v>36</v>
      </c>
      <c r="G432" t="s">
        <v>37</v>
      </c>
      <c r="H432" t="s">
        <v>118</v>
      </c>
      <c r="I432" t="s">
        <v>39</v>
      </c>
      <c r="J432" t="s">
        <v>137</v>
      </c>
      <c r="K432" s="37">
        <v>4</v>
      </c>
      <c r="L432" t="s">
        <v>52</v>
      </c>
      <c r="M432" s="21">
        <v>37800</v>
      </c>
      <c r="N432" s="21">
        <v>535248</v>
      </c>
      <c r="O432" s="21">
        <v>81648</v>
      </c>
      <c r="P432" s="37">
        <v>3</v>
      </c>
      <c r="Q432" t="s">
        <v>126</v>
      </c>
      <c r="R432" s="37">
        <v>6</v>
      </c>
      <c r="S432" s="37">
        <v>17</v>
      </c>
      <c r="T432" t="s">
        <v>68</v>
      </c>
      <c r="U432" t="s">
        <v>63</v>
      </c>
      <c r="V432" t="s">
        <v>69</v>
      </c>
      <c r="W432" t="str">
        <f t="shared" si="30"/>
        <v>41-50</v>
      </c>
      <c r="X432" t="str">
        <f t="shared" si="31"/>
        <v>0-5 yrs</v>
      </c>
      <c r="Y432" t="str">
        <f t="shared" si="32"/>
        <v>Nov</v>
      </c>
      <c r="Z432">
        <f t="shared" si="33"/>
        <v>2025</v>
      </c>
      <c r="AA432">
        <f t="shared" si="34"/>
        <v>1</v>
      </c>
    </row>
    <row r="433" spans="1:27" ht="15" customHeight="1" x14ac:dyDescent="0.3">
      <c r="A433" t="s">
        <v>859</v>
      </c>
      <c r="B433" s="20">
        <v>45829</v>
      </c>
      <c r="C433" t="s">
        <v>526</v>
      </c>
      <c r="D433" t="s">
        <v>48</v>
      </c>
      <c r="E433" s="37">
        <v>53</v>
      </c>
      <c r="F433" t="s">
        <v>86</v>
      </c>
      <c r="G433" t="s">
        <v>87</v>
      </c>
      <c r="H433" t="s">
        <v>66</v>
      </c>
      <c r="I433" t="s">
        <v>82</v>
      </c>
      <c r="J433" t="s">
        <v>93</v>
      </c>
      <c r="K433" s="37">
        <v>21</v>
      </c>
      <c r="L433" t="s">
        <v>52</v>
      </c>
      <c r="M433" s="21">
        <v>75400</v>
      </c>
      <c r="N433" s="21">
        <v>1076712</v>
      </c>
      <c r="O433" s="21">
        <v>171912</v>
      </c>
      <c r="P433" s="37">
        <v>3</v>
      </c>
      <c r="Q433" t="s">
        <v>42</v>
      </c>
      <c r="R433" s="37">
        <v>15</v>
      </c>
      <c r="S433" s="37">
        <v>31</v>
      </c>
      <c r="T433" t="s">
        <v>53</v>
      </c>
      <c r="U433" t="s">
        <v>44</v>
      </c>
      <c r="V433" t="s">
        <v>69</v>
      </c>
      <c r="W433" t="str">
        <f t="shared" si="30"/>
        <v>51-58</v>
      </c>
      <c r="X433" t="str">
        <f t="shared" si="31"/>
        <v>21-30 yrs</v>
      </c>
      <c r="Y433" t="str">
        <f t="shared" si="32"/>
        <v>Jun</v>
      </c>
      <c r="Z433">
        <f t="shared" si="33"/>
        <v>2025</v>
      </c>
      <c r="AA433">
        <f t="shared" si="34"/>
        <v>0</v>
      </c>
    </row>
    <row r="434" spans="1:27" ht="15" customHeight="1" x14ac:dyDescent="0.3">
      <c r="A434" t="s">
        <v>860</v>
      </c>
      <c r="B434" s="20">
        <v>45939</v>
      </c>
      <c r="C434" t="s">
        <v>333</v>
      </c>
      <c r="D434" t="s">
        <v>35</v>
      </c>
      <c r="E434" s="37">
        <v>58</v>
      </c>
      <c r="F434" t="s">
        <v>97</v>
      </c>
      <c r="G434" t="s">
        <v>98</v>
      </c>
      <c r="H434" t="s">
        <v>59</v>
      </c>
      <c r="I434" t="s">
        <v>82</v>
      </c>
      <c r="J434" t="s">
        <v>104</v>
      </c>
      <c r="K434" s="37">
        <v>29</v>
      </c>
      <c r="L434" t="s">
        <v>52</v>
      </c>
      <c r="M434" s="21">
        <v>57700</v>
      </c>
      <c r="N434" s="21">
        <v>740868</v>
      </c>
      <c r="O434" s="21">
        <v>48468</v>
      </c>
      <c r="P434" s="37">
        <v>4</v>
      </c>
      <c r="Q434" t="s">
        <v>42</v>
      </c>
      <c r="R434" s="37">
        <v>18</v>
      </c>
      <c r="S434" s="37">
        <v>15</v>
      </c>
      <c r="T434" t="s">
        <v>62</v>
      </c>
      <c r="U434" t="s">
        <v>44</v>
      </c>
      <c r="V434" t="s">
        <v>69</v>
      </c>
      <c r="W434" t="str">
        <f t="shared" si="30"/>
        <v>51-58</v>
      </c>
      <c r="X434" t="str">
        <f t="shared" si="31"/>
        <v>21-30 yrs</v>
      </c>
      <c r="Y434" t="str">
        <f t="shared" si="32"/>
        <v>Oct</v>
      </c>
      <c r="Z434">
        <f t="shared" si="33"/>
        <v>2025</v>
      </c>
      <c r="AA434">
        <f t="shared" si="34"/>
        <v>0</v>
      </c>
    </row>
    <row r="435" spans="1:27" ht="15" customHeight="1" x14ac:dyDescent="0.3">
      <c r="A435" t="s">
        <v>861</v>
      </c>
      <c r="B435" s="20">
        <v>45907</v>
      </c>
      <c r="C435" t="s">
        <v>862</v>
      </c>
      <c r="D435" t="s">
        <v>35</v>
      </c>
      <c r="E435" s="37">
        <v>58</v>
      </c>
      <c r="F435" t="s">
        <v>86</v>
      </c>
      <c r="G435" t="s">
        <v>87</v>
      </c>
      <c r="H435" t="s">
        <v>66</v>
      </c>
      <c r="I435" t="s">
        <v>82</v>
      </c>
      <c r="J435" t="s">
        <v>161</v>
      </c>
      <c r="K435" s="37">
        <v>10</v>
      </c>
      <c r="L435" t="s">
        <v>52</v>
      </c>
      <c r="M435" s="21">
        <v>55100</v>
      </c>
      <c r="N435" s="21">
        <v>714096</v>
      </c>
      <c r="O435" s="21">
        <v>52896</v>
      </c>
      <c r="P435" s="37">
        <v>1</v>
      </c>
      <c r="Q435" t="s">
        <v>42</v>
      </c>
      <c r="R435" s="37">
        <v>5</v>
      </c>
      <c r="S435" s="37">
        <v>27</v>
      </c>
      <c r="T435" t="s">
        <v>129</v>
      </c>
      <c r="U435" t="s">
        <v>44</v>
      </c>
      <c r="V435" t="s">
        <v>45</v>
      </c>
      <c r="W435" t="str">
        <f t="shared" si="30"/>
        <v>51-58</v>
      </c>
      <c r="X435" t="str">
        <f t="shared" si="31"/>
        <v>6-10 yrs</v>
      </c>
      <c r="Y435" t="str">
        <f t="shared" si="32"/>
        <v>Sep</v>
      </c>
      <c r="Z435">
        <f t="shared" si="33"/>
        <v>2025</v>
      </c>
      <c r="AA435">
        <f t="shared" si="34"/>
        <v>0</v>
      </c>
    </row>
    <row r="436" spans="1:27" ht="15" customHeight="1" x14ac:dyDescent="0.3">
      <c r="A436" t="s">
        <v>863</v>
      </c>
      <c r="B436" s="20">
        <v>45979</v>
      </c>
      <c r="C436" t="s">
        <v>278</v>
      </c>
      <c r="D436" t="s">
        <v>48</v>
      </c>
      <c r="E436" s="37">
        <v>24</v>
      </c>
      <c r="F436" t="s">
        <v>108</v>
      </c>
      <c r="G436" t="s">
        <v>109</v>
      </c>
      <c r="H436" t="s">
        <v>66</v>
      </c>
      <c r="I436" t="s">
        <v>82</v>
      </c>
      <c r="J436" t="s">
        <v>93</v>
      </c>
      <c r="K436" s="37">
        <v>15</v>
      </c>
      <c r="L436" t="s">
        <v>52</v>
      </c>
      <c r="M436" s="21">
        <v>70100</v>
      </c>
      <c r="N436" s="21">
        <v>891672</v>
      </c>
      <c r="O436" s="21">
        <v>50472</v>
      </c>
      <c r="P436" s="37">
        <v>2</v>
      </c>
      <c r="Q436" t="s">
        <v>42</v>
      </c>
      <c r="R436" s="37">
        <v>16</v>
      </c>
      <c r="S436" s="37">
        <v>23</v>
      </c>
      <c r="T436" t="s">
        <v>105</v>
      </c>
      <c r="U436" t="s">
        <v>44</v>
      </c>
      <c r="V436" t="s">
        <v>45</v>
      </c>
      <c r="W436" t="str">
        <f t="shared" si="30"/>
        <v>22-30</v>
      </c>
      <c r="X436" t="str">
        <f t="shared" si="31"/>
        <v>11-20 yrs</v>
      </c>
      <c r="Y436" t="str">
        <f t="shared" si="32"/>
        <v>Nov</v>
      </c>
      <c r="Z436">
        <f t="shared" si="33"/>
        <v>2025</v>
      </c>
      <c r="AA436">
        <f t="shared" si="34"/>
        <v>0</v>
      </c>
    </row>
    <row r="437" spans="1:27" ht="15" customHeight="1" x14ac:dyDescent="0.3">
      <c r="A437" t="s">
        <v>864</v>
      </c>
      <c r="B437" s="20">
        <v>45676</v>
      </c>
      <c r="C437" t="s">
        <v>101</v>
      </c>
      <c r="D437" t="s">
        <v>35</v>
      </c>
      <c r="E437" s="37">
        <v>48</v>
      </c>
      <c r="F437" t="s">
        <v>57</v>
      </c>
      <c r="G437" t="s">
        <v>58</v>
      </c>
      <c r="H437" t="s">
        <v>38</v>
      </c>
      <c r="I437" t="s">
        <v>75</v>
      </c>
      <c r="J437" t="s">
        <v>40</v>
      </c>
      <c r="K437" s="37">
        <v>27</v>
      </c>
      <c r="L437" t="s">
        <v>41</v>
      </c>
      <c r="M437" s="21">
        <v>105600</v>
      </c>
      <c r="N437" s="21">
        <v>1406592</v>
      </c>
      <c r="O437" s="21">
        <v>139392</v>
      </c>
      <c r="P437" s="37">
        <v>3</v>
      </c>
      <c r="Q437" t="s">
        <v>42</v>
      </c>
      <c r="R437" s="37">
        <v>0</v>
      </c>
      <c r="S437" s="37">
        <v>18</v>
      </c>
      <c r="T437" t="s">
        <v>94</v>
      </c>
      <c r="U437" t="s">
        <v>63</v>
      </c>
      <c r="V437" t="s">
        <v>69</v>
      </c>
      <c r="W437" t="str">
        <f t="shared" si="30"/>
        <v>41-50</v>
      </c>
      <c r="X437" t="str">
        <f t="shared" si="31"/>
        <v>21-30 yrs</v>
      </c>
      <c r="Y437" t="str">
        <f t="shared" si="32"/>
        <v>Jan</v>
      </c>
      <c r="Z437">
        <f t="shared" si="33"/>
        <v>2025</v>
      </c>
      <c r="AA437">
        <f t="shared" si="34"/>
        <v>0</v>
      </c>
    </row>
    <row r="438" spans="1:27" ht="15" customHeight="1" x14ac:dyDescent="0.3">
      <c r="A438" t="s">
        <v>865</v>
      </c>
      <c r="B438" s="20">
        <v>45828</v>
      </c>
      <c r="C438" t="s">
        <v>866</v>
      </c>
      <c r="D438" t="s">
        <v>35</v>
      </c>
      <c r="E438" s="37">
        <v>37</v>
      </c>
      <c r="F438" t="s">
        <v>72</v>
      </c>
      <c r="G438" t="s">
        <v>73</v>
      </c>
      <c r="H438" t="s">
        <v>66</v>
      </c>
      <c r="I438" t="s">
        <v>82</v>
      </c>
      <c r="J438" t="s">
        <v>161</v>
      </c>
      <c r="K438" s="37">
        <v>6</v>
      </c>
      <c r="L438" t="s">
        <v>52</v>
      </c>
      <c r="M438" s="21">
        <v>59900</v>
      </c>
      <c r="N438" s="21">
        <v>826619</v>
      </c>
      <c r="O438" s="21">
        <v>107820</v>
      </c>
      <c r="P438" s="37">
        <v>2</v>
      </c>
      <c r="Q438" t="s">
        <v>126</v>
      </c>
      <c r="R438" s="37">
        <v>19</v>
      </c>
      <c r="S438" s="37">
        <v>37</v>
      </c>
      <c r="T438" t="s">
        <v>68</v>
      </c>
      <c r="U438" t="s">
        <v>44</v>
      </c>
      <c r="V438" t="s">
        <v>45</v>
      </c>
      <c r="W438" t="str">
        <f t="shared" si="30"/>
        <v>31-40</v>
      </c>
      <c r="X438" t="str">
        <f t="shared" si="31"/>
        <v>6-10 yrs</v>
      </c>
      <c r="Y438" t="str">
        <f t="shared" si="32"/>
        <v>Jun</v>
      </c>
      <c r="Z438">
        <f t="shared" si="33"/>
        <v>2025</v>
      </c>
      <c r="AA438">
        <f t="shared" si="34"/>
        <v>1</v>
      </c>
    </row>
    <row r="439" spans="1:27" ht="15" customHeight="1" x14ac:dyDescent="0.3">
      <c r="A439" t="s">
        <v>867</v>
      </c>
      <c r="B439" s="20">
        <v>45952</v>
      </c>
      <c r="C439" t="s">
        <v>749</v>
      </c>
      <c r="D439" t="s">
        <v>35</v>
      </c>
      <c r="E439" s="37">
        <v>24</v>
      </c>
      <c r="F439" t="s">
        <v>108</v>
      </c>
      <c r="G439" t="s">
        <v>109</v>
      </c>
      <c r="H439" t="s">
        <v>38</v>
      </c>
      <c r="I439" t="s">
        <v>75</v>
      </c>
      <c r="J439" t="s">
        <v>99</v>
      </c>
      <c r="K439" s="37">
        <v>19</v>
      </c>
      <c r="L439" t="s">
        <v>41</v>
      </c>
      <c r="M439" s="21">
        <v>98400</v>
      </c>
      <c r="N439" s="21">
        <v>1346112</v>
      </c>
      <c r="O439" s="21">
        <v>165312</v>
      </c>
      <c r="P439" s="37">
        <v>3</v>
      </c>
      <c r="Q439" t="s">
        <v>42</v>
      </c>
      <c r="R439" s="37">
        <v>18</v>
      </c>
      <c r="S439" s="37">
        <v>12</v>
      </c>
      <c r="T439" t="s">
        <v>43</v>
      </c>
      <c r="U439" t="s">
        <v>54</v>
      </c>
      <c r="V439" t="s">
        <v>69</v>
      </c>
      <c r="W439" t="str">
        <f t="shared" si="30"/>
        <v>22-30</v>
      </c>
      <c r="X439" t="str">
        <f t="shared" si="31"/>
        <v>11-20 yrs</v>
      </c>
      <c r="Y439" t="str">
        <f t="shared" si="32"/>
        <v>Oct</v>
      </c>
      <c r="Z439">
        <f t="shared" si="33"/>
        <v>2025</v>
      </c>
      <c r="AA439">
        <f t="shared" si="34"/>
        <v>0</v>
      </c>
    </row>
    <row r="440" spans="1:27" ht="15" customHeight="1" x14ac:dyDescent="0.3">
      <c r="A440" t="s">
        <v>868</v>
      </c>
      <c r="B440" s="20">
        <v>45842</v>
      </c>
      <c r="C440" t="s">
        <v>471</v>
      </c>
      <c r="D440" t="s">
        <v>48</v>
      </c>
      <c r="E440" s="37">
        <v>51</v>
      </c>
      <c r="F440" t="s">
        <v>49</v>
      </c>
      <c r="G440" t="s">
        <v>50</v>
      </c>
      <c r="H440" t="s">
        <v>118</v>
      </c>
      <c r="I440" t="s">
        <v>39</v>
      </c>
      <c r="J440" t="s">
        <v>137</v>
      </c>
      <c r="K440" s="37">
        <v>18</v>
      </c>
      <c r="L440" t="s">
        <v>52</v>
      </c>
      <c r="M440" s="21">
        <v>36200</v>
      </c>
      <c r="N440" s="21">
        <v>460464</v>
      </c>
      <c r="O440" s="21">
        <v>26064</v>
      </c>
      <c r="P440" s="37">
        <v>5</v>
      </c>
      <c r="Q440" t="s">
        <v>42</v>
      </c>
      <c r="R440" s="37">
        <v>1</v>
      </c>
      <c r="S440" s="37">
        <v>30</v>
      </c>
      <c r="T440" t="s">
        <v>94</v>
      </c>
      <c r="U440" t="s">
        <v>44</v>
      </c>
      <c r="V440" t="s">
        <v>69</v>
      </c>
      <c r="W440" t="str">
        <f t="shared" si="30"/>
        <v>51-58</v>
      </c>
      <c r="X440" t="str">
        <f t="shared" si="31"/>
        <v>11-20 yrs</v>
      </c>
      <c r="Y440" t="str">
        <f t="shared" si="32"/>
        <v>Jul</v>
      </c>
      <c r="Z440">
        <f t="shared" si="33"/>
        <v>2025</v>
      </c>
      <c r="AA440">
        <f t="shared" si="34"/>
        <v>0</v>
      </c>
    </row>
    <row r="441" spans="1:27" ht="15" customHeight="1" x14ac:dyDescent="0.3">
      <c r="A441" t="s">
        <v>869</v>
      </c>
      <c r="B441" s="20">
        <v>45943</v>
      </c>
      <c r="C441" t="s">
        <v>870</v>
      </c>
      <c r="D441" t="s">
        <v>35</v>
      </c>
      <c r="E441" s="37">
        <v>25</v>
      </c>
      <c r="F441" t="s">
        <v>36</v>
      </c>
      <c r="G441" t="s">
        <v>37</v>
      </c>
      <c r="H441" t="s">
        <v>38</v>
      </c>
      <c r="I441" t="s">
        <v>75</v>
      </c>
      <c r="J441" t="s">
        <v>190</v>
      </c>
      <c r="K441" s="37">
        <v>25</v>
      </c>
      <c r="L441" t="s">
        <v>120</v>
      </c>
      <c r="M441" s="21">
        <v>80200</v>
      </c>
      <c r="N441" s="21">
        <v>1020144</v>
      </c>
      <c r="O441" s="21">
        <v>57744</v>
      </c>
      <c r="P441" s="37">
        <v>3</v>
      </c>
      <c r="Q441" t="s">
        <v>126</v>
      </c>
      <c r="R441" s="37">
        <v>10</v>
      </c>
      <c r="S441" s="37">
        <v>6</v>
      </c>
      <c r="T441" t="s">
        <v>68</v>
      </c>
      <c r="U441" t="s">
        <v>54</v>
      </c>
      <c r="V441" t="s">
        <v>45</v>
      </c>
      <c r="W441" t="str">
        <f t="shared" si="30"/>
        <v>22-30</v>
      </c>
      <c r="X441" t="str">
        <f t="shared" si="31"/>
        <v>21-30 yrs</v>
      </c>
      <c r="Y441" t="str">
        <f t="shared" si="32"/>
        <v>Oct</v>
      </c>
      <c r="Z441">
        <f t="shared" si="33"/>
        <v>2025</v>
      </c>
      <c r="AA441">
        <f t="shared" si="34"/>
        <v>1</v>
      </c>
    </row>
    <row r="442" spans="1:27" ht="15" customHeight="1" x14ac:dyDescent="0.3">
      <c r="A442" t="s">
        <v>871</v>
      </c>
      <c r="B442" s="20">
        <v>45732</v>
      </c>
      <c r="C442" t="s">
        <v>407</v>
      </c>
      <c r="D442" t="s">
        <v>48</v>
      </c>
      <c r="E442" s="37">
        <v>48</v>
      </c>
      <c r="F442" t="s">
        <v>72</v>
      </c>
      <c r="G442" t="s">
        <v>73</v>
      </c>
      <c r="H442" t="s">
        <v>66</v>
      </c>
      <c r="I442" t="s">
        <v>82</v>
      </c>
      <c r="J442" t="s">
        <v>67</v>
      </c>
      <c r="K442" s="37">
        <v>30</v>
      </c>
      <c r="L442" t="s">
        <v>41</v>
      </c>
      <c r="M442" s="21">
        <v>61200</v>
      </c>
      <c r="N442" s="21">
        <v>844559</v>
      </c>
      <c r="O442" s="21">
        <v>110160</v>
      </c>
      <c r="P442" s="37">
        <v>3</v>
      </c>
      <c r="Q442" t="s">
        <v>42</v>
      </c>
      <c r="R442" s="37">
        <v>20</v>
      </c>
      <c r="S442" s="37">
        <v>11</v>
      </c>
      <c r="T442" t="s">
        <v>62</v>
      </c>
      <c r="U442" t="s">
        <v>63</v>
      </c>
      <c r="V442" t="s">
        <v>45</v>
      </c>
      <c r="W442" t="str">
        <f t="shared" si="30"/>
        <v>41-50</v>
      </c>
      <c r="X442" t="str">
        <f t="shared" si="31"/>
        <v>21-30 yrs</v>
      </c>
      <c r="Y442" t="str">
        <f t="shared" si="32"/>
        <v>Mar</v>
      </c>
      <c r="Z442">
        <f t="shared" si="33"/>
        <v>2025</v>
      </c>
      <c r="AA442">
        <f t="shared" si="34"/>
        <v>0</v>
      </c>
    </row>
    <row r="443" spans="1:27" ht="15" customHeight="1" x14ac:dyDescent="0.3">
      <c r="A443" t="s">
        <v>872</v>
      </c>
      <c r="B443" s="20">
        <v>46013</v>
      </c>
      <c r="C443" t="s">
        <v>873</v>
      </c>
      <c r="D443" t="s">
        <v>35</v>
      </c>
      <c r="E443" s="37">
        <v>46</v>
      </c>
      <c r="F443" t="s">
        <v>86</v>
      </c>
      <c r="G443" t="s">
        <v>87</v>
      </c>
      <c r="H443" t="s">
        <v>59</v>
      </c>
      <c r="I443" t="s">
        <v>39</v>
      </c>
      <c r="J443" t="s">
        <v>141</v>
      </c>
      <c r="K443" s="37">
        <v>23</v>
      </c>
      <c r="L443" t="s">
        <v>52</v>
      </c>
      <c r="M443" s="21">
        <v>32000</v>
      </c>
      <c r="N443" s="21">
        <v>445439</v>
      </c>
      <c r="O443" s="21">
        <v>61440</v>
      </c>
      <c r="P443" s="37">
        <v>3</v>
      </c>
      <c r="Q443" t="s">
        <v>42</v>
      </c>
      <c r="R443" s="37">
        <v>1</v>
      </c>
      <c r="S443" s="37">
        <v>13</v>
      </c>
      <c r="T443" t="s">
        <v>53</v>
      </c>
      <c r="U443" t="s">
        <v>138</v>
      </c>
      <c r="V443" t="s">
        <v>69</v>
      </c>
      <c r="W443" t="str">
        <f t="shared" si="30"/>
        <v>41-50</v>
      </c>
      <c r="X443" t="str">
        <f t="shared" si="31"/>
        <v>21-30 yrs</v>
      </c>
      <c r="Y443" t="str">
        <f t="shared" si="32"/>
        <v>Dec</v>
      </c>
      <c r="Z443">
        <f t="shared" si="33"/>
        <v>2025</v>
      </c>
      <c r="AA443">
        <f t="shared" si="34"/>
        <v>0</v>
      </c>
    </row>
    <row r="444" spans="1:27" ht="15" customHeight="1" x14ac:dyDescent="0.3">
      <c r="A444" t="s">
        <v>874</v>
      </c>
      <c r="B444" s="20">
        <v>46009</v>
      </c>
      <c r="C444" t="s">
        <v>875</v>
      </c>
      <c r="D444" t="s">
        <v>35</v>
      </c>
      <c r="E444" s="37">
        <v>27</v>
      </c>
      <c r="F444" t="s">
        <v>97</v>
      </c>
      <c r="G444" t="s">
        <v>98</v>
      </c>
      <c r="H444" t="s">
        <v>66</v>
      </c>
      <c r="I444" t="s">
        <v>60</v>
      </c>
      <c r="J444" t="s">
        <v>93</v>
      </c>
      <c r="K444" s="37">
        <v>22</v>
      </c>
      <c r="L444" t="s">
        <v>41</v>
      </c>
      <c r="M444" s="21">
        <v>174900</v>
      </c>
      <c r="N444" s="21">
        <v>2329668</v>
      </c>
      <c r="O444" s="21">
        <v>230868</v>
      </c>
      <c r="P444" s="37">
        <v>3</v>
      </c>
      <c r="Q444" t="s">
        <v>42</v>
      </c>
      <c r="R444" s="37">
        <v>4</v>
      </c>
      <c r="S444" s="37">
        <v>19</v>
      </c>
      <c r="T444" t="s">
        <v>77</v>
      </c>
      <c r="U444" t="s">
        <v>138</v>
      </c>
      <c r="V444" t="s">
        <v>69</v>
      </c>
      <c r="W444" t="str">
        <f t="shared" si="30"/>
        <v>22-30</v>
      </c>
      <c r="X444" t="str">
        <f t="shared" si="31"/>
        <v>21-30 yrs</v>
      </c>
      <c r="Y444" t="str">
        <f t="shared" si="32"/>
        <v>Dec</v>
      </c>
      <c r="Z444">
        <f t="shared" si="33"/>
        <v>2025</v>
      </c>
      <c r="AA444">
        <f t="shared" si="34"/>
        <v>0</v>
      </c>
    </row>
    <row r="445" spans="1:27" ht="15" customHeight="1" x14ac:dyDescent="0.3">
      <c r="A445" t="s">
        <v>876</v>
      </c>
      <c r="B445" s="20">
        <v>45833</v>
      </c>
      <c r="C445" t="s">
        <v>616</v>
      </c>
      <c r="D445" t="s">
        <v>35</v>
      </c>
      <c r="E445" s="37">
        <v>39</v>
      </c>
      <c r="F445" t="s">
        <v>72</v>
      </c>
      <c r="G445" t="s">
        <v>73</v>
      </c>
      <c r="H445" t="s">
        <v>118</v>
      </c>
      <c r="I445" t="s">
        <v>82</v>
      </c>
      <c r="J445" t="s">
        <v>137</v>
      </c>
      <c r="K445" s="37">
        <v>6</v>
      </c>
      <c r="L445" t="s">
        <v>120</v>
      </c>
      <c r="M445" s="21">
        <v>50000</v>
      </c>
      <c r="N445" s="21">
        <v>636000</v>
      </c>
      <c r="O445" s="21">
        <v>36000</v>
      </c>
      <c r="P445" s="37">
        <v>4</v>
      </c>
      <c r="Q445" t="s">
        <v>42</v>
      </c>
      <c r="R445" s="37">
        <v>4</v>
      </c>
      <c r="S445" s="37">
        <v>30</v>
      </c>
      <c r="T445" t="s">
        <v>105</v>
      </c>
      <c r="U445" t="s">
        <v>63</v>
      </c>
      <c r="V445" t="s">
        <v>45</v>
      </c>
      <c r="W445" t="str">
        <f t="shared" si="30"/>
        <v>31-40</v>
      </c>
      <c r="X445" t="str">
        <f t="shared" si="31"/>
        <v>6-10 yrs</v>
      </c>
      <c r="Y445" t="str">
        <f t="shared" si="32"/>
        <v>Jun</v>
      </c>
      <c r="Z445">
        <f t="shared" si="33"/>
        <v>2025</v>
      </c>
      <c r="AA445">
        <f t="shared" si="34"/>
        <v>0</v>
      </c>
    </row>
    <row r="446" spans="1:27" ht="15" customHeight="1" x14ac:dyDescent="0.3">
      <c r="A446" t="s">
        <v>877</v>
      </c>
      <c r="B446" s="20">
        <v>45673</v>
      </c>
      <c r="C446" t="s">
        <v>878</v>
      </c>
      <c r="D446" t="s">
        <v>35</v>
      </c>
      <c r="E446" s="37">
        <v>49</v>
      </c>
      <c r="F446" t="s">
        <v>108</v>
      </c>
      <c r="G446" t="s">
        <v>109</v>
      </c>
      <c r="H446" t="s">
        <v>66</v>
      </c>
      <c r="I446" t="s">
        <v>39</v>
      </c>
      <c r="J446" t="s">
        <v>67</v>
      </c>
      <c r="K446" s="37">
        <v>24</v>
      </c>
      <c r="L446" t="s">
        <v>52</v>
      </c>
      <c r="M446" s="21">
        <v>48000</v>
      </c>
      <c r="N446" s="21">
        <v>616320</v>
      </c>
      <c r="O446" s="21">
        <v>40320</v>
      </c>
      <c r="P446" s="37">
        <v>3</v>
      </c>
      <c r="Q446" t="s">
        <v>42</v>
      </c>
      <c r="R446" s="37">
        <v>20</v>
      </c>
      <c r="S446" s="37">
        <v>36</v>
      </c>
      <c r="T446" t="s">
        <v>77</v>
      </c>
      <c r="U446" t="s">
        <v>44</v>
      </c>
      <c r="V446" t="s">
        <v>45</v>
      </c>
      <c r="W446" t="str">
        <f t="shared" si="30"/>
        <v>41-50</v>
      </c>
      <c r="X446" t="str">
        <f t="shared" si="31"/>
        <v>21-30 yrs</v>
      </c>
      <c r="Y446" t="str">
        <f t="shared" si="32"/>
        <v>Jan</v>
      </c>
      <c r="Z446">
        <f t="shared" si="33"/>
        <v>2025</v>
      </c>
      <c r="AA446">
        <f t="shared" si="34"/>
        <v>0</v>
      </c>
    </row>
    <row r="447" spans="1:27" ht="15" customHeight="1" x14ac:dyDescent="0.3">
      <c r="A447" t="s">
        <v>879</v>
      </c>
      <c r="B447" s="20">
        <v>45717</v>
      </c>
      <c r="C447" t="s">
        <v>366</v>
      </c>
      <c r="D447" t="s">
        <v>35</v>
      </c>
      <c r="E447" s="37">
        <v>55</v>
      </c>
      <c r="F447" t="s">
        <v>108</v>
      </c>
      <c r="G447" t="s">
        <v>109</v>
      </c>
      <c r="H447" t="s">
        <v>74</v>
      </c>
      <c r="I447" t="s">
        <v>75</v>
      </c>
      <c r="J447" t="s">
        <v>152</v>
      </c>
      <c r="K447" s="37">
        <v>21</v>
      </c>
      <c r="L447" t="s">
        <v>52</v>
      </c>
      <c r="M447" s="21">
        <v>104800</v>
      </c>
      <c r="N447" s="21">
        <v>1421087</v>
      </c>
      <c r="O447" s="21">
        <v>163488</v>
      </c>
      <c r="P447" s="37">
        <v>5</v>
      </c>
      <c r="Q447" t="s">
        <v>42</v>
      </c>
      <c r="R447" s="37">
        <v>16</v>
      </c>
      <c r="S447" s="37">
        <v>8</v>
      </c>
      <c r="T447" t="s">
        <v>62</v>
      </c>
      <c r="U447" t="s">
        <v>44</v>
      </c>
      <c r="V447" t="s">
        <v>45</v>
      </c>
      <c r="W447" t="str">
        <f t="shared" si="30"/>
        <v>51-58</v>
      </c>
      <c r="X447" t="str">
        <f t="shared" si="31"/>
        <v>21-30 yrs</v>
      </c>
      <c r="Y447" t="str">
        <f t="shared" si="32"/>
        <v>Mar</v>
      </c>
      <c r="Z447">
        <f t="shared" si="33"/>
        <v>2025</v>
      </c>
      <c r="AA447">
        <f t="shared" si="34"/>
        <v>0</v>
      </c>
    </row>
    <row r="448" spans="1:27" ht="15" customHeight="1" x14ac:dyDescent="0.3">
      <c r="A448" t="s">
        <v>880</v>
      </c>
      <c r="B448" s="20">
        <v>45965</v>
      </c>
      <c r="C448" t="s">
        <v>686</v>
      </c>
      <c r="D448" t="s">
        <v>35</v>
      </c>
      <c r="E448" s="37">
        <v>37</v>
      </c>
      <c r="F448" t="s">
        <v>123</v>
      </c>
      <c r="G448" t="s">
        <v>124</v>
      </c>
      <c r="H448" t="s">
        <v>38</v>
      </c>
      <c r="I448" t="s">
        <v>82</v>
      </c>
      <c r="J448" t="s">
        <v>110</v>
      </c>
      <c r="K448" s="37">
        <v>29</v>
      </c>
      <c r="L448" t="s">
        <v>52</v>
      </c>
      <c r="M448" s="21">
        <v>49700</v>
      </c>
      <c r="N448" s="21">
        <v>656040</v>
      </c>
      <c r="O448" s="21">
        <v>59640</v>
      </c>
      <c r="P448" s="37">
        <v>5</v>
      </c>
      <c r="Q448" t="s">
        <v>42</v>
      </c>
      <c r="R448" s="37">
        <v>0</v>
      </c>
      <c r="S448" s="37">
        <v>25</v>
      </c>
      <c r="T448" t="s">
        <v>129</v>
      </c>
      <c r="U448" t="s">
        <v>63</v>
      </c>
      <c r="V448" t="s">
        <v>69</v>
      </c>
      <c r="W448" t="str">
        <f t="shared" si="30"/>
        <v>31-40</v>
      </c>
      <c r="X448" t="str">
        <f t="shared" si="31"/>
        <v>21-30 yrs</v>
      </c>
      <c r="Y448" t="str">
        <f t="shared" si="32"/>
        <v>Nov</v>
      </c>
      <c r="Z448">
        <f t="shared" si="33"/>
        <v>2025</v>
      </c>
      <c r="AA448">
        <f t="shared" si="34"/>
        <v>0</v>
      </c>
    </row>
    <row r="449" spans="1:27" ht="15" customHeight="1" x14ac:dyDescent="0.3">
      <c r="A449" t="s">
        <v>881</v>
      </c>
      <c r="B449" s="20">
        <v>45798</v>
      </c>
      <c r="C449" t="s">
        <v>465</v>
      </c>
      <c r="D449" t="s">
        <v>48</v>
      </c>
      <c r="E449" s="37">
        <v>57</v>
      </c>
      <c r="F449" t="s">
        <v>86</v>
      </c>
      <c r="G449" t="s">
        <v>87</v>
      </c>
      <c r="H449" t="s">
        <v>59</v>
      </c>
      <c r="I449" t="s">
        <v>75</v>
      </c>
      <c r="J449" t="s">
        <v>141</v>
      </c>
      <c r="K449" s="37">
        <v>15</v>
      </c>
      <c r="L449" t="s">
        <v>52</v>
      </c>
      <c r="M449" s="21">
        <v>67000</v>
      </c>
      <c r="N449" s="21">
        <v>900480</v>
      </c>
      <c r="O449" s="21">
        <v>96480</v>
      </c>
      <c r="P449" s="37">
        <v>3</v>
      </c>
      <c r="Q449" t="s">
        <v>42</v>
      </c>
      <c r="R449" s="37">
        <v>8</v>
      </c>
      <c r="S449" s="37">
        <v>18</v>
      </c>
      <c r="T449" t="s">
        <v>43</v>
      </c>
      <c r="U449" t="s">
        <v>63</v>
      </c>
      <c r="V449" t="s">
        <v>69</v>
      </c>
      <c r="W449" t="str">
        <f t="shared" si="30"/>
        <v>51-58</v>
      </c>
      <c r="X449" t="str">
        <f t="shared" si="31"/>
        <v>11-20 yrs</v>
      </c>
      <c r="Y449" t="str">
        <f t="shared" si="32"/>
        <v>May</v>
      </c>
      <c r="Z449">
        <f t="shared" si="33"/>
        <v>2025</v>
      </c>
      <c r="AA449">
        <f t="shared" si="34"/>
        <v>0</v>
      </c>
    </row>
    <row r="450" spans="1:27" ht="15" customHeight="1" x14ac:dyDescent="0.3">
      <c r="A450" t="s">
        <v>882</v>
      </c>
      <c r="B450" s="20">
        <v>45949</v>
      </c>
      <c r="C450" t="s">
        <v>743</v>
      </c>
      <c r="D450" t="s">
        <v>35</v>
      </c>
      <c r="E450" s="37">
        <v>46</v>
      </c>
      <c r="F450" t="s">
        <v>49</v>
      </c>
      <c r="G450" t="s">
        <v>50</v>
      </c>
      <c r="H450" t="s">
        <v>74</v>
      </c>
      <c r="I450" t="s">
        <v>39</v>
      </c>
      <c r="J450" t="s">
        <v>367</v>
      </c>
      <c r="K450" s="37">
        <v>8</v>
      </c>
      <c r="L450" t="s">
        <v>52</v>
      </c>
      <c r="M450" s="21">
        <v>40600</v>
      </c>
      <c r="N450" s="21">
        <v>545664</v>
      </c>
      <c r="O450" s="21">
        <v>58464</v>
      </c>
      <c r="P450" s="37">
        <v>4</v>
      </c>
      <c r="Q450" t="s">
        <v>126</v>
      </c>
      <c r="R450" s="37">
        <v>3</v>
      </c>
      <c r="S450" s="37">
        <v>8</v>
      </c>
      <c r="T450" t="s">
        <v>43</v>
      </c>
      <c r="U450" t="s">
        <v>44</v>
      </c>
      <c r="V450" t="s">
        <v>45</v>
      </c>
      <c r="W450" t="str">
        <f t="shared" ref="W450:W513" si="35">IF(E450&lt;=30,"22-30",IF(E450&lt;=40,"31-40",IF(E450&lt;=50,"41-50","51-58")))</f>
        <v>41-50</v>
      </c>
      <c r="X450" t="str">
        <f t="shared" ref="X450:X513" si="36">IF(K450&lt;=5,"0-5 yrs",IF(K450&lt;=10,"6-10 yrs",IF(K450&lt;=20,"11-20 yrs","21-30 yrs")))</f>
        <v>6-10 yrs</v>
      </c>
      <c r="Y450" t="str">
        <f t="shared" ref="Y450:Y513" si="37">TEXT(B450,"mmm")</f>
        <v>Oct</v>
      </c>
      <c r="Z450">
        <f t="shared" ref="Z450:Z513" si="38">YEAR(B450)</f>
        <v>2025</v>
      </c>
      <c r="AA450">
        <f t="shared" ref="AA450:AA513" si="39">IF(Q450="Yes",1,0)</f>
        <v>1</v>
      </c>
    </row>
    <row r="451" spans="1:27" ht="15" customHeight="1" x14ac:dyDescent="0.3">
      <c r="A451" t="s">
        <v>883</v>
      </c>
      <c r="B451" s="20">
        <v>45982</v>
      </c>
      <c r="C451" t="s">
        <v>186</v>
      </c>
      <c r="D451" t="s">
        <v>35</v>
      </c>
      <c r="E451" s="37">
        <v>27</v>
      </c>
      <c r="F451" t="s">
        <v>72</v>
      </c>
      <c r="G451" t="s">
        <v>73</v>
      </c>
      <c r="H451" t="s">
        <v>74</v>
      </c>
      <c r="I451" t="s">
        <v>82</v>
      </c>
      <c r="J451" t="s">
        <v>83</v>
      </c>
      <c r="K451" s="37">
        <v>18</v>
      </c>
      <c r="L451" t="s">
        <v>52</v>
      </c>
      <c r="M451" s="21">
        <v>55100</v>
      </c>
      <c r="N451" s="21">
        <v>780216</v>
      </c>
      <c r="O451" s="21">
        <v>119016</v>
      </c>
      <c r="P451" s="37">
        <v>2</v>
      </c>
      <c r="Q451" t="s">
        <v>42</v>
      </c>
      <c r="R451" s="37">
        <v>2</v>
      </c>
      <c r="S451" s="37">
        <v>9</v>
      </c>
      <c r="T451" t="s">
        <v>62</v>
      </c>
      <c r="U451" t="s">
        <v>44</v>
      </c>
      <c r="V451" t="s">
        <v>69</v>
      </c>
      <c r="W451" t="str">
        <f t="shared" si="35"/>
        <v>22-30</v>
      </c>
      <c r="X451" t="str">
        <f t="shared" si="36"/>
        <v>11-20 yrs</v>
      </c>
      <c r="Y451" t="str">
        <f t="shared" si="37"/>
        <v>Nov</v>
      </c>
      <c r="Z451">
        <f t="shared" si="38"/>
        <v>2025</v>
      </c>
      <c r="AA451">
        <f t="shared" si="39"/>
        <v>0</v>
      </c>
    </row>
    <row r="452" spans="1:27" ht="15" customHeight="1" x14ac:dyDescent="0.3">
      <c r="A452" t="s">
        <v>884</v>
      </c>
      <c r="B452" s="20">
        <v>45894</v>
      </c>
      <c r="C452" t="s">
        <v>885</v>
      </c>
      <c r="D452" t="s">
        <v>35</v>
      </c>
      <c r="E452" s="37">
        <v>38</v>
      </c>
      <c r="F452" t="s">
        <v>57</v>
      </c>
      <c r="G452" t="s">
        <v>58</v>
      </c>
      <c r="H452" t="s">
        <v>38</v>
      </c>
      <c r="I452" t="s">
        <v>75</v>
      </c>
      <c r="J452" t="s">
        <v>40</v>
      </c>
      <c r="K452" s="37">
        <v>28</v>
      </c>
      <c r="L452" t="s">
        <v>52</v>
      </c>
      <c r="M452" s="21">
        <v>99900</v>
      </c>
      <c r="N452" s="21">
        <v>1402596</v>
      </c>
      <c r="O452" s="21">
        <v>203796</v>
      </c>
      <c r="P452" s="37">
        <v>4</v>
      </c>
      <c r="Q452" t="s">
        <v>42</v>
      </c>
      <c r="R452" s="37">
        <v>5</v>
      </c>
      <c r="S452" s="37">
        <v>0</v>
      </c>
      <c r="T452" t="s">
        <v>77</v>
      </c>
      <c r="U452" t="s">
        <v>44</v>
      </c>
      <c r="V452" t="s">
        <v>69</v>
      </c>
      <c r="W452" t="str">
        <f t="shared" si="35"/>
        <v>31-40</v>
      </c>
      <c r="X452" t="str">
        <f t="shared" si="36"/>
        <v>21-30 yrs</v>
      </c>
      <c r="Y452" t="str">
        <f t="shared" si="37"/>
        <v>Aug</v>
      </c>
      <c r="Z452">
        <f t="shared" si="38"/>
        <v>2025</v>
      </c>
      <c r="AA452">
        <f t="shared" si="39"/>
        <v>0</v>
      </c>
    </row>
    <row r="453" spans="1:27" ht="15" customHeight="1" x14ac:dyDescent="0.3">
      <c r="A453" t="s">
        <v>886</v>
      </c>
      <c r="B453" s="20">
        <v>45885</v>
      </c>
      <c r="C453" t="s">
        <v>384</v>
      </c>
      <c r="D453" t="s">
        <v>48</v>
      </c>
      <c r="E453" s="37">
        <v>50</v>
      </c>
      <c r="F453" t="s">
        <v>36</v>
      </c>
      <c r="G453" t="s">
        <v>37</v>
      </c>
      <c r="H453" t="s">
        <v>66</v>
      </c>
      <c r="I453" t="s">
        <v>51</v>
      </c>
      <c r="J453" t="s">
        <v>161</v>
      </c>
      <c r="K453" s="37">
        <v>28</v>
      </c>
      <c r="L453" t="s">
        <v>52</v>
      </c>
      <c r="M453" s="21">
        <v>237100</v>
      </c>
      <c r="N453" s="21">
        <v>2987460</v>
      </c>
      <c r="O453" s="21">
        <v>142260</v>
      </c>
      <c r="P453" s="37">
        <v>3</v>
      </c>
      <c r="Q453" t="s">
        <v>42</v>
      </c>
      <c r="R453" s="37">
        <v>17</v>
      </c>
      <c r="S453" s="37">
        <v>25</v>
      </c>
      <c r="T453" t="s">
        <v>68</v>
      </c>
      <c r="U453" t="s">
        <v>44</v>
      </c>
      <c r="V453" t="s">
        <v>45</v>
      </c>
      <c r="W453" t="str">
        <f t="shared" si="35"/>
        <v>41-50</v>
      </c>
      <c r="X453" t="str">
        <f t="shared" si="36"/>
        <v>21-30 yrs</v>
      </c>
      <c r="Y453" t="str">
        <f t="shared" si="37"/>
        <v>Aug</v>
      </c>
      <c r="Z453">
        <f t="shared" si="38"/>
        <v>2025</v>
      </c>
      <c r="AA453">
        <f t="shared" si="39"/>
        <v>0</v>
      </c>
    </row>
    <row r="454" spans="1:27" ht="15" customHeight="1" x14ac:dyDescent="0.3">
      <c r="A454" t="s">
        <v>887</v>
      </c>
      <c r="B454" s="20">
        <v>45773</v>
      </c>
      <c r="C454" t="s">
        <v>503</v>
      </c>
      <c r="D454" t="s">
        <v>35</v>
      </c>
      <c r="E454" s="37">
        <v>54</v>
      </c>
      <c r="F454" t="s">
        <v>86</v>
      </c>
      <c r="G454" t="s">
        <v>87</v>
      </c>
      <c r="H454" t="s">
        <v>38</v>
      </c>
      <c r="I454" t="s">
        <v>82</v>
      </c>
      <c r="J454" t="s">
        <v>134</v>
      </c>
      <c r="K454" s="37">
        <v>13</v>
      </c>
      <c r="L454" t="s">
        <v>52</v>
      </c>
      <c r="M454" s="21">
        <v>67500</v>
      </c>
      <c r="N454" s="21">
        <v>907200</v>
      </c>
      <c r="O454" s="21">
        <v>97200</v>
      </c>
      <c r="P454" s="37">
        <v>5</v>
      </c>
      <c r="Q454" t="s">
        <v>42</v>
      </c>
      <c r="R454" s="37">
        <v>6</v>
      </c>
      <c r="S454" s="37">
        <v>15</v>
      </c>
      <c r="T454" t="s">
        <v>146</v>
      </c>
      <c r="U454" t="s">
        <v>54</v>
      </c>
      <c r="V454" t="s">
        <v>45</v>
      </c>
      <c r="W454" t="str">
        <f t="shared" si="35"/>
        <v>51-58</v>
      </c>
      <c r="X454" t="str">
        <f t="shared" si="36"/>
        <v>11-20 yrs</v>
      </c>
      <c r="Y454" t="str">
        <f t="shared" si="37"/>
        <v>Apr</v>
      </c>
      <c r="Z454">
        <f t="shared" si="38"/>
        <v>2025</v>
      </c>
      <c r="AA454">
        <f t="shared" si="39"/>
        <v>0</v>
      </c>
    </row>
    <row r="455" spans="1:27" ht="15" customHeight="1" x14ac:dyDescent="0.3">
      <c r="A455" t="s">
        <v>888</v>
      </c>
      <c r="B455" s="20">
        <v>45863</v>
      </c>
      <c r="C455" t="s">
        <v>653</v>
      </c>
      <c r="D455" t="s">
        <v>48</v>
      </c>
      <c r="E455" s="37">
        <v>42</v>
      </c>
      <c r="F455" t="s">
        <v>49</v>
      </c>
      <c r="G455" t="s">
        <v>50</v>
      </c>
      <c r="H455" t="s">
        <v>118</v>
      </c>
      <c r="I455" t="s">
        <v>75</v>
      </c>
      <c r="J455" t="s">
        <v>119</v>
      </c>
      <c r="K455" s="37">
        <v>6</v>
      </c>
      <c r="L455" t="s">
        <v>52</v>
      </c>
      <c r="M455" s="21">
        <v>79600</v>
      </c>
      <c r="N455" s="21">
        <v>1031616</v>
      </c>
      <c r="O455" s="21">
        <v>76416</v>
      </c>
      <c r="P455" s="37">
        <v>4</v>
      </c>
      <c r="Q455" t="s">
        <v>42</v>
      </c>
      <c r="R455" s="37">
        <v>14</v>
      </c>
      <c r="S455" s="37">
        <v>21</v>
      </c>
      <c r="T455" t="s">
        <v>43</v>
      </c>
      <c r="U455" t="s">
        <v>44</v>
      </c>
      <c r="V455" t="s">
        <v>69</v>
      </c>
      <c r="W455" t="str">
        <f t="shared" si="35"/>
        <v>41-50</v>
      </c>
      <c r="X455" t="str">
        <f t="shared" si="36"/>
        <v>6-10 yrs</v>
      </c>
      <c r="Y455" t="str">
        <f t="shared" si="37"/>
        <v>Jul</v>
      </c>
      <c r="Z455">
        <f t="shared" si="38"/>
        <v>2025</v>
      </c>
      <c r="AA455">
        <f t="shared" si="39"/>
        <v>0</v>
      </c>
    </row>
    <row r="456" spans="1:27" ht="15" customHeight="1" x14ac:dyDescent="0.3">
      <c r="A456" t="s">
        <v>889</v>
      </c>
      <c r="B456" s="20">
        <v>45946</v>
      </c>
      <c r="C456" t="s">
        <v>890</v>
      </c>
      <c r="D456" t="s">
        <v>35</v>
      </c>
      <c r="E456" s="37">
        <v>43</v>
      </c>
      <c r="F456" t="s">
        <v>86</v>
      </c>
      <c r="G456" t="s">
        <v>87</v>
      </c>
      <c r="H456" t="s">
        <v>38</v>
      </c>
      <c r="I456" t="s">
        <v>82</v>
      </c>
      <c r="J456" t="s">
        <v>134</v>
      </c>
      <c r="K456" s="37">
        <v>12</v>
      </c>
      <c r="L456" t="s">
        <v>52</v>
      </c>
      <c r="M456" s="21">
        <v>61800</v>
      </c>
      <c r="N456" s="21">
        <v>815760</v>
      </c>
      <c r="O456" s="21">
        <v>74160</v>
      </c>
      <c r="P456" s="37">
        <v>4</v>
      </c>
      <c r="Q456" t="s">
        <v>126</v>
      </c>
      <c r="R456" s="37">
        <v>2</v>
      </c>
      <c r="S456" s="37">
        <v>22</v>
      </c>
      <c r="T456" t="s">
        <v>62</v>
      </c>
      <c r="U456" t="s">
        <v>44</v>
      </c>
      <c r="V456" t="s">
        <v>69</v>
      </c>
      <c r="W456" t="str">
        <f t="shared" si="35"/>
        <v>41-50</v>
      </c>
      <c r="X456" t="str">
        <f t="shared" si="36"/>
        <v>11-20 yrs</v>
      </c>
      <c r="Y456" t="str">
        <f t="shared" si="37"/>
        <v>Oct</v>
      </c>
      <c r="Z456">
        <f t="shared" si="38"/>
        <v>2025</v>
      </c>
      <c r="AA456">
        <f t="shared" si="39"/>
        <v>1</v>
      </c>
    </row>
    <row r="457" spans="1:27" ht="15" customHeight="1" x14ac:dyDescent="0.3">
      <c r="A457" t="s">
        <v>891</v>
      </c>
      <c r="B457" s="20">
        <v>45968</v>
      </c>
      <c r="C457" t="s">
        <v>309</v>
      </c>
      <c r="D457" t="s">
        <v>35</v>
      </c>
      <c r="E457" s="37">
        <v>29</v>
      </c>
      <c r="F457" t="s">
        <v>36</v>
      </c>
      <c r="G457" t="s">
        <v>37</v>
      </c>
      <c r="H457" t="s">
        <v>38</v>
      </c>
      <c r="I457" t="s">
        <v>39</v>
      </c>
      <c r="J457" t="s">
        <v>134</v>
      </c>
      <c r="K457" s="37">
        <v>11</v>
      </c>
      <c r="L457" t="s">
        <v>52</v>
      </c>
      <c r="M457" s="21">
        <v>41100</v>
      </c>
      <c r="N457" s="21">
        <v>517860</v>
      </c>
      <c r="O457" s="21">
        <v>24660</v>
      </c>
      <c r="P457" s="37">
        <v>4</v>
      </c>
      <c r="Q457" t="s">
        <v>42</v>
      </c>
      <c r="R457" s="37">
        <v>15</v>
      </c>
      <c r="S457" s="37">
        <v>40</v>
      </c>
      <c r="T457" t="s">
        <v>94</v>
      </c>
      <c r="U457" t="s">
        <v>44</v>
      </c>
      <c r="V457" t="s">
        <v>45</v>
      </c>
      <c r="W457" t="str">
        <f t="shared" si="35"/>
        <v>22-30</v>
      </c>
      <c r="X457" t="str">
        <f t="shared" si="36"/>
        <v>11-20 yrs</v>
      </c>
      <c r="Y457" t="str">
        <f t="shared" si="37"/>
        <v>Nov</v>
      </c>
      <c r="Z457">
        <f t="shared" si="38"/>
        <v>2025</v>
      </c>
      <c r="AA457">
        <f t="shared" si="39"/>
        <v>0</v>
      </c>
    </row>
    <row r="458" spans="1:27" ht="15" customHeight="1" x14ac:dyDescent="0.3">
      <c r="A458" t="s">
        <v>892</v>
      </c>
      <c r="B458" s="20">
        <v>45787</v>
      </c>
      <c r="C458" t="s">
        <v>743</v>
      </c>
      <c r="D458" t="s">
        <v>35</v>
      </c>
      <c r="E458" s="37">
        <v>31</v>
      </c>
      <c r="F458" t="s">
        <v>80</v>
      </c>
      <c r="G458" t="s">
        <v>81</v>
      </c>
      <c r="H458" t="s">
        <v>38</v>
      </c>
      <c r="I458" t="s">
        <v>39</v>
      </c>
      <c r="J458" t="s">
        <v>190</v>
      </c>
      <c r="K458" s="37">
        <v>0</v>
      </c>
      <c r="L458" t="s">
        <v>52</v>
      </c>
      <c r="M458" s="21">
        <v>32900</v>
      </c>
      <c r="N458" s="21">
        <v>414540</v>
      </c>
      <c r="O458" s="21">
        <v>19740</v>
      </c>
      <c r="P458" s="37">
        <v>4</v>
      </c>
      <c r="Q458" t="s">
        <v>42</v>
      </c>
      <c r="R458" s="37">
        <v>18</v>
      </c>
      <c r="S458" s="37">
        <v>10</v>
      </c>
      <c r="T458" t="s">
        <v>129</v>
      </c>
      <c r="U458" t="s">
        <v>63</v>
      </c>
      <c r="V458" t="s">
        <v>45</v>
      </c>
      <c r="W458" t="str">
        <f t="shared" si="35"/>
        <v>31-40</v>
      </c>
      <c r="X458" t="str">
        <f t="shared" si="36"/>
        <v>0-5 yrs</v>
      </c>
      <c r="Y458" t="str">
        <f t="shared" si="37"/>
        <v>May</v>
      </c>
      <c r="Z458">
        <f t="shared" si="38"/>
        <v>2025</v>
      </c>
      <c r="AA458">
        <f t="shared" si="39"/>
        <v>0</v>
      </c>
    </row>
    <row r="459" spans="1:27" ht="15" customHeight="1" x14ac:dyDescent="0.3">
      <c r="A459" t="s">
        <v>893</v>
      </c>
      <c r="B459" s="20">
        <v>45719</v>
      </c>
      <c r="C459" t="s">
        <v>411</v>
      </c>
      <c r="D459" t="s">
        <v>35</v>
      </c>
      <c r="E459" s="37">
        <v>58</v>
      </c>
      <c r="F459" t="s">
        <v>49</v>
      </c>
      <c r="G459" t="s">
        <v>50</v>
      </c>
      <c r="H459" t="s">
        <v>59</v>
      </c>
      <c r="I459" t="s">
        <v>75</v>
      </c>
      <c r="J459" t="s">
        <v>141</v>
      </c>
      <c r="K459" s="37">
        <v>17</v>
      </c>
      <c r="L459" t="s">
        <v>41</v>
      </c>
      <c r="M459" s="21">
        <v>91100</v>
      </c>
      <c r="N459" s="21">
        <v>1191588</v>
      </c>
      <c r="O459" s="21">
        <v>98388</v>
      </c>
      <c r="P459" s="37">
        <v>4</v>
      </c>
      <c r="Q459" t="s">
        <v>42</v>
      </c>
      <c r="R459" s="37">
        <v>11</v>
      </c>
      <c r="S459" s="37">
        <v>0</v>
      </c>
      <c r="T459" t="s">
        <v>43</v>
      </c>
      <c r="U459" t="s">
        <v>44</v>
      </c>
      <c r="V459" t="s">
        <v>69</v>
      </c>
      <c r="W459" t="str">
        <f t="shared" si="35"/>
        <v>51-58</v>
      </c>
      <c r="X459" t="str">
        <f t="shared" si="36"/>
        <v>11-20 yrs</v>
      </c>
      <c r="Y459" t="str">
        <f t="shared" si="37"/>
        <v>Mar</v>
      </c>
      <c r="Z459">
        <f t="shared" si="38"/>
        <v>2025</v>
      </c>
      <c r="AA459">
        <f t="shared" si="39"/>
        <v>0</v>
      </c>
    </row>
    <row r="460" spans="1:27" ht="15" customHeight="1" x14ac:dyDescent="0.3">
      <c r="A460" t="s">
        <v>894</v>
      </c>
      <c r="B460" s="20">
        <v>46012</v>
      </c>
      <c r="C460" t="s">
        <v>895</v>
      </c>
      <c r="D460" t="s">
        <v>48</v>
      </c>
      <c r="E460" s="37">
        <v>39</v>
      </c>
      <c r="F460" t="s">
        <v>80</v>
      </c>
      <c r="G460" t="s">
        <v>81</v>
      </c>
      <c r="H460" t="s">
        <v>66</v>
      </c>
      <c r="I460" t="s">
        <v>39</v>
      </c>
      <c r="J460" t="s">
        <v>161</v>
      </c>
      <c r="K460" s="37">
        <v>26</v>
      </c>
      <c r="L460" t="s">
        <v>52</v>
      </c>
      <c r="M460" s="21">
        <v>35100</v>
      </c>
      <c r="N460" s="21">
        <v>450684</v>
      </c>
      <c r="O460" s="21">
        <v>29484</v>
      </c>
      <c r="P460" s="37">
        <v>3</v>
      </c>
      <c r="Q460" t="s">
        <v>42</v>
      </c>
      <c r="R460" s="37">
        <v>8</v>
      </c>
      <c r="S460" s="37">
        <v>36</v>
      </c>
      <c r="T460" t="s">
        <v>146</v>
      </c>
      <c r="U460" t="s">
        <v>138</v>
      </c>
      <c r="V460" t="s">
        <v>69</v>
      </c>
      <c r="W460" t="str">
        <f t="shared" si="35"/>
        <v>31-40</v>
      </c>
      <c r="X460" t="str">
        <f t="shared" si="36"/>
        <v>21-30 yrs</v>
      </c>
      <c r="Y460" t="str">
        <f t="shared" si="37"/>
        <v>Dec</v>
      </c>
      <c r="Z460">
        <f t="shared" si="38"/>
        <v>2025</v>
      </c>
      <c r="AA460">
        <f t="shared" si="39"/>
        <v>0</v>
      </c>
    </row>
    <row r="461" spans="1:27" ht="15" customHeight="1" x14ac:dyDescent="0.3">
      <c r="A461" t="s">
        <v>896</v>
      </c>
      <c r="B461" s="20">
        <v>45820</v>
      </c>
      <c r="C461" t="s">
        <v>897</v>
      </c>
      <c r="D461" t="s">
        <v>48</v>
      </c>
      <c r="E461" s="37">
        <v>27</v>
      </c>
      <c r="F461" t="s">
        <v>36</v>
      </c>
      <c r="G461" t="s">
        <v>37</v>
      </c>
      <c r="H461" t="s">
        <v>74</v>
      </c>
      <c r="I461" t="s">
        <v>82</v>
      </c>
      <c r="J461" t="s">
        <v>367</v>
      </c>
      <c r="K461" s="37">
        <v>28</v>
      </c>
      <c r="L461" t="s">
        <v>52</v>
      </c>
      <c r="M461" s="21">
        <v>72800</v>
      </c>
      <c r="N461" s="21">
        <v>978432</v>
      </c>
      <c r="O461" s="21">
        <v>104832</v>
      </c>
      <c r="P461" s="37">
        <v>4</v>
      </c>
      <c r="Q461" t="s">
        <v>42</v>
      </c>
      <c r="R461" s="37">
        <v>10</v>
      </c>
      <c r="S461" s="37">
        <v>26</v>
      </c>
      <c r="T461" t="s">
        <v>94</v>
      </c>
      <c r="U461" t="s">
        <v>44</v>
      </c>
      <c r="V461" t="s">
        <v>45</v>
      </c>
      <c r="W461" t="str">
        <f t="shared" si="35"/>
        <v>22-30</v>
      </c>
      <c r="X461" t="str">
        <f t="shared" si="36"/>
        <v>21-30 yrs</v>
      </c>
      <c r="Y461" t="str">
        <f t="shared" si="37"/>
        <v>Jun</v>
      </c>
      <c r="Z461">
        <f t="shared" si="38"/>
        <v>2025</v>
      </c>
      <c r="AA461">
        <f t="shared" si="39"/>
        <v>0</v>
      </c>
    </row>
    <row r="462" spans="1:27" ht="15" customHeight="1" x14ac:dyDescent="0.3">
      <c r="A462" t="s">
        <v>898</v>
      </c>
      <c r="B462" s="20">
        <v>45997</v>
      </c>
      <c r="C462" t="s">
        <v>622</v>
      </c>
      <c r="D462" t="s">
        <v>48</v>
      </c>
      <c r="E462" s="37">
        <v>35</v>
      </c>
      <c r="F462" t="s">
        <v>123</v>
      </c>
      <c r="G462" t="s">
        <v>124</v>
      </c>
      <c r="H462" t="s">
        <v>118</v>
      </c>
      <c r="I462" t="s">
        <v>82</v>
      </c>
      <c r="J462" t="s">
        <v>137</v>
      </c>
      <c r="K462" s="37">
        <v>5</v>
      </c>
      <c r="L462" t="s">
        <v>52</v>
      </c>
      <c r="M462" s="21">
        <v>63000</v>
      </c>
      <c r="N462" s="21">
        <v>846720</v>
      </c>
      <c r="O462" s="21">
        <v>90720</v>
      </c>
      <c r="P462" s="37">
        <v>4</v>
      </c>
      <c r="Q462" t="s">
        <v>42</v>
      </c>
      <c r="R462" s="37">
        <v>15</v>
      </c>
      <c r="S462" s="37">
        <v>15</v>
      </c>
      <c r="T462" t="s">
        <v>43</v>
      </c>
      <c r="U462" t="s">
        <v>63</v>
      </c>
      <c r="V462" t="s">
        <v>45</v>
      </c>
      <c r="W462" t="str">
        <f t="shared" si="35"/>
        <v>31-40</v>
      </c>
      <c r="X462" t="str">
        <f t="shared" si="36"/>
        <v>0-5 yrs</v>
      </c>
      <c r="Y462" t="str">
        <f t="shared" si="37"/>
        <v>Dec</v>
      </c>
      <c r="Z462">
        <f t="shared" si="38"/>
        <v>2025</v>
      </c>
      <c r="AA462">
        <f t="shared" si="39"/>
        <v>0</v>
      </c>
    </row>
    <row r="463" spans="1:27" ht="15" customHeight="1" x14ac:dyDescent="0.3">
      <c r="A463" t="s">
        <v>899</v>
      </c>
      <c r="B463" s="20">
        <v>45739</v>
      </c>
      <c r="C463" t="s">
        <v>172</v>
      </c>
      <c r="D463" t="s">
        <v>48</v>
      </c>
      <c r="E463" s="37">
        <v>28</v>
      </c>
      <c r="F463" t="s">
        <v>97</v>
      </c>
      <c r="G463" t="s">
        <v>98</v>
      </c>
      <c r="H463" t="s">
        <v>38</v>
      </c>
      <c r="I463" t="s">
        <v>82</v>
      </c>
      <c r="J463" t="s">
        <v>99</v>
      </c>
      <c r="K463" s="37">
        <v>14</v>
      </c>
      <c r="L463" t="s">
        <v>52</v>
      </c>
      <c r="M463" s="21">
        <v>57000</v>
      </c>
      <c r="N463" s="21">
        <v>745560</v>
      </c>
      <c r="O463" s="21">
        <v>61560</v>
      </c>
      <c r="P463" s="37">
        <v>3</v>
      </c>
      <c r="Q463" t="s">
        <v>42</v>
      </c>
      <c r="R463" s="37">
        <v>6</v>
      </c>
      <c r="S463" s="37">
        <v>7</v>
      </c>
      <c r="T463" t="s">
        <v>105</v>
      </c>
      <c r="U463" t="s">
        <v>63</v>
      </c>
      <c r="V463" t="s">
        <v>69</v>
      </c>
      <c r="W463" t="str">
        <f t="shared" si="35"/>
        <v>22-30</v>
      </c>
      <c r="X463" t="str">
        <f t="shared" si="36"/>
        <v>11-20 yrs</v>
      </c>
      <c r="Y463" t="str">
        <f t="shared" si="37"/>
        <v>Mar</v>
      </c>
      <c r="Z463">
        <f t="shared" si="38"/>
        <v>2025</v>
      </c>
      <c r="AA463">
        <f t="shared" si="39"/>
        <v>0</v>
      </c>
    </row>
    <row r="464" spans="1:27" ht="15" customHeight="1" x14ac:dyDescent="0.3">
      <c r="A464" t="s">
        <v>900</v>
      </c>
      <c r="B464" s="20">
        <v>45944</v>
      </c>
      <c r="C464" t="s">
        <v>901</v>
      </c>
      <c r="D464" t="s">
        <v>48</v>
      </c>
      <c r="E464" s="37">
        <v>46</v>
      </c>
      <c r="F464" t="s">
        <v>80</v>
      </c>
      <c r="G464" t="s">
        <v>81</v>
      </c>
      <c r="H464" t="s">
        <v>118</v>
      </c>
      <c r="I464" t="s">
        <v>75</v>
      </c>
      <c r="J464" t="s">
        <v>182</v>
      </c>
      <c r="K464" s="37">
        <v>18</v>
      </c>
      <c r="L464" t="s">
        <v>52</v>
      </c>
      <c r="M464" s="21">
        <v>94000</v>
      </c>
      <c r="N464" s="21">
        <v>1308480</v>
      </c>
      <c r="O464" s="21">
        <v>180480</v>
      </c>
      <c r="P464" s="37">
        <v>4</v>
      </c>
      <c r="Q464" t="s">
        <v>42</v>
      </c>
      <c r="R464" s="37">
        <v>15</v>
      </c>
      <c r="S464" s="37">
        <v>4</v>
      </c>
      <c r="T464" t="s">
        <v>146</v>
      </c>
      <c r="U464" t="s">
        <v>44</v>
      </c>
      <c r="V464" t="s">
        <v>45</v>
      </c>
      <c r="W464" t="str">
        <f t="shared" si="35"/>
        <v>41-50</v>
      </c>
      <c r="X464" t="str">
        <f t="shared" si="36"/>
        <v>11-20 yrs</v>
      </c>
      <c r="Y464" t="str">
        <f t="shared" si="37"/>
        <v>Oct</v>
      </c>
      <c r="Z464">
        <f t="shared" si="38"/>
        <v>2025</v>
      </c>
      <c r="AA464">
        <f t="shared" si="39"/>
        <v>0</v>
      </c>
    </row>
    <row r="465" spans="1:27" ht="15" customHeight="1" x14ac:dyDescent="0.3">
      <c r="A465" t="s">
        <v>902</v>
      </c>
      <c r="B465" s="20">
        <v>46017</v>
      </c>
      <c r="C465" t="s">
        <v>823</v>
      </c>
      <c r="D465" t="s">
        <v>35</v>
      </c>
      <c r="E465" s="37">
        <v>28</v>
      </c>
      <c r="F465" t="s">
        <v>36</v>
      </c>
      <c r="G465" t="s">
        <v>37</v>
      </c>
      <c r="H465" t="s">
        <v>38</v>
      </c>
      <c r="I465" t="s">
        <v>82</v>
      </c>
      <c r="J465" t="s">
        <v>40</v>
      </c>
      <c r="K465" s="37">
        <v>0</v>
      </c>
      <c r="L465" t="s">
        <v>52</v>
      </c>
      <c r="M465" s="21">
        <v>68600</v>
      </c>
      <c r="N465" s="21">
        <v>963143</v>
      </c>
      <c r="O465" s="21">
        <v>139944</v>
      </c>
      <c r="P465" s="37">
        <v>4</v>
      </c>
      <c r="Q465" t="s">
        <v>42</v>
      </c>
      <c r="R465" s="37">
        <v>7</v>
      </c>
      <c r="S465" s="37">
        <v>15</v>
      </c>
      <c r="T465" t="s">
        <v>175</v>
      </c>
      <c r="U465" t="s">
        <v>44</v>
      </c>
      <c r="V465" t="s">
        <v>45</v>
      </c>
      <c r="W465" t="str">
        <f t="shared" si="35"/>
        <v>22-30</v>
      </c>
      <c r="X465" t="str">
        <f t="shared" si="36"/>
        <v>0-5 yrs</v>
      </c>
      <c r="Y465" t="str">
        <f t="shared" si="37"/>
        <v>Dec</v>
      </c>
      <c r="Z465">
        <f t="shared" si="38"/>
        <v>2025</v>
      </c>
      <c r="AA465">
        <f t="shared" si="39"/>
        <v>0</v>
      </c>
    </row>
    <row r="466" spans="1:27" ht="15" customHeight="1" x14ac:dyDescent="0.3">
      <c r="A466" t="s">
        <v>903</v>
      </c>
      <c r="B466" s="20">
        <v>45942</v>
      </c>
      <c r="C466" t="s">
        <v>478</v>
      </c>
      <c r="D466" t="s">
        <v>35</v>
      </c>
      <c r="E466" s="37">
        <v>26</v>
      </c>
      <c r="F466" t="s">
        <v>108</v>
      </c>
      <c r="G466" t="s">
        <v>109</v>
      </c>
      <c r="H466" t="s">
        <v>38</v>
      </c>
      <c r="I466" t="s">
        <v>75</v>
      </c>
      <c r="J466" t="s">
        <v>190</v>
      </c>
      <c r="K466" s="37">
        <v>7</v>
      </c>
      <c r="L466" t="s">
        <v>52</v>
      </c>
      <c r="M466" s="21">
        <v>89100</v>
      </c>
      <c r="N466" s="21">
        <v>1186812</v>
      </c>
      <c r="O466" s="21">
        <v>117612</v>
      </c>
      <c r="P466" s="37">
        <v>3</v>
      </c>
      <c r="Q466" t="s">
        <v>42</v>
      </c>
      <c r="R466" s="37">
        <v>19</v>
      </c>
      <c r="S466" s="37">
        <v>14</v>
      </c>
      <c r="T466" t="s">
        <v>146</v>
      </c>
      <c r="U466" t="s">
        <v>44</v>
      </c>
      <c r="V466" t="s">
        <v>45</v>
      </c>
      <c r="W466" t="str">
        <f t="shared" si="35"/>
        <v>22-30</v>
      </c>
      <c r="X466" t="str">
        <f t="shared" si="36"/>
        <v>6-10 yrs</v>
      </c>
      <c r="Y466" t="str">
        <f t="shared" si="37"/>
        <v>Oct</v>
      </c>
      <c r="Z466">
        <f t="shared" si="38"/>
        <v>2025</v>
      </c>
      <c r="AA466">
        <f t="shared" si="39"/>
        <v>0</v>
      </c>
    </row>
    <row r="467" spans="1:27" ht="15" customHeight="1" x14ac:dyDescent="0.3">
      <c r="A467" t="s">
        <v>904</v>
      </c>
      <c r="B467" s="20">
        <v>45886</v>
      </c>
      <c r="C467" t="s">
        <v>620</v>
      </c>
      <c r="D467" t="s">
        <v>48</v>
      </c>
      <c r="E467" s="37">
        <v>29</v>
      </c>
      <c r="F467" t="s">
        <v>108</v>
      </c>
      <c r="G467" t="s">
        <v>109</v>
      </c>
      <c r="H467" t="s">
        <v>74</v>
      </c>
      <c r="I467" t="s">
        <v>75</v>
      </c>
      <c r="J467" t="s">
        <v>152</v>
      </c>
      <c r="K467" s="37">
        <v>30</v>
      </c>
      <c r="L467" t="s">
        <v>52</v>
      </c>
      <c r="M467" s="21">
        <v>111700</v>
      </c>
      <c r="N467" s="21">
        <v>1595076</v>
      </c>
      <c r="O467" s="21">
        <v>254676</v>
      </c>
      <c r="P467" s="37">
        <v>4</v>
      </c>
      <c r="Q467" t="s">
        <v>42</v>
      </c>
      <c r="R467" s="37">
        <v>0</v>
      </c>
      <c r="S467" s="37">
        <v>15</v>
      </c>
      <c r="T467" t="s">
        <v>77</v>
      </c>
      <c r="U467" t="s">
        <v>63</v>
      </c>
      <c r="V467" t="s">
        <v>45</v>
      </c>
      <c r="W467" t="str">
        <f t="shared" si="35"/>
        <v>22-30</v>
      </c>
      <c r="X467" t="str">
        <f t="shared" si="36"/>
        <v>21-30 yrs</v>
      </c>
      <c r="Y467" t="str">
        <f t="shared" si="37"/>
        <v>Aug</v>
      </c>
      <c r="Z467">
        <f t="shared" si="38"/>
        <v>2025</v>
      </c>
      <c r="AA467">
        <f t="shared" si="39"/>
        <v>0</v>
      </c>
    </row>
    <row r="468" spans="1:27" ht="15" customHeight="1" x14ac:dyDescent="0.3">
      <c r="A468" t="s">
        <v>905</v>
      </c>
      <c r="B468" s="20">
        <v>45884</v>
      </c>
      <c r="C468" t="s">
        <v>906</v>
      </c>
      <c r="D468" t="s">
        <v>35</v>
      </c>
      <c r="E468" s="37">
        <v>48</v>
      </c>
      <c r="F468" t="s">
        <v>80</v>
      </c>
      <c r="G468" t="s">
        <v>81</v>
      </c>
      <c r="H468" t="s">
        <v>38</v>
      </c>
      <c r="I468" t="s">
        <v>39</v>
      </c>
      <c r="J468" t="s">
        <v>134</v>
      </c>
      <c r="K468" s="37">
        <v>15</v>
      </c>
      <c r="L468" t="s">
        <v>52</v>
      </c>
      <c r="M468" s="21">
        <v>32100</v>
      </c>
      <c r="N468" s="21">
        <v>454536</v>
      </c>
      <c r="O468" s="21">
        <v>69336</v>
      </c>
      <c r="P468" s="37">
        <v>4</v>
      </c>
      <c r="Q468" t="s">
        <v>126</v>
      </c>
      <c r="R468" s="37">
        <v>0</v>
      </c>
      <c r="S468" s="37">
        <v>38</v>
      </c>
      <c r="T468" t="s">
        <v>43</v>
      </c>
      <c r="U468" t="s">
        <v>63</v>
      </c>
      <c r="V468" t="s">
        <v>69</v>
      </c>
      <c r="W468" t="str">
        <f t="shared" si="35"/>
        <v>41-50</v>
      </c>
      <c r="X468" t="str">
        <f t="shared" si="36"/>
        <v>11-20 yrs</v>
      </c>
      <c r="Y468" t="str">
        <f t="shared" si="37"/>
        <v>Aug</v>
      </c>
      <c r="Z468">
        <f t="shared" si="38"/>
        <v>2025</v>
      </c>
      <c r="AA468">
        <f t="shared" si="39"/>
        <v>1</v>
      </c>
    </row>
    <row r="469" spans="1:27" ht="15" customHeight="1" x14ac:dyDescent="0.3">
      <c r="A469" t="s">
        <v>907</v>
      </c>
      <c r="B469" s="20">
        <v>45666</v>
      </c>
      <c r="C469" t="s">
        <v>128</v>
      </c>
      <c r="D469" t="s">
        <v>35</v>
      </c>
      <c r="E469" s="37">
        <v>28</v>
      </c>
      <c r="F469" t="s">
        <v>72</v>
      </c>
      <c r="G469" t="s">
        <v>73</v>
      </c>
      <c r="H469" t="s">
        <v>66</v>
      </c>
      <c r="I469" t="s">
        <v>39</v>
      </c>
      <c r="J469" t="s">
        <v>149</v>
      </c>
      <c r="K469" s="37">
        <v>3</v>
      </c>
      <c r="L469" t="s">
        <v>52</v>
      </c>
      <c r="M469" s="21">
        <v>36300</v>
      </c>
      <c r="N469" s="21">
        <v>487872</v>
      </c>
      <c r="O469" s="21">
        <v>52272</v>
      </c>
      <c r="P469" s="37">
        <v>5</v>
      </c>
      <c r="Q469" t="s">
        <v>42</v>
      </c>
      <c r="R469" s="37">
        <v>19</v>
      </c>
      <c r="S469" s="37">
        <v>33</v>
      </c>
      <c r="T469" t="s">
        <v>53</v>
      </c>
      <c r="U469" t="s">
        <v>44</v>
      </c>
      <c r="V469" t="s">
        <v>69</v>
      </c>
      <c r="W469" t="str">
        <f t="shared" si="35"/>
        <v>22-30</v>
      </c>
      <c r="X469" t="str">
        <f t="shared" si="36"/>
        <v>0-5 yrs</v>
      </c>
      <c r="Y469" t="str">
        <f t="shared" si="37"/>
        <v>Jan</v>
      </c>
      <c r="Z469">
        <f t="shared" si="38"/>
        <v>2025</v>
      </c>
      <c r="AA469">
        <f t="shared" si="39"/>
        <v>0</v>
      </c>
    </row>
    <row r="470" spans="1:27" ht="15" customHeight="1" x14ac:dyDescent="0.3">
      <c r="A470" t="s">
        <v>908</v>
      </c>
      <c r="B470" s="20">
        <v>46007</v>
      </c>
      <c r="C470" t="s">
        <v>909</v>
      </c>
      <c r="D470" t="s">
        <v>48</v>
      </c>
      <c r="E470" s="37">
        <v>52</v>
      </c>
      <c r="F470" t="s">
        <v>97</v>
      </c>
      <c r="G470" t="s">
        <v>98</v>
      </c>
      <c r="H470" t="s">
        <v>118</v>
      </c>
      <c r="I470" t="s">
        <v>75</v>
      </c>
      <c r="J470" t="s">
        <v>182</v>
      </c>
      <c r="K470" s="37">
        <v>26</v>
      </c>
      <c r="L470" t="s">
        <v>52</v>
      </c>
      <c r="M470" s="21">
        <v>72300</v>
      </c>
      <c r="N470" s="21">
        <v>954360</v>
      </c>
      <c r="O470" s="21">
        <v>86760</v>
      </c>
      <c r="P470" s="37">
        <v>5</v>
      </c>
      <c r="Q470" t="s">
        <v>42</v>
      </c>
      <c r="R470" s="37">
        <v>18</v>
      </c>
      <c r="S470" s="37">
        <v>10</v>
      </c>
      <c r="T470" t="s">
        <v>77</v>
      </c>
      <c r="U470" t="s">
        <v>54</v>
      </c>
      <c r="V470" t="s">
        <v>69</v>
      </c>
      <c r="W470" t="str">
        <f t="shared" si="35"/>
        <v>51-58</v>
      </c>
      <c r="X470" t="str">
        <f t="shared" si="36"/>
        <v>21-30 yrs</v>
      </c>
      <c r="Y470" t="str">
        <f t="shared" si="37"/>
        <v>Dec</v>
      </c>
      <c r="Z470">
        <f t="shared" si="38"/>
        <v>2025</v>
      </c>
      <c r="AA470">
        <f t="shared" si="39"/>
        <v>0</v>
      </c>
    </row>
    <row r="471" spans="1:27" ht="15" customHeight="1" x14ac:dyDescent="0.3">
      <c r="A471" t="s">
        <v>910</v>
      </c>
      <c r="B471" s="20">
        <v>45668</v>
      </c>
      <c r="C471" t="s">
        <v>360</v>
      </c>
      <c r="D471" t="s">
        <v>35</v>
      </c>
      <c r="E471" s="37">
        <v>41</v>
      </c>
      <c r="F471" t="s">
        <v>36</v>
      </c>
      <c r="G471" t="s">
        <v>37</v>
      </c>
      <c r="H471" t="s">
        <v>38</v>
      </c>
      <c r="I471" t="s">
        <v>82</v>
      </c>
      <c r="J471" t="s">
        <v>190</v>
      </c>
      <c r="K471" s="37">
        <v>4</v>
      </c>
      <c r="L471" t="s">
        <v>52</v>
      </c>
      <c r="M471" s="21">
        <v>58500</v>
      </c>
      <c r="N471" s="21">
        <v>737100</v>
      </c>
      <c r="O471" s="21">
        <v>35100</v>
      </c>
      <c r="P471" s="37">
        <v>3</v>
      </c>
      <c r="Q471" t="s">
        <v>42</v>
      </c>
      <c r="R471" s="37">
        <v>20</v>
      </c>
      <c r="S471" s="37">
        <v>39</v>
      </c>
      <c r="T471" t="s">
        <v>175</v>
      </c>
      <c r="U471" t="s">
        <v>54</v>
      </c>
      <c r="V471" t="s">
        <v>69</v>
      </c>
      <c r="W471" t="str">
        <f t="shared" si="35"/>
        <v>41-50</v>
      </c>
      <c r="X471" t="str">
        <f t="shared" si="36"/>
        <v>0-5 yrs</v>
      </c>
      <c r="Y471" t="str">
        <f t="shared" si="37"/>
        <v>Jan</v>
      </c>
      <c r="Z471">
        <f t="shared" si="38"/>
        <v>2025</v>
      </c>
      <c r="AA471">
        <f t="shared" si="39"/>
        <v>0</v>
      </c>
    </row>
    <row r="472" spans="1:27" ht="15" customHeight="1" x14ac:dyDescent="0.3">
      <c r="A472" t="s">
        <v>911</v>
      </c>
      <c r="B472" s="20">
        <v>45978</v>
      </c>
      <c r="C472" t="s">
        <v>912</v>
      </c>
      <c r="D472" t="s">
        <v>48</v>
      </c>
      <c r="E472" s="37">
        <v>49</v>
      </c>
      <c r="F472" t="s">
        <v>123</v>
      </c>
      <c r="G472" t="s">
        <v>124</v>
      </c>
      <c r="H472" t="s">
        <v>118</v>
      </c>
      <c r="I472" t="s">
        <v>75</v>
      </c>
      <c r="J472" t="s">
        <v>250</v>
      </c>
      <c r="K472" s="37">
        <v>23</v>
      </c>
      <c r="L472" t="s">
        <v>52</v>
      </c>
      <c r="M472" s="21">
        <v>72700</v>
      </c>
      <c r="N472" s="21">
        <v>1029432</v>
      </c>
      <c r="O472" s="21">
        <v>157032</v>
      </c>
      <c r="P472" s="37">
        <v>4</v>
      </c>
      <c r="Q472" t="s">
        <v>42</v>
      </c>
      <c r="R472" s="37">
        <v>15</v>
      </c>
      <c r="S472" s="37">
        <v>14</v>
      </c>
      <c r="T472" t="s">
        <v>94</v>
      </c>
      <c r="U472" t="s">
        <v>44</v>
      </c>
      <c r="V472" t="s">
        <v>69</v>
      </c>
      <c r="W472" t="str">
        <f t="shared" si="35"/>
        <v>41-50</v>
      </c>
      <c r="X472" t="str">
        <f t="shared" si="36"/>
        <v>21-30 yrs</v>
      </c>
      <c r="Y472" t="str">
        <f t="shared" si="37"/>
        <v>Nov</v>
      </c>
      <c r="Z472">
        <f t="shared" si="38"/>
        <v>2025</v>
      </c>
      <c r="AA472">
        <f t="shared" si="39"/>
        <v>0</v>
      </c>
    </row>
    <row r="473" spans="1:27" ht="15" customHeight="1" x14ac:dyDescent="0.3">
      <c r="A473" t="s">
        <v>913</v>
      </c>
      <c r="B473" s="20">
        <v>46007</v>
      </c>
      <c r="C473" t="s">
        <v>914</v>
      </c>
      <c r="D473" t="s">
        <v>35</v>
      </c>
      <c r="E473" s="37">
        <v>37</v>
      </c>
      <c r="F473" t="s">
        <v>49</v>
      </c>
      <c r="G473" t="s">
        <v>50</v>
      </c>
      <c r="H473" t="s">
        <v>59</v>
      </c>
      <c r="I473" t="s">
        <v>75</v>
      </c>
      <c r="J473" t="s">
        <v>88</v>
      </c>
      <c r="K473" s="37">
        <v>8</v>
      </c>
      <c r="L473" t="s">
        <v>52</v>
      </c>
      <c r="M473" s="21">
        <v>94500</v>
      </c>
      <c r="N473" s="21">
        <v>1304100</v>
      </c>
      <c r="O473" s="21">
        <v>170100</v>
      </c>
      <c r="P473" s="37">
        <v>5</v>
      </c>
      <c r="Q473" t="s">
        <v>42</v>
      </c>
      <c r="R473" s="37">
        <v>6</v>
      </c>
      <c r="S473" s="37">
        <v>3</v>
      </c>
      <c r="T473" t="s">
        <v>146</v>
      </c>
      <c r="U473" t="s">
        <v>44</v>
      </c>
      <c r="V473" t="s">
        <v>69</v>
      </c>
      <c r="W473" t="str">
        <f t="shared" si="35"/>
        <v>31-40</v>
      </c>
      <c r="X473" t="str">
        <f t="shared" si="36"/>
        <v>6-10 yrs</v>
      </c>
      <c r="Y473" t="str">
        <f t="shared" si="37"/>
        <v>Dec</v>
      </c>
      <c r="Z473">
        <f t="shared" si="38"/>
        <v>2025</v>
      </c>
      <c r="AA473">
        <f t="shared" si="39"/>
        <v>0</v>
      </c>
    </row>
    <row r="474" spans="1:27" ht="15" customHeight="1" x14ac:dyDescent="0.3">
      <c r="A474" t="s">
        <v>915</v>
      </c>
      <c r="B474" s="20">
        <v>45792</v>
      </c>
      <c r="C474" t="s">
        <v>235</v>
      </c>
      <c r="D474" t="s">
        <v>35</v>
      </c>
      <c r="E474" s="37">
        <v>24</v>
      </c>
      <c r="F474" t="s">
        <v>86</v>
      </c>
      <c r="G474" t="s">
        <v>87</v>
      </c>
      <c r="H474" t="s">
        <v>38</v>
      </c>
      <c r="I474" t="s">
        <v>75</v>
      </c>
      <c r="J474" t="s">
        <v>134</v>
      </c>
      <c r="K474" s="37">
        <v>11</v>
      </c>
      <c r="L474" t="s">
        <v>52</v>
      </c>
      <c r="M474" s="21">
        <v>74300</v>
      </c>
      <c r="N474" s="21">
        <v>971844</v>
      </c>
      <c r="O474" s="21">
        <v>80244</v>
      </c>
      <c r="P474" s="37">
        <v>4</v>
      </c>
      <c r="Q474" t="s">
        <v>42</v>
      </c>
      <c r="R474" s="37">
        <v>16</v>
      </c>
      <c r="S474" s="37">
        <v>16</v>
      </c>
      <c r="T474" t="s">
        <v>94</v>
      </c>
      <c r="U474" t="s">
        <v>54</v>
      </c>
      <c r="V474" t="s">
        <v>45</v>
      </c>
      <c r="W474" t="str">
        <f t="shared" si="35"/>
        <v>22-30</v>
      </c>
      <c r="X474" t="str">
        <f t="shared" si="36"/>
        <v>11-20 yrs</v>
      </c>
      <c r="Y474" t="str">
        <f t="shared" si="37"/>
        <v>May</v>
      </c>
      <c r="Z474">
        <f t="shared" si="38"/>
        <v>2025</v>
      </c>
      <c r="AA474">
        <f t="shared" si="39"/>
        <v>0</v>
      </c>
    </row>
    <row r="475" spans="1:27" ht="15" customHeight="1" x14ac:dyDescent="0.3">
      <c r="A475" t="s">
        <v>916</v>
      </c>
      <c r="B475" s="20">
        <v>45924</v>
      </c>
      <c r="C475" t="s">
        <v>917</v>
      </c>
      <c r="D475" t="s">
        <v>48</v>
      </c>
      <c r="E475" s="37">
        <v>25</v>
      </c>
      <c r="F475" t="s">
        <v>72</v>
      </c>
      <c r="G475" t="s">
        <v>73</v>
      </c>
      <c r="H475" t="s">
        <v>118</v>
      </c>
      <c r="I475" t="s">
        <v>75</v>
      </c>
      <c r="J475" t="s">
        <v>182</v>
      </c>
      <c r="K475" s="37">
        <v>10</v>
      </c>
      <c r="L475" t="s">
        <v>52</v>
      </c>
      <c r="M475" s="21">
        <v>79800</v>
      </c>
      <c r="N475" s="21">
        <v>1082088</v>
      </c>
      <c r="O475" s="21">
        <v>124488</v>
      </c>
      <c r="P475" s="37">
        <v>4</v>
      </c>
      <c r="Q475" t="s">
        <v>42</v>
      </c>
      <c r="R475" s="37">
        <v>9</v>
      </c>
      <c r="S475" s="37">
        <v>7</v>
      </c>
      <c r="T475" t="s">
        <v>175</v>
      </c>
      <c r="U475" t="s">
        <v>44</v>
      </c>
      <c r="V475" t="s">
        <v>45</v>
      </c>
      <c r="W475" t="str">
        <f t="shared" si="35"/>
        <v>22-30</v>
      </c>
      <c r="X475" t="str">
        <f t="shared" si="36"/>
        <v>6-10 yrs</v>
      </c>
      <c r="Y475" t="str">
        <f t="shared" si="37"/>
        <v>Sep</v>
      </c>
      <c r="Z475">
        <f t="shared" si="38"/>
        <v>2025</v>
      </c>
      <c r="AA475">
        <f t="shared" si="39"/>
        <v>0</v>
      </c>
    </row>
    <row r="476" spans="1:27" ht="15" customHeight="1" x14ac:dyDescent="0.3">
      <c r="A476" t="s">
        <v>918</v>
      </c>
      <c r="B476" s="20">
        <v>45993</v>
      </c>
      <c r="C476" t="s">
        <v>425</v>
      </c>
      <c r="D476" t="s">
        <v>48</v>
      </c>
      <c r="E476" s="37">
        <v>44</v>
      </c>
      <c r="F476" t="s">
        <v>36</v>
      </c>
      <c r="G476" t="s">
        <v>37</v>
      </c>
      <c r="H476" t="s">
        <v>66</v>
      </c>
      <c r="I476" t="s">
        <v>82</v>
      </c>
      <c r="J476" t="s">
        <v>170</v>
      </c>
      <c r="K476" s="37">
        <v>29</v>
      </c>
      <c r="L476" t="s">
        <v>52</v>
      </c>
      <c r="M476" s="21">
        <v>78500</v>
      </c>
      <c r="N476" s="21">
        <v>1092720</v>
      </c>
      <c r="O476" s="21">
        <v>150720</v>
      </c>
      <c r="P476" s="37">
        <v>4</v>
      </c>
      <c r="Q476" t="s">
        <v>42</v>
      </c>
      <c r="R476" s="37">
        <v>0</v>
      </c>
      <c r="S476" s="37">
        <v>27</v>
      </c>
      <c r="T476" t="s">
        <v>175</v>
      </c>
      <c r="U476" t="s">
        <v>54</v>
      </c>
      <c r="V476" t="s">
        <v>45</v>
      </c>
      <c r="W476" t="str">
        <f t="shared" si="35"/>
        <v>41-50</v>
      </c>
      <c r="X476" t="str">
        <f t="shared" si="36"/>
        <v>21-30 yrs</v>
      </c>
      <c r="Y476" t="str">
        <f t="shared" si="37"/>
        <v>Dec</v>
      </c>
      <c r="Z476">
        <f t="shared" si="38"/>
        <v>2025</v>
      </c>
      <c r="AA476">
        <f t="shared" si="39"/>
        <v>0</v>
      </c>
    </row>
    <row r="477" spans="1:27" ht="15" customHeight="1" x14ac:dyDescent="0.3">
      <c r="A477" t="s">
        <v>919</v>
      </c>
      <c r="B477" s="20">
        <v>45781</v>
      </c>
      <c r="C477" t="s">
        <v>575</v>
      </c>
      <c r="D477" t="s">
        <v>48</v>
      </c>
      <c r="E477" s="37">
        <v>40</v>
      </c>
      <c r="F477" t="s">
        <v>97</v>
      </c>
      <c r="G477" t="s">
        <v>98</v>
      </c>
      <c r="H477" t="s">
        <v>59</v>
      </c>
      <c r="I477" t="s">
        <v>39</v>
      </c>
      <c r="J477" t="s">
        <v>104</v>
      </c>
      <c r="K477" s="37">
        <v>5</v>
      </c>
      <c r="L477" t="s">
        <v>52</v>
      </c>
      <c r="M477" s="21">
        <v>31000</v>
      </c>
      <c r="N477" s="21">
        <v>435240</v>
      </c>
      <c r="O477" s="21">
        <v>63240</v>
      </c>
      <c r="P477" s="37">
        <v>4</v>
      </c>
      <c r="Q477" t="s">
        <v>42</v>
      </c>
      <c r="R477" s="37">
        <v>14</v>
      </c>
      <c r="S477" s="37">
        <v>10</v>
      </c>
      <c r="T477" t="s">
        <v>129</v>
      </c>
      <c r="U477" t="s">
        <v>138</v>
      </c>
      <c r="V477" t="s">
        <v>69</v>
      </c>
      <c r="W477" t="str">
        <f t="shared" si="35"/>
        <v>31-40</v>
      </c>
      <c r="X477" t="str">
        <f t="shared" si="36"/>
        <v>0-5 yrs</v>
      </c>
      <c r="Y477" t="str">
        <f t="shared" si="37"/>
        <v>May</v>
      </c>
      <c r="Z477">
        <f t="shared" si="38"/>
        <v>2025</v>
      </c>
      <c r="AA477">
        <f t="shared" si="39"/>
        <v>0</v>
      </c>
    </row>
    <row r="478" spans="1:27" ht="15" customHeight="1" x14ac:dyDescent="0.3">
      <c r="A478" t="s">
        <v>920</v>
      </c>
      <c r="B478" s="20">
        <v>45827</v>
      </c>
      <c r="C478" t="s">
        <v>96</v>
      </c>
      <c r="D478" t="s">
        <v>35</v>
      </c>
      <c r="E478" s="37">
        <v>58</v>
      </c>
      <c r="F478" t="s">
        <v>57</v>
      </c>
      <c r="G478" t="s">
        <v>58</v>
      </c>
      <c r="H478" t="s">
        <v>59</v>
      </c>
      <c r="I478" t="s">
        <v>82</v>
      </c>
      <c r="J478" t="s">
        <v>88</v>
      </c>
      <c r="K478" s="37">
        <v>10</v>
      </c>
      <c r="L478" t="s">
        <v>52</v>
      </c>
      <c r="M478" s="21">
        <v>62400</v>
      </c>
      <c r="N478" s="21">
        <v>838656</v>
      </c>
      <c r="O478" s="21">
        <v>89856</v>
      </c>
      <c r="P478" s="37">
        <v>2</v>
      </c>
      <c r="Q478" t="s">
        <v>42</v>
      </c>
      <c r="R478" s="37">
        <v>3</v>
      </c>
      <c r="S478" s="37">
        <v>25</v>
      </c>
      <c r="T478" t="s">
        <v>129</v>
      </c>
      <c r="U478" t="s">
        <v>54</v>
      </c>
      <c r="V478" t="s">
        <v>69</v>
      </c>
      <c r="W478" t="str">
        <f t="shared" si="35"/>
        <v>51-58</v>
      </c>
      <c r="X478" t="str">
        <f t="shared" si="36"/>
        <v>6-10 yrs</v>
      </c>
      <c r="Y478" t="str">
        <f t="shared" si="37"/>
        <v>Jun</v>
      </c>
      <c r="Z478">
        <f t="shared" si="38"/>
        <v>2025</v>
      </c>
      <c r="AA478">
        <f t="shared" si="39"/>
        <v>0</v>
      </c>
    </row>
    <row r="479" spans="1:27" ht="15" customHeight="1" x14ac:dyDescent="0.3">
      <c r="A479" t="s">
        <v>921</v>
      </c>
      <c r="B479" s="20">
        <v>45721</v>
      </c>
      <c r="C479" t="s">
        <v>922</v>
      </c>
      <c r="D479" t="s">
        <v>35</v>
      </c>
      <c r="E479" s="37">
        <v>29</v>
      </c>
      <c r="F479" t="s">
        <v>49</v>
      </c>
      <c r="G479" t="s">
        <v>50</v>
      </c>
      <c r="H479" t="s">
        <v>38</v>
      </c>
      <c r="I479" t="s">
        <v>39</v>
      </c>
      <c r="J479" t="s">
        <v>134</v>
      </c>
      <c r="K479" s="37">
        <v>13</v>
      </c>
      <c r="L479" t="s">
        <v>52</v>
      </c>
      <c r="M479" s="21">
        <v>32800</v>
      </c>
      <c r="N479" s="21">
        <v>444767</v>
      </c>
      <c r="O479" s="21">
        <v>51168</v>
      </c>
      <c r="P479" s="37">
        <v>4</v>
      </c>
      <c r="Q479" t="s">
        <v>126</v>
      </c>
      <c r="R479" s="37">
        <v>15</v>
      </c>
      <c r="S479" s="37">
        <v>30</v>
      </c>
      <c r="T479" t="s">
        <v>129</v>
      </c>
      <c r="U479" t="s">
        <v>63</v>
      </c>
      <c r="V479" t="s">
        <v>69</v>
      </c>
      <c r="W479" t="str">
        <f t="shared" si="35"/>
        <v>22-30</v>
      </c>
      <c r="X479" t="str">
        <f t="shared" si="36"/>
        <v>11-20 yrs</v>
      </c>
      <c r="Y479" t="str">
        <f t="shared" si="37"/>
        <v>Mar</v>
      </c>
      <c r="Z479">
        <f t="shared" si="38"/>
        <v>2025</v>
      </c>
      <c r="AA479">
        <f t="shared" si="39"/>
        <v>1</v>
      </c>
    </row>
    <row r="480" spans="1:27" ht="15" customHeight="1" x14ac:dyDescent="0.3">
      <c r="A480" t="s">
        <v>923</v>
      </c>
      <c r="B480" s="20">
        <v>45850</v>
      </c>
      <c r="C480" t="s">
        <v>924</v>
      </c>
      <c r="D480" t="s">
        <v>48</v>
      </c>
      <c r="E480" s="37">
        <v>32</v>
      </c>
      <c r="F480" t="s">
        <v>108</v>
      </c>
      <c r="G480" t="s">
        <v>109</v>
      </c>
      <c r="H480" t="s">
        <v>66</v>
      </c>
      <c r="I480" t="s">
        <v>82</v>
      </c>
      <c r="J480" t="s">
        <v>149</v>
      </c>
      <c r="K480" s="37">
        <v>21</v>
      </c>
      <c r="L480" t="s">
        <v>52</v>
      </c>
      <c r="M480" s="21">
        <v>59400</v>
      </c>
      <c r="N480" s="21">
        <v>769824</v>
      </c>
      <c r="O480" s="21">
        <v>57024</v>
      </c>
      <c r="P480" s="37">
        <v>3</v>
      </c>
      <c r="Q480" t="s">
        <v>42</v>
      </c>
      <c r="R480" s="37">
        <v>11</v>
      </c>
      <c r="S480" s="37">
        <v>1</v>
      </c>
      <c r="T480" t="s">
        <v>129</v>
      </c>
      <c r="U480" t="s">
        <v>44</v>
      </c>
      <c r="V480" t="s">
        <v>69</v>
      </c>
      <c r="W480" t="str">
        <f t="shared" si="35"/>
        <v>31-40</v>
      </c>
      <c r="X480" t="str">
        <f t="shared" si="36"/>
        <v>21-30 yrs</v>
      </c>
      <c r="Y480" t="str">
        <f t="shared" si="37"/>
        <v>Jul</v>
      </c>
      <c r="Z480">
        <f t="shared" si="38"/>
        <v>2025</v>
      </c>
      <c r="AA480">
        <f t="shared" si="39"/>
        <v>0</v>
      </c>
    </row>
    <row r="481" spans="1:27" ht="15" customHeight="1" x14ac:dyDescent="0.3">
      <c r="A481" t="s">
        <v>925</v>
      </c>
      <c r="B481" s="20">
        <v>45780</v>
      </c>
      <c r="C481" t="s">
        <v>926</v>
      </c>
      <c r="D481" t="s">
        <v>48</v>
      </c>
      <c r="E481" s="37">
        <v>38</v>
      </c>
      <c r="F481" t="s">
        <v>91</v>
      </c>
      <c r="G481" t="s">
        <v>92</v>
      </c>
      <c r="H481" t="s">
        <v>74</v>
      </c>
      <c r="I481" t="s">
        <v>82</v>
      </c>
      <c r="J481" t="s">
        <v>152</v>
      </c>
      <c r="K481" s="37">
        <v>0</v>
      </c>
      <c r="L481" t="s">
        <v>52</v>
      </c>
      <c r="M481" s="21">
        <v>62400</v>
      </c>
      <c r="N481" s="21">
        <v>868607</v>
      </c>
      <c r="O481" s="21">
        <v>119808</v>
      </c>
      <c r="P481" s="37">
        <v>4</v>
      </c>
      <c r="Q481" t="s">
        <v>126</v>
      </c>
      <c r="R481" s="37">
        <v>7</v>
      </c>
      <c r="S481" s="37">
        <v>36</v>
      </c>
      <c r="T481" t="s">
        <v>62</v>
      </c>
      <c r="U481" t="s">
        <v>63</v>
      </c>
      <c r="V481" t="s">
        <v>45</v>
      </c>
      <c r="W481" t="str">
        <f t="shared" si="35"/>
        <v>31-40</v>
      </c>
      <c r="X481" t="str">
        <f t="shared" si="36"/>
        <v>0-5 yrs</v>
      </c>
      <c r="Y481" t="str">
        <f t="shared" si="37"/>
        <v>May</v>
      </c>
      <c r="Z481">
        <f t="shared" si="38"/>
        <v>2025</v>
      </c>
      <c r="AA481">
        <f t="shared" si="39"/>
        <v>1</v>
      </c>
    </row>
    <row r="482" spans="1:27" ht="15" customHeight="1" x14ac:dyDescent="0.3">
      <c r="A482" t="s">
        <v>927</v>
      </c>
      <c r="B482" s="20">
        <v>45969</v>
      </c>
      <c r="C482" t="s">
        <v>516</v>
      </c>
      <c r="D482" t="s">
        <v>48</v>
      </c>
      <c r="E482" s="37">
        <v>54</v>
      </c>
      <c r="F482" t="s">
        <v>36</v>
      </c>
      <c r="G482" t="s">
        <v>37</v>
      </c>
      <c r="H482" t="s">
        <v>118</v>
      </c>
      <c r="I482" t="s">
        <v>60</v>
      </c>
      <c r="J482" t="s">
        <v>219</v>
      </c>
      <c r="K482" s="37">
        <v>1</v>
      </c>
      <c r="L482" t="s">
        <v>52</v>
      </c>
      <c r="M482" s="21">
        <v>124100</v>
      </c>
      <c r="N482" s="21">
        <v>1757256</v>
      </c>
      <c r="O482" s="21">
        <v>268056</v>
      </c>
      <c r="P482" s="37">
        <v>4</v>
      </c>
      <c r="Q482" t="s">
        <v>42</v>
      </c>
      <c r="R482" s="37">
        <v>19</v>
      </c>
      <c r="S482" s="37">
        <v>23</v>
      </c>
      <c r="T482" t="s">
        <v>77</v>
      </c>
      <c r="U482" t="s">
        <v>63</v>
      </c>
      <c r="V482" t="s">
        <v>69</v>
      </c>
      <c r="W482" t="str">
        <f t="shared" si="35"/>
        <v>51-58</v>
      </c>
      <c r="X482" t="str">
        <f t="shared" si="36"/>
        <v>0-5 yrs</v>
      </c>
      <c r="Y482" t="str">
        <f t="shared" si="37"/>
        <v>Nov</v>
      </c>
      <c r="Z482">
        <f t="shared" si="38"/>
        <v>2025</v>
      </c>
      <c r="AA482">
        <f t="shared" si="39"/>
        <v>0</v>
      </c>
    </row>
    <row r="483" spans="1:27" ht="15" customHeight="1" x14ac:dyDescent="0.3">
      <c r="A483" t="s">
        <v>928</v>
      </c>
      <c r="B483" s="20">
        <v>45741</v>
      </c>
      <c r="C483" t="s">
        <v>929</v>
      </c>
      <c r="D483" t="s">
        <v>48</v>
      </c>
      <c r="E483" s="37">
        <v>29</v>
      </c>
      <c r="F483" t="s">
        <v>91</v>
      </c>
      <c r="G483" t="s">
        <v>92</v>
      </c>
      <c r="H483" t="s">
        <v>118</v>
      </c>
      <c r="I483" t="s">
        <v>82</v>
      </c>
      <c r="J483" t="s">
        <v>250</v>
      </c>
      <c r="K483" s="37">
        <v>10</v>
      </c>
      <c r="L483" t="s">
        <v>52</v>
      </c>
      <c r="M483" s="21">
        <v>56700</v>
      </c>
      <c r="N483" s="21">
        <v>775656</v>
      </c>
      <c r="O483" s="21">
        <v>95256</v>
      </c>
      <c r="P483" s="37">
        <v>3</v>
      </c>
      <c r="Q483" t="s">
        <v>42</v>
      </c>
      <c r="R483" s="37">
        <v>1</v>
      </c>
      <c r="S483" s="37">
        <v>11</v>
      </c>
      <c r="T483" t="s">
        <v>175</v>
      </c>
      <c r="U483" t="s">
        <v>44</v>
      </c>
      <c r="V483" t="s">
        <v>69</v>
      </c>
      <c r="W483" t="str">
        <f t="shared" si="35"/>
        <v>22-30</v>
      </c>
      <c r="X483" t="str">
        <f t="shared" si="36"/>
        <v>6-10 yrs</v>
      </c>
      <c r="Y483" t="str">
        <f t="shared" si="37"/>
        <v>Mar</v>
      </c>
      <c r="Z483">
        <f t="shared" si="38"/>
        <v>2025</v>
      </c>
      <c r="AA483">
        <f t="shared" si="39"/>
        <v>0</v>
      </c>
    </row>
    <row r="484" spans="1:27" ht="15" customHeight="1" x14ac:dyDescent="0.3">
      <c r="A484" t="s">
        <v>930</v>
      </c>
      <c r="B484" s="20">
        <v>45778</v>
      </c>
      <c r="C484" t="s">
        <v>514</v>
      </c>
      <c r="D484" t="s">
        <v>35</v>
      </c>
      <c r="E484" s="37">
        <v>58</v>
      </c>
      <c r="F484" t="s">
        <v>97</v>
      </c>
      <c r="G484" t="s">
        <v>98</v>
      </c>
      <c r="H484" t="s">
        <v>74</v>
      </c>
      <c r="I484" t="s">
        <v>60</v>
      </c>
      <c r="J484" t="s">
        <v>367</v>
      </c>
      <c r="K484" s="37">
        <v>2</v>
      </c>
      <c r="L484" t="s">
        <v>52</v>
      </c>
      <c r="M484" s="21">
        <v>137700</v>
      </c>
      <c r="N484" s="21">
        <v>1784592</v>
      </c>
      <c r="O484" s="21">
        <v>132192</v>
      </c>
      <c r="P484" s="37">
        <v>4</v>
      </c>
      <c r="Q484" t="s">
        <v>126</v>
      </c>
      <c r="R484" s="37">
        <v>20</v>
      </c>
      <c r="S484" s="37">
        <v>29</v>
      </c>
      <c r="T484" t="s">
        <v>175</v>
      </c>
      <c r="U484" t="s">
        <v>44</v>
      </c>
      <c r="V484" t="s">
        <v>45</v>
      </c>
      <c r="W484" t="str">
        <f t="shared" si="35"/>
        <v>51-58</v>
      </c>
      <c r="X484" t="str">
        <f t="shared" si="36"/>
        <v>0-5 yrs</v>
      </c>
      <c r="Y484" t="str">
        <f t="shared" si="37"/>
        <v>May</v>
      </c>
      <c r="Z484">
        <f t="shared" si="38"/>
        <v>2025</v>
      </c>
      <c r="AA484">
        <f t="shared" si="39"/>
        <v>1</v>
      </c>
    </row>
    <row r="485" spans="1:27" ht="15" customHeight="1" x14ac:dyDescent="0.3">
      <c r="A485" t="s">
        <v>931</v>
      </c>
      <c r="B485" s="20">
        <v>45731</v>
      </c>
      <c r="C485" t="s">
        <v>932</v>
      </c>
      <c r="D485" t="s">
        <v>35</v>
      </c>
      <c r="E485" s="37">
        <v>38</v>
      </c>
      <c r="F485" t="s">
        <v>36</v>
      </c>
      <c r="G485" t="s">
        <v>37</v>
      </c>
      <c r="H485" t="s">
        <v>74</v>
      </c>
      <c r="I485" t="s">
        <v>82</v>
      </c>
      <c r="J485" t="s">
        <v>115</v>
      </c>
      <c r="K485" s="37">
        <v>22</v>
      </c>
      <c r="L485" t="s">
        <v>52</v>
      </c>
      <c r="M485" s="21">
        <v>58500</v>
      </c>
      <c r="N485" s="21">
        <v>751140</v>
      </c>
      <c r="O485" s="21">
        <v>49140</v>
      </c>
      <c r="P485" s="37">
        <v>3</v>
      </c>
      <c r="Q485" t="s">
        <v>42</v>
      </c>
      <c r="R485" s="37">
        <v>9</v>
      </c>
      <c r="S485" s="37">
        <v>29</v>
      </c>
      <c r="T485" t="s">
        <v>53</v>
      </c>
      <c r="U485" t="s">
        <v>44</v>
      </c>
      <c r="V485" t="s">
        <v>69</v>
      </c>
      <c r="W485" t="str">
        <f t="shared" si="35"/>
        <v>31-40</v>
      </c>
      <c r="X485" t="str">
        <f t="shared" si="36"/>
        <v>21-30 yrs</v>
      </c>
      <c r="Y485" t="str">
        <f t="shared" si="37"/>
        <v>Mar</v>
      </c>
      <c r="Z485">
        <f t="shared" si="38"/>
        <v>2025</v>
      </c>
      <c r="AA485">
        <f t="shared" si="39"/>
        <v>0</v>
      </c>
    </row>
    <row r="486" spans="1:27" ht="15" customHeight="1" x14ac:dyDescent="0.3">
      <c r="A486" t="s">
        <v>933</v>
      </c>
      <c r="B486" s="20">
        <v>45875</v>
      </c>
      <c r="C486" t="s">
        <v>678</v>
      </c>
      <c r="D486" t="s">
        <v>35</v>
      </c>
      <c r="E486" s="37">
        <v>52</v>
      </c>
      <c r="F486" t="s">
        <v>36</v>
      </c>
      <c r="G486" t="s">
        <v>37</v>
      </c>
      <c r="H486" t="s">
        <v>38</v>
      </c>
      <c r="I486" t="s">
        <v>82</v>
      </c>
      <c r="J486" t="s">
        <v>99</v>
      </c>
      <c r="K486" s="37">
        <v>5</v>
      </c>
      <c r="L486" t="s">
        <v>52</v>
      </c>
      <c r="M486" s="21">
        <v>54500</v>
      </c>
      <c r="N486" s="21">
        <v>719400</v>
      </c>
      <c r="O486" s="21">
        <v>65400</v>
      </c>
      <c r="P486" s="37">
        <v>1</v>
      </c>
      <c r="Q486" t="s">
        <v>42</v>
      </c>
      <c r="R486" s="37">
        <v>17</v>
      </c>
      <c r="S486" s="37">
        <v>0</v>
      </c>
      <c r="T486" t="s">
        <v>129</v>
      </c>
      <c r="U486" t="s">
        <v>63</v>
      </c>
      <c r="V486" t="s">
        <v>45</v>
      </c>
      <c r="W486" t="str">
        <f t="shared" si="35"/>
        <v>51-58</v>
      </c>
      <c r="X486" t="str">
        <f t="shared" si="36"/>
        <v>0-5 yrs</v>
      </c>
      <c r="Y486" t="str">
        <f t="shared" si="37"/>
        <v>Aug</v>
      </c>
      <c r="Z486">
        <f t="shared" si="38"/>
        <v>2025</v>
      </c>
      <c r="AA486">
        <f t="shared" si="39"/>
        <v>0</v>
      </c>
    </row>
    <row r="487" spans="1:27" ht="15" customHeight="1" x14ac:dyDescent="0.3">
      <c r="A487" t="s">
        <v>934</v>
      </c>
      <c r="B487" s="20">
        <v>45754</v>
      </c>
      <c r="C487" t="s">
        <v>935</v>
      </c>
      <c r="D487" t="s">
        <v>35</v>
      </c>
      <c r="E487" s="37">
        <v>29</v>
      </c>
      <c r="F487" t="s">
        <v>72</v>
      </c>
      <c r="G487" t="s">
        <v>73</v>
      </c>
      <c r="H487" t="s">
        <v>66</v>
      </c>
      <c r="I487" t="s">
        <v>39</v>
      </c>
      <c r="J487" t="s">
        <v>161</v>
      </c>
      <c r="K487" s="37">
        <v>7</v>
      </c>
      <c r="L487" t="s">
        <v>52</v>
      </c>
      <c r="M487" s="21">
        <v>44900</v>
      </c>
      <c r="N487" s="21">
        <v>614232</v>
      </c>
      <c r="O487" s="21">
        <v>75432</v>
      </c>
      <c r="P487" s="37">
        <v>2</v>
      </c>
      <c r="Q487" t="s">
        <v>126</v>
      </c>
      <c r="R487" s="37">
        <v>11</v>
      </c>
      <c r="S487" s="37">
        <v>32</v>
      </c>
      <c r="T487" t="s">
        <v>68</v>
      </c>
      <c r="U487" t="s">
        <v>63</v>
      </c>
      <c r="V487" t="s">
        <v>45</v>
      </c>
      <c r="W487" t="str">
        <f t="shared" si="35"/>
        <v>22-30</v>
      </c>
      <c r="X487" t="str">
        <f t="shared" si="36"/>
        <v>6-10 yrs</v>
      </c>
      <c r="Y487" t="str">
        <f t="shared" si="37"/>
        <v>Apr</v>
      </c>
      <c r="Z487">
        <f t="shared" si="38"/>
        <v>2025</v>
      </c>
      <c r="AA487">
        <f t="shared" si="39"/>
        <v>1</v>
      </c>
    </row>
    <row r="488" spans="1:27" ht="15" customHeight="1" x14ac:dyDescent="0.3">
      <c r="A488" t="s">
        <v>936</v>
      </c>
      <c r="B488" s="20">
        <v>45861</v>
      </c>
      <c r="C488" t="s">
        <v>937</v>
      </c>
      <c r="D488" t="s">
        <v>48</v>
      </c>
      <c r="E488" s="37">
        <v>50</v>
      </c>
      <c r="F488" t="s">
        <v>72</v>
      </c>
      <c r="G488" t="s">
        <v>73</v>
      </c>
      <c r="H488" t="s">
        <v>118</v>
      </c>
      <c r="I488" t="s">
        <v>39</v>
      </c>
      <c r="J488" t="s">
        <v>119</v>
      </c>
      <c r="K488" s="37">
        <v>15</v>
      </c>
      <c r="L488" t="s">
        <v>52</v>
      </c>
      <c r="M488" s="21">
        <v>32600</v>
      </c>
      <c r="N488" s="21">
        <v>434232</v>
      </c>
      <c r="O488" s="21">
        <v>43032</v>
      </c>
      <c r="P488" s="37">
        <v>3</v>
      </c>
      <c r="Q488" t="s">
        <v>42</v>
      </c>
      <c r="R488" s="37">
        <v>11</v>
      </c>
      <c r="S488" s="37">
        <v>26</v>
      </c>
      <c r="T488" t="s">
        <v>43</v>
      </c>
      <c r="U488" t="s">
        <v>63</v>
      </c>
      <c r="V488" t="s">
        <v>45</v>
      </c>
      <c r="W488" t="str">
        <f t="shared" si="35"/>
        <v>41-50</v>
      </c>
      <c r="X488" t="str">
        <f t="shared" si="36"/>
        <v>11-20 yrs</v>
      </c>
      <c r="Y488" t="str">
        <f t="shared" si="37"/>
        <v>Jul</v>
      </c>
      <c r="Z488">
        <f t="shared" si="38"/>
        <v>2025</v>
      </c>
      <c r="AA488">
        <f t="shared" si="39"/>
        <v>0</v>
      </c>
    </row>
    <row r="489" spans="1:27" ht="15" customHeight="1" x14ac:dyDescent="0.3">
      <c r="A489" t="s">
        <v>938</v>
      </c>
      <c r="B489" s="20">
        <v>45892</v>
      </c>
      <c r="C489" t="s">
        <v>939</v>
      </c>
      <c r="D489" t="s">
        <v>35</v>
      </c>
      <c r="E489" s="37">
        <v>34</v>
      </c>
      <c r="F489" t="s">
        <v>86</v>
      </c>
      <c r="G489" t="s">
        <v>87</v>
      </c>
      <c r="H489" t="s">
        <v>66</v>
      </c>
      <c r="I489" t="s">
        <v>39</v>
      </c>
      <c r="J489" t="s">
        <v>93</v>
      </c>
      <c r="K489" s="37">
        <v>3</v>
      </c>
      <c r="L489" t="s">
        <v>52</v>
      </c>
      <c r="M489" s="21">
        <v>49200</v>
      </c>
      <c r="N489" s="21">
        <v>678960</v>
      </c>
      <c r="O489" s="21">
        <v>88560</v>
      </c>
      <c r="P489" s="37">
        <v>3</v>
      </c>
      <c r="Q489" t="s">
        <v>126</v>
      </c>
      <c r="R489" s="37">
        <v>4</v>
      </c>
      <c r="S489" s="37">
        <v>21</v>
      </c>
      <c r="T489" t="s">
        <v>94</v>
      </c>
      <c r="U489" t="s">
        <v>44</v>
      </c>
      <c r="V489" t="s">
        <v>45</v>
      </c>
      <c r="W489" t="str">
        <f t="shared" si="35"/>
        <v>31-40</v>
      </c>
      <c r="X489" t="str">
        <f t="shared" si="36"/>
        <v>0-5 yrs</v>
      </c>
      <c r="Y489" t="str">
        <f t="shared" si="37"/>
        <v>Aug</v>
      </c>
      <c r="Z489">
        <f t="shared" si="38"/>
        <v>2025</v>
      </c>
      <c r="AA489">
        <f t="shared" si="39"/>
        <v>1</v>
      </c>
    </row>
    <row r="490" spans="1:27" ht="15" customHeight="1" x14ac:dyDescent="0.3">
      <c r="A490" t="s">
        <v>940</v>
      </c>
      <c r="B490" s="20">
        <v>45972</v>
      </c>
      <c r="C490" t="s">
        <v>932</v>
      </c>
      <c r="D490" t="s">
        <v>35</v>
      </c>
      <c r="E490" s="37">
        <v>51</v>
      </c>
      <c r="F490" t="s">
        <v>57</v>
      </c>
      <c r="G490" t="s">
        <v>58</v>
      </c>
      <c r="H490" t="s">
        <v>38</v>
      </c>
      <c r="I490" t="s">
        <v>60</v>
      </c>
      <c r="J490" t="s">
        <v>110</v>
      </c>
      <c r="K490" s="37">
        <v>13</v>
      </c>
      <c r="L490" t="s">
        <v>52</v>
      </c>
      <c r="M490" s="21">
        <v>153700</v>
      </c>
      <c r="N490" s="21">
        <v>1991952</v>
      </c>
      <c r="O490" s="21">
        <v>147552</v>
      </c>
      <c r="P490" s="37">
        <v>4</v>
      </c>
      <c r="Q490" t="s">
        <v>42</v>
      </c>
      <c r="R490" s="37">
        <v>17</v>
      </c>
      <c r="S490" s="37">
        <v>34</v>
      </c>
      <c r="T490" t="s">
        <v>62</v>
      </c>
      <c r="U490" t="s">
        <v>44</v>
      </c>
      <c r="V490" t="s">
        <v>45</v>
      </c>
      <c r="W490" t="str">
        <f t="shared" si="35"/>
        <v>51-58</v>
      </c>
      <c r="X490" t="str">
        <f t="shared" si="36"/>
        <v>11-20 yrs</v>
      </c>
      <c r="Y490" t="str">
        <f t="shared" si="37"/>
        <v>Nov</v>
      </c>
      <c r="Z490">
        <f t="shared" si="38"/>
        <v>2025</v>
      </c>
      <c r="AA490">
        <f t="shared" si="39"/>
        <v>0</v>
      </c>
    </row>
    <row r="491" spans="1:27" ht="15" customHeight="1" x14ac:dyDescent="0.3">
      <c r="A491" t="s">
        <v>941</v>
      </c>
      <c r="B491" s="20">
        <v>45998</v>
      </c>
      <c r="C491" t="s">
        <v>942</v>
      </c>
      <c r="D491" t="s">
        <v>35</v>
      </c>
      <c r="E491" s="37">
        <v>52</v>
      </c>
      <c r="F491" t="s">
        <v>108</v>
      </c>
      <c r="G491" t="s">
        <v>109</v>
      </c>
      <c r="H491" t="s">
        <v>118</v>
      </c>
      <c r="I491" t="s">
        <v>60</v>
      </c>
      <c r="J491" t="s">
        <v>250</v>
      </c>
      <c r="K491" s="37">
        <v>29</v>
      </c>
      <c r="L491" t="s">
        <v>52</v>
      </c>
      <c r="M491" s="21">
        <v>122500</v>
      </c>
      <c r="N491" s="21">
        <v>1543500</v>
      </c>
      <c r="O491" s="21">
        <v>73500</v>
      </c>
      <c r="P491" s="37">
        <v>2</v>
      </c>
      <c r="Q491" t="s">
        <v>42</v>
      </c>
      <c r="R491" s="37">
        <v>3</v>
      </c>
      <c r="S491" s="37">
        <v>3</v>
      </c>
      <c r="T491" t="s">
        <v>62</v>
      </c>
      <c r="U491" t="s">
        <v>44</v>
      </c>
      <c r="V491" t="s">
        <v>45</v>
      </c>
      <c r="W491" t="str">
        <f t="shared" si="35"/>
        <v>51-58</v>
      </c>
      <c r="X491" t="str">
        <f t="shared" si="36"/>
        <v>21-30 yrs</v>
      </c>
      <c r="Y491" t="str">
        <f t="shared" si="37"/>
        <v>Dec</v>
      </c>
      <c r="Z491">
        <f t="shared" si="38"/>
        <v>2025</v>
      </c>
      <c r="AA491">
        <f t="shared" si="39"/>
        <v>0</v>
      </c>
    </row>
    <row r="492" spans="1:27" ht="15" customHeight="1" x14ac:dyDescent="0.3">
      <c r="A492" t="s">
        <v>943</v>
      </c>
      <c r="B492" s="20">
        <v>45846</v>
      </c>
      <c r="C492" t="s">
        <v>944</v>
      </c>
      <c r="D492" t="s">
        <v>48</v>
      </c>
      <c r="E492" s="37">
        <v>35</v>
      </c>
      <c r="F492" t="s">
        <v>108</v>
      </c>
      <c r="G492" t="s">
        <v>109</v>
      </c>
      <c r="H492" t="s">
        <v>38</v>
      </c>
      <c r="I492" t="s">
        <v>51</v>
      </c>
      <c r="J492" t="s">
        <v>99</v>
      </c>
      <c r="K492" s="37">
        <v>1</v>
      </c>
      <c r="L492" t="s">
        <v>41</v>
      </c>
      <c r="M492" s="21">
        <v>244000</v>
      </c>
      <c r="N492" s="21">
        <v>3396479</v>
      </c>
      <c r="O492" s="21">
        <v>468480</v>
      </c>
      <c r="P492" s="37">
        <v>4</v>
      </c>
      <c r="Q492" t="s">
        <v>42</v>
      </c>
      <c r="R492" s="37">
        <v>7</v>
      </c>
      <c r="S492" s="37">
        <v>11</v>
      </c>
      <c r="T492" t="s">
        <v>175</v>
      </c>
      <c r="U492" t="s">
        <v>44</v>
      </c>
      <c r="V492" t="s">
        <v>69</v>
      </c>
      <c r="W492" t="str">
        <f t="shared" si="35"/>
        <v>31-40</v>
      </c>
      <c r="X492" t="str">
        <f t="shared" si="36"/>
        <v>0-5 yrs</v>
      </c>
      <c r="Y492" t="str">
        <f t="shared" si="37"/>
        <v>Jul</v>
      </c>
      <c r="Z492">
        <f t="shared" si="38"/>
        <v>2025</v>
      </c>
      <c r="AA492">
        <f t="shared" si="39"/>
        <v>0</v>
      </c>
    </row>
    <row r="493" spans="1:27" ht="15" customHeight="1" x14ac:dyDescent="0.3">
      <c r="A493" t="s">
        <v>945</v>
      </c>
      <c r="B493" s="20">
        <v>45973</v>
      </c>
      <c r="C493" t="s">
        <v>686</v>
      </c>
      <c r="D493" t="s">
        <v>35</v>
      </c>
      <c r="E493" s="37">
        <v>52</v>
      </c>
      <c r="F493" t="s">
        <v>108</v>
      </c>
      <c r="G493" t="s">
        <v>109</v>
      </c>
      <c r="H493" t="s">
        <v>66</v>
      </c>
      <c r="I493" t="s">
        <v>60</v>
      </c>
      <c r="J493" t="s">
        <v>161</v>
      </c>
      <c r="K493" s="37">
        <v>12</v>
      </c>
      <c r="L493" t="s">
        <v>52</v>
      </c>
      <c r="M493" s="21">
        <v>158500</v>
      </c>
      <c r="N493" s="21">
        <v>2016120</v>
      </c>
      <c r="O493" s="21">
        <v>114120</v>
      </c>
      <c r="P493" s="37">
        <v>4</v>
      </c>
      <c r="Q493" t="s">
        <v>42</v>
      </c>
      <c r="R493" s="37">
        <v>5</v>
      </c>
      <c r="S493" s="37">
        <v>22</v>
      </c>
      <c r="T493" t="s">
        <v>43</v>
      </c>
      <c r="U493" t="s">
        <v>138</v>
      </c>
      <c r="V493" t="s">
        <v>69</v>
      </c>
      <c r="W493" t="str">
        <f t="shared" si="35"/>
        <v>51-58</v>
      </c>
      <c r="X493" t="str">
        <f t="shared" si="36"/>
        <v>11-20 yrs</v>
      </c>
      <c r="Y493" t="str">
        <f t="shared" si="37"/>
        <v>Nov</v>
      </c>
      <c r="Z493">
        <f t="shared" si="38"/>
        <v>2025</v>
      </c>
      <c r="AA493">
        <f t="shared" si="39"/>
        <v>0</v>
      </c>
    </row>
    <row r="494" spans="1:27" ht="15" customHeight="1" x14ac:dyDescent="0.3">
      <c r="A494" t="s">
        <v>946</v>
      </c>
      <c r="B494" s="20">
        <v>45748</v>
      </c>
      <c r="C494" t="s">
        <v>947</v>
      </c>
      <c r="D494" t="s">
        <v>35</v>
      </c>
      <c r="E494" s="37">
        <v>27</v>
      </c>
      <c r="F494" t="s">
        <v>97</v>
      </c>
      <c r="G494" t="s">
        <v>98</v>
      </c>
      <c r="H494" t="s">
        <v>59</v>
      </c>
      <c r="I494" t="s">
        <v>75</v>
      </c>
      <c r="J494" t="s">
        <v>88</v>
      </c>
      <c r="K494" s="37">
        <v>7</v>
      </c>
      <c r="L494" t="s">
        <v>52</v>
      </c>
      <c r="M494" s="21">
        <v>76200</v>
      </c>
      <c r="N494" s="21">
        <v>1024128</v>
      </c>
      <c r="O494" s="21">
        <v>109728</v>
      </c>
      <c r="P494" s="37">
        <v>3</v>
      </c>
      <c r="Q494" t="s">
        <v>42</v>
      </c>
      <c r="R494" s="37">
        <v>7</v>
      </c>
      <c r="S494" s="37">
        <v>21</v>
      </c>
      <c r="T494" t="s">
        <v>146</v>
      </c>
      <c r="U494" t="s">
        <v>54</v>
      </c>
      <c r="V494" t="s">
        <v>69</v>
      </c>
      <c r="W494" t="str">
        <f t="shared" si="35"/>
        <v>22-30</v>
      </c>
      <c r="X494" t="str">
        <f t="shared" si="36"/>
        <v>6-10 yrs</v>
      </c>
      <c r="Y494" t="str">
        <f t="shared" si="37"/>
        <v>Apr</v>
      </c>
      <c r="Z494">
        <f t="shared" si="38"/>
        <v>2025</v>
      </c>
      <c r="AA494">
        <f t="shared" si="39"/>
        <v>0</v>
      </c>
    </row>
    <row r="495" spans="1:27" ht="15" customHeight="1" x14ac:dyDescent="0.3">
      <c r="A495" t="s">
        <v>948</v>
      </c>
      <c r="B495" s="20">
        <v>45984</v>
      </c>
      <c r="C495" t="s">
        <v>949</v>
      </c>
      <c r="D495" t="s">
        <v>35</v>
      </c>
      <c r="E495" s="37">
        <v>58</v>
      </c>
      <c r="F495" t="s">
        <v>123</v>
      </c>
      <c r="G495" t="s">
        <v>124</v>
      </c>
      <c r="H495" t="s">
        <v>38</v>
      </c>
      <c r="I495" t="s">
        <v>82</v>
      </c>
      <c r="J495" t="s">
        <v>134</v>
      </c>
      <c r="K495" s="37">
        <v>9</v>
      </c>
      <c r="L495" t="s">
        <v>41</v>
      </c>
      <c r="M495" s="21">
        <v>52500</v>
      </c>
      <c r="N495" s="21">
        <v>711899</v>
      </c>
      <c r="O495" s="21">
        <v>81900</v>
      </c>
      <c r="P495" s="37">
        <v>4</v>
      </c>
      <c r="Q495" t="s">
        <v>126</v>
      </c>
      <c r="R495" s="37">
        <v>16</v>
      </c>
      <c r="S495" s="37">
        <v>20</v>
      </c>
      <c r="T495" t="s">
        <v>175</v>
      </c>
      <c r="U495" t="s">
        <v>63</v>
      </c>
      <c r="V495" t="s">
        <v>45</v>
      </c>
      <c r="W495" t="str">
        <f t="shared" si="35"/>
        <v>51-58</v>
      </c>
      <c r="X495" t="str">
        <f t="shared" si="36"/>
        <v>6-10 yrs</v>
      </c>
      <c r="Y495" t="str">
        <f t="shared" si="37"/>
        <v>Nov</v>
      </c>
      <c r="Z495">
        <f t="shared" si="38"/>
        <v>2025</v>
      </c>
      <c r="AA495">
        <f t="shared" si="39"/>
        <v>1</v>
      </c>
    </row>
    <row r="496" spans="1:27" ht="15" customHeight="1" x14ac:dyDescent="0.3">
      <c r="A496" t="s">
        <v>950</v>
      </c>
      <c r="B496" s="20">
        <v>45660</v>
      </c>
      <c r="C496" t="s">
        <v>951</v>
      </c>
      <c r="D496" t="s">
        <v>35</v>
      </c>
      <c r="E496" s="37">
        <v>51</v>
      </c>
      <c r="F496" t="s">
        <v>123</v>
      </c>
      <c r="G496" t="s">
        <v>124</v>
      </c>
      <c r="H496" t="s">
        <v>38</v>
      </c>
      <c r="I496" t="s">
        <v>75</v>
      </c>
      <c r="J496" t="s">
        <v>110</v>
      </c>
      <c r="K496" s="37">
        <v>21</v>
      </c>
      <c r="L496" t="s">
        <v>52</v>
      </c>
      <c r="M496" s="21">
        <v>84900</v>
      </c>
      <c r="N496" s="21">
        <v>1110492</v>
      </c>
      <c r="O496" s="21">
        <v>91692</v>
      </c>
      <c r="P496" s="37">
        <v>4</v>
      </c>
      <c r="Q496" t="s">
        <v>42</v>
      </c>
      <c r="R496" s="37">
        <v>9</v>
      </c>
      <c r="S496" s="37">
        <v>10</v>
      </c>
      <c r="T496" t="s">
        <v>105</v>
      </c>
      <c r="U496" t="s">
        <v>54</v>
      </c>
      <c r="V496" t="s">
        <v>45</v>
      </c>
      <c r="W496" t="str">
        <f t="shared" si="35"/>
        <v>51-58</v>
      </c>
      <c r="X496" t="str">
        <f t="shared" si="36"/>
        <v>21-30 yrs</v>
      </c>
      <c r="Y496" t="str">
        <f t="shared" si="37"/>
        <v>Jan</v>
      </c>
      <c r="Z496">
        <f t="shared" si="38"/>
        <v>2025</v>
      </c>
      <c r="AA496">
        <f t="shared" si="39"/>
        <v>0</v>
      </c>
    </row>
    <row r="497" spans="1:27" ht="15" customHeight="1" x14ac:dyDescent="0.3">
      <c r="A497" t="s">
        <v>952</v>
      </c>
      <c r="B497" s="20">
        <v>45927</v>
      </c>
      <c r="C497" t="s">
        <v>953</v>
      </c>
      <c r="D497" t="s">
        <v>35</v>
      </c>
      <c r="E497" s="37">
        <v>44</v>
      </c>
      <c r="F497" t="s">
        <v>36</v>
      </c>
      <c r="G497" t="s">
        <v>37</v>
      </c>
      <c r="H497" t="s">
        <v>38</v>
      </c>
      <c r="I497" t="s">
        <v>51</v>
      </c>
      <c r="J497" t="s">
        <v>190</v>
      </c>
      <c r="K497" s="37">
        <v>19</v>
      </c>
      <c r="L497" t="s">
        <v>120</v>
      </c>
      <c r="M497" s="21">
        <v>255200</v>
      </c>
      <c r="N497" s="21">
        <v>3460511</v>
      </c>
      <c r="O497" s="21">
        <v>398112</v>
      </c>
      <c r="P497" s="37">
        <v>4</v>
      </c>
      <c r="Q497" t="s">
        <v>42</v>
      </c>
      <c r="R497" s="37">
        <v>1</v>
      </c>
      <c r="S497" s="37">
        <v>5</v>
      </c>
      <c r="T497" t="s">
        <v>68</v>
      </c>
      <c r="U497" t="s">
        <v>63</v>
      </c>
      <c r="V497" t="s">
        <v>69</v>
      </c>
      <c r="W497" t="str">
        <f t="shared" si="35"/>
        <v>41-50</v>
      </c>
      <c r="X497" t="str">
        <f t="shared" si="36"/>
        <v>11-20 yrs</v>
      </c>
      <c r="Y497" t="str">
        <f t="shared" si="37"/>
        <v>Sep</v>
      </c>
      <c r="Z497">
        <f t="shared" si="38"/>
        <v>2025</v>
      </c>
      <c r="AA497">
        <f t="shared" si="39"/>
        <v>0</v>
      </c>
    </row>
    <row r="498" spans="1:27" ht="15" customHeight="1" x14ac:dyDescent="0.3">
      <c r="A498" t="s">
        <v>954</v>
      </c>
      <c r="B498" s="20">
        <v>45726</v>
      </c>
      <c r="C498" t="s">
        <v>239</v>
      </c>
      <c r="D498" t="s">
        <v>35</v>
      </c>
      <c r="E498" s="37">
        <v>35</v>
      </c>
      <c r="F498" t="s">
        <v>108</v>
      </c>
      <c r="G498" t="s">
        <v>109</v>
      </c>
      <c r="H498" t="s">
        <v>38</v>
      </c>
      <c r="I498" t="s">
        <v>39</v>
      </c>
      <c r="J498" t="s">
        <v>190</v>
      </c>
      <c r="K498" s="37">
        <v>13</v>
      </c>
      <c r="L498" t="s">
        <v>52</v>
      </c>
      <c r="M498" s="21">
        <v>31200</v>
      </c>
      <c r="N498" s="21">
        <v>438048</v>
      </c>
      <c r="O498" s="21">
        <v>63648</v>
      </c>
      <c r="P498" s="37">
        <v>2</v>
      </c>
      <c r="Q498" t="s">
        <v>42</v>
      </c>
      <c r="R498" s="37">
        <v>18</v>
      </c>
      <c r="S498" s="37">
        <v>18</v>
      </c>
      <c r="T498" t="s">
        <v>105</v>
      </c>
      <c r="U498" t="s">
        <v>44</v>
      </c>
      <c r="V498" t="s">
        <v>45</v>
      </c>
      <c r="W498" t="str">
        <f t="shared" si="35"/>
        <v>31-40</v>
      </c>
      <c r="X498" t="str">
        <f t="shared" si="36"/>
        <v>11-20 yrs</v>
      </c>
      <c r="Y498" t="str">
        <f t="shared" si="37"/>
        <v>Mar</v>
      </c>
      <c r="Z498">
        <f t="shared" si="38"/>
        <v>2025</v>
      </c>
      <c r="AA498">
        <f t="shared" si="39"/>
        <v>0</v>
      </c>
    </row>
    <row r="499" spans="1:27" ht="15" customHeight="1" x14ac:dyDescent="0.3">
      <c r="A499" t="s">
        <v>955</v>
      </c>
      <c r="B499" s="20">
        <v>45826</v>
      </c>
      <c r="C499" t="s">
        <v>956</v>
      </c>
      <c r="D499" t="s">
        <v>48</v>
      </c>
      <c r="E499" s="37">
        <v>28</v>
      </c>
      <c r="F499" t="s">
        <v>57</v>
      </c>
      <c r="G499" t="s">
        <v>58</v>
      </c>
      <c r="H499" t="s">
        <v>66</v>
      </c>
      <c r="I499" t="s">
        <v>75</v>
      </c>
      <c r="J499" t="s">
        <v>170</v>
      </c>
      <c r="K499" s="37">
        <v>8</v>
      </c>
      <c r="L499" t="s">
        <v>52</v>
      </c>
      <c r="M499" s="21">
        <v>103400</v>
      </c>
      <c r="N499" s="21">
        <v>1377288</v>
      </c>
      <c r="O499" s="21">
        <v>136488</v>
      </c>
      <c r="P499" s="37">
        <v>4</v>
      </c>
      <c r="Q499" t="s">
        <v>42</v>
      </c>
      <c r="R499" s="37">
        <v>11</v>
      </c>
      <c r="S499" s="37">
        <v>9</v>
      </c>
      <c r="T499" t="s">
        <v>68</v>
      </c>
      <c r="U499" t="s">
        <v>44</v>
      </c>
      <c r="V499" t="s">
        <v>69</v>
      </c>
      <c r="W499" t="str">
        <f t="shared" si="35"/>
        <v>22-30</v>
      </c>
      <c r="X499" t="str">
        <f t="shared" si="36"/>
        <v>6-10 yrs</v>
      </c>
      <c r="Y499" t="str">
        <f t="shared" si="37"/>
        <v>Jun</v>
      </c>
      <c r="Z499">
        <f t="shared" si="38"/>
        <v>2025</v>
      </c>
      <c r="AA499">
        <f t="shared" si="39"/>
        <v>0</v>
      </c>
    </row>
    <row r="500" spans="1:27" ht="15" customHeight="1" x14ac:dyDescent="0.3">
      <c r="A500" t="s">
        <v>957</v>
      </c>
      <c r="B500" s="20">
        <v>45841</v>
      </c>
      <c r="C500" t="s">
        <v>958</v>
      </c>
      <c r="D500" t="s">
        <v>35</v>
      </c>
      <c r="E500" s="37">
        <v>24</v>
      </c>
      <c r="F500" t="s">
        <v>97</v>
      </c>
      <c r="G500" t="s">
        <v>98</v>
      </c>
      <c r="H500" t="s">
        <v>66</v>
      </c>
      <c r="I500" t="s">
        <v>82</v>
      </c>
      <c r="J500" t="s">
        <v>149</v>
      </c>
      <c r="K500" s="37">
        <v>25</v>
      </c>
      <c r="L500" t="s">
        <v>52</v>
      </c>
      <c r="M500" s="21">
        <v>74400</v>
      </c>
      <c r="N500" s="21">
        <v>1008863</v>
      </c>
      <c r="O500" s="21">
        <v>116064</v>
      </c>
      <c r="P500" s="37">
        <v>2</v>
      </c>
      <c r="Q500" t="s">
        <v>42</v>
      </c>
      <c r="R500" s="37">
        <v>14</v>
      </c>
      <c r="S500" s="37">
        <v>16</v>
      </c>
      <c r="T500" t="s">
        <v>146</v>
      </c>
      <c r="U500" t="s">
        <v>54</v>
      </c>
      <c r="V500" t="s">
        <v>69</v>
      </c>
      <c r="W500" t="str">
        <f t="shared" si="35"/>
        <v>22-30</v>
      </c>
      <c r="X500" t="str">
        <f t="shared" si="36"/>
        <v>21-30 yrs</v>
      </c>
      <c r="Y500" t="str">
        <f t="shared" si="37"/>
        <v>Jul</v>
      </c>
      <c r="Z500">
        <f t="shared" si="38"/>
        <v>2025</v>
      </c>
      <c r="AA500">
        <f t="shared" si="39"/>
        <v>0</v>
      </c>
    </row>
    <row r="501" spans="1:27" ht="15" customHeight="1" x14ac:dyDescent="0.3">
      <c r="A501" t="s">
        <v>959</v>
      </c>
      <c r="B501" s="20">
        <v>45844</v>
      </c>
      <c r="C501" t="s">
        <v>960</v>
      </c>
      <c r="D501" t="s">
        <v>48</v>
      </c>
      <c r="E501" s="37">
        <v>27</v>
      </c>
      <c r="F501" t="s">
        <v>86</v>
      </c>
      <c r="G501" t="s">
        <v>87</v>
      </c>
      <c r="H501" t="s">
        <v>38</v>
      </c>
      <c r="I501" t="s">
        <v>60</v>
      </c>
      <c r="J501" t="s">
        <v>40</v>
      </c>
      <c r="K501" s="37">
        <v>8</v>
      </c>
      <c r="L501" t="s">
        <v>41</v>
      </c>
      <c r="M501" s="21">
        <v>124300</v>
      </c>
      <c r="N501" s="21">
        <v>1685507</v>
      </c>
      <c r="O501" s="21">
        <v>193908</v>
      </c>
      <c r="P501" s="37">
        <v>2</v>
      </c>
      <c r="Q501" t="s">
        <v>42</v>
      </c>
      <c r="R501" s="37">
        <v>6</v>
      </c>
      <c r="S501" s="37">
        <v>33</v>
      </c>
      <c r="T501" t="s">
        <v>94</v>
      </c>
      <c r="U501" t="s">
        <v>44</v>
      </c>
      <c r="V501" t="s">
        <v>45</v>
      </c>
      <c r="W501" t="str">
        <f t="shared" si="35"/>
        <v>22-30</v>
      </c>
      <c r="X501" t="str">
        <f t="shared" si="36"/>
        <v>6-10 yrs</v>
      </c>
      <c r="Y501" t="str">
        <f t="shared" si="37"/>
        <v>Jul</v>
      </c>
      <c r="Z501">
        <f t="shared" si="38"/>
        <v>2025</v>
      </c>
      <c r="AA501">
        <f t="shared" si="39"/>
        <v>0</v>
      </c>
    </row>
    <row r="502" spans="1:27" ht="15" customHeight="1" x14ac:dyDescent="0.3">
      <c r="A502" t="s">
        <v>961</v>
      </c>
      <c r="B502" s="20">
        <v>45860</v>
      </c>
      <c r="C502" t="s">
        <v>360</v>
      </c>
      <c r="D502" t="s">
        <v>35</v>
      </c>
      <c r="E502" s="37">
        <v>22</v>
      </c>
      <c r="F502" t="s">
        <v>49</v>
      </c>
      <c r="G502" t="s">
        <v>50</v>
      </c>
      <c r="H502" t="s">
        <v>74</v>
      </c>
      <c r="I502" t="s">
        <v>75</v>
      </c>
      <c r="J502" t="s">
        <v>76</v>
      </c>
      <c r="K502" s="37">
        <v>27</v>
      </c>
      <c r="L502" t="s">
        <v>52</v>
      </c>
      <c r="M502" s="21">
        <v>100500</v>
      </c>
      <c r="N502" s="21">
        <v>1338660</v>
      </c>
      <c r="O502" s="21">
        <v>132660</v>
      </c>
      <c r="P502" s="37">
        <v>2</v>
      </c>
      <c r="Q502" t="s">
        <v>42</v>
      </c>
      <c r="R502" s="37">
        <v>7</v>
      </c>
      <c r="S502" s="37">
        <v>20</v>
      </c>
      <c r="T502" t="s">
        <v>175</v>
      </c>
      <c r="U502" t="s">
        <v>63</v>
      </c>
      <c r="V502" t="s">
        <v>45</v>
      </c>
      <c r="W502" t="str">
        <f t="shared" si="35"/>
        <v>22-30</v>
      </c>
      <c r="X502" t="str">
        <f t="shared" si="36"/>
        <v>21-30 yrs</v>
      </c>
      <c r="Y502" t="str">
        <f t="shared" si="37"/>
        <v>Jul</v>
      </c>
      <c r="Z502">
        <f t="shared" si="38"/>
        <v>2025</v>
      </c>
      <c r="AA502">
        <f t="shared" si="39"/>
        <v>0</v>
      </c>
    </row>
    <row r="503" spans="1:27" ht="15" customHeight="1" x14ac:dyDescent="0.3">
      <c r="A503" t="s">
        <v>962</v>
      </c>
      <c r="B503" s="20">
        <v>46010</v>
      </c>
      <c r="C503" t="s">
        <v>503</v>
      </c>
      <c r="D503" t="s">
        <v>35</v>
      </c>
      <c r="E503" s="37">
        <v>44</v>
      </c>
      <c r="F503" t="s">
        <v>97</v>
      </c>
      <c r="G503" t="s">
        <v>98</v>
      </c>
      <c r="H503" t="s">
        <v>66</v>
      </c>
      <c r="I503" t="s">
        <v>60</v>
      </c>
      <c r="J503" t="s">
        <v>67</v>
      </c>
      <c r="K503" s="37">
        <v>0</v>
      </c>
      <c r="L503" t="s">
        <v>52</v>
      </c>
      <c r="M503" s="21">
        <v>156500</v>
      </c>
      <c r="N503" s="21">
        <v>2047020</v>
      </c>
      <c r="O503" s="21">
        <v>169020</v>
      </c>
      <c r="P503" s="37">
        <v>4</v>
      </c>
      <c r="Q503" t="s">
        <v>42</v>
      </c>
      <c r="R503" s="37">
        <v>14</v>
      </c>
      <c r="S503" s="37">
        <v>2</v>
      </c>
      <c r="T503" t="s">
        <v>68</v>
      </c>
      <c r="U503" t="s">
        <v>63</v>
      </c>
      <c r="V503" t="s">
        <v>45</v>
      </c>
      <c r="W503" t="str">
        <f t="shared" si="35"/>
        <v>41-50</v>
      </c>
      <c r="X503" t="str">
        <f t="shared" si="36"/>
        <v>0-5 yrs</v>
      </c>
      <c r="Y503" t="str">
        <f t="shared" si="37"/>
        <v>Dec</v>
      </c>
      <c r="Z503">
        <f t="shared" si="38"/>
        <v>2025</v>
      </c>
      <c r="AA503">
        <f t="shared" si="39"/>
        <v>0</v>
      </c>
    </row>
    <row r="504" spans="1:27" ht="15" customHeight="1" x14ac:dyDescent="0.3">
      <c r="A504" t="s">
        <v>963</v>
      </c>
      <c r="B504" s="20">
        <v>45987</v>
      </c>
      <c r="C504" t="s">
        <v>241</v>
      </c>
      <c r="D504" t="s">
        <v>48</v>
      </c>
      <c r="E504" s="37">
        <v>23</v>
      </c>
      <c r="F504" t="s">
        <v>108</v>
      </c>
      <c r="G504" t="s">
        <v>109</v>
      </c>
      <c r="H504" t="s">
        <v>118</v>
      </c>
      <c r="I504" t="s">
        <v>51</v>
      </c>
      <c r="J504" t="s">
        <v>219</v>
      </c>
      <c r="K504" s="37">
        <v>10</v>
      </c>
      <c r="L504" t="s">
        <v>52</v>
      </c>
      <c r="M504" s="21">
        <v>217500</v>
      </c>
      <c r="N504" s="21">
        <v>3027600</v>
      </c>
      <c r="O504" s="21">
        <v>417600</v>
      </c>
      <c r="P504" s="37">
        <v>5</v>
      </c>
      <c r="Q504" t="s">
        <v>42</v>
      </c>
      <c r="R504" s="37">
        <v>4</v>
      </c>
      <c r="S504" s="37">
        <v>22</v>
      </c>
      <c r="T504" t="s">
        <v>53</v>
      </c>
      <c r="U504" t="s">
        <v>44</v>
      </c>
      <c r="V504" t="s">
        <v>45</v>
      </c>
      <c r="W504" t="str">
        <f t="shared" si="35"/>
        <v>22-30</v>
      </c>
      <c r="X504" t="str">
        <f t="shared" si="36"/>
        <v>6-10 yrs</v>
      </c>
      <c r="Y504" t="str">
        <f t="shared" si="37"/>
        <v>Nov</v>
      </c>
      <c r="Z504">
        <f t="shared" si="38"/>
        <v>2025</v>
      </c>
      <c r="AA504">
        <f t="shared" si="39"/>
        <v>0</v>
      </c>
    </row>
    <row r="505" spans="1:27" ht="15" customHeight="1" x14ac:dyDescent="0.3">
      <c r="A505" t="s">
        <v>964</v>
      </c>
      <c r="B505" s="20">
        <v>46002</v>
      </c>
      <c r="C505" t="s">
        <v>965</v>
      </c>
      <c r="D505" t="s">
        <v>35</v>
      </c>
      <c r="E505" s="37">
        <v>31</v>
      </c>
      <c r="F505" t="s">
        <v>49</v>
      </c>
      <c r="G505" t="s">
        <v>50</v>
      </c>
      <c r="H505" t="s">
        <v>59</v>
      </c>
      <c r="I505" t="s">
        <v>39</v>
      </c>
      <c r="J505" t="s">
        <v>88</v>
      </c>
      <c r="K505" s="37">
        <v>23</v>
      </c>
      <c r="L505" t="s">
        <v>52</v>
      </c>
      <c r="M505" s="21">
        <v>32700</v>
      </c>
      <c r="N505" s="21">
        <v>443411</v>
      </c>
      <c r="O505" s="21">
        <v>51012</v>
      </c>
      <c r="P505" s="37">
        <v>2</v>
      </c>
      <c r="Q505" t="s">
        <v>42</v>
      </c>
      <c r="R505" s="37">
        <v>6</v>
      </c>
      <c r="S505" s="37">
        <v>33</v>
      </c>
      <c r="T505" t="s">
        <v>129</v>
      </c>
      <c r="U505" t="s">
        <v>138</v>
      </c>
      <c r="V505" t="s">
        <v>45</v>
      </c>
      <c r="W505" t="str">
        <f t="shared" si="35"/>
        <v>31-40</v>
      </c>
      <c r="X505" t="str">
        <f t="shared" si="36"/>
        <v>21-30 yrs</v>
      </c>
      <c r="Y505" t="str">
        <f t="shared" si="37"/>
        <v>Dec</v>
      </c>
      <c r="Z505">
        <f t="shared" si="38"/>
        <v>2025</v>
      </c>
      <c r="AA505">
        <f t="shared" si="39"/>
        <v>0</v>
      </c>
    </row>
    <row r="506" spans="1:27" ht="15" customHeight="1" x14ac:dyDescent="0.3">
      <c r="A506" t="s">
        <v>966</v>
      </c>
      <c r="B506" s="20">
        <v>45801</v>
      </c>
      <c r="C506" t="s">
        <v>967</v>
      </c>
      <c r="D506" t="s">
        <v>48</v>
      </c>
      <c r="E506" s="37">
        <v>46</v>
      </c>
      <c r="F506" t="s">
        <v>108</v>
      </c>
      <c r="G506" t="s">
        <v>109</v>
      </c>
      <c r="H506" t="s">
        <v>38</v>
      </c>
      <c r="I506" t="s">
        <v>82</v>
      </c>
      <c r="J506" t="s">
        <v>134</v>
      </c>
      <c r="K506" s="37">
        <v>13</v>
      </c>
      <c r="L506" t="s">
        <v>52</v>
      </c>
      <c r="M506" s="21">
        <v>54800</v>
      </c>
      <c r="N506" s="21">
        <v>782544</v>
      </c>
      <c r="O506" s="21">
        <v>124944</v>
      </c>
      <c r="P506" s="37">
        <v>4</v>
      </c>
      <c r="Q506" t="s">
        <v>42</v>
      </c>
      <c r="R506" s="37">
        <v>10</v>
      </c>
      <c r="S506" s="37">
        <v>7</v>
      </c>
      <c r="T506" t="s">
        <v>68</v>
      </c>
      <c r="U506" t="s">
        <v>44</v>
      </c>
      <c r="V506" t="s">
        <v>69</v>
      </c>
      <c r="W506" t="str">
        <f t="shared" si="35"/>
        <v>41-50</v>
      </c>
      <c r="X506" t="str">
        <f t="shared" si="36"/>
        <v>11-20 yrs</v>
      </c>
      <c r="Y506" t="str">
        <f t="shared" si="37"/>
        <v>May</v>
      </c>
      <c r="Z506">
        <f t="shared" si="38"/>
        <v>2025</v>
      </c>
      <c r="AA506">
        <f t="shared" si="39"/>
        <v>0</v>
      </c>
    </row>
    <row r="507" spans="1:27" ht="15" customHeight="1" x14ac:dyDescent="0.3">
      <c r="A507" t="s">
        <v>968</v>
      </c>
      <c r="B507" s="20">
        <v>45786</v>
      </c>
      <c r="C507" t="s">
        <v>969</v>
      </c>
      <c r="D507" t="s">
        <v>35</v>
      </c>
      <c r="E507" s="37">
        <v>58</v>
      </c>
      <c r="F507" t="s">
        <v>123</v>
      </c>
      <c r="G507" t="s">
        <v>124</v>
      </c>
      <c r="H507" t="s">
        <v>38</v>
      </c>
      <c r="I507" t="s">
        <v>39</v>
      </c>
      <c r="J507" t="s">
        <v>40</v>
      </c>
      <c r="K507" s="37">
        <v>15</v>
      </c>
      <c r="L507" t="s">
        <v>52</v>
      </c>
      <c r="M507" s="21">
        <v>29800</v>
      </c>
      <c r="N507" s="21">
        <v>396936</v>
      </c>
      <c r="O507" s="21">
        <v>39336</v>
      </c>
      <c r="P507" s="37">
        <v>3</v>
      </c>
      <c r="Q507" t="s">
        <v>126</v>
      </c>
      <c r="R507" s="37">
        <v>16</v>
      </c>
      <c r="S507" s="37">
        <v>33</v>
      </c>
      <c r="T507" t="s">
        <v>175</v>
      </c>
      <c r="U507" t="s">
        <v>63</v>
      </c>
      <c r="V507" t="s">
        <v>45</v>
      </c>
      <c r="W507" t="str">
        <f t="shared" si="35"/>
        <v>51-58</v>
      </c>
      <c r="X507" t="str">
        <f t="shared" si="36"/>
        <v>11-20 yrs</v>
      </c>
      <c r="Y507" t="str">
        <f t="shared" si="37"/>
        <v>May</v>
      </c>
      <c r="Z507">
        <f t="shared" si="38"/>
        <v>2025</v>
      </c>
      <c r="AA507">
        <f t="shared" si="39"/>
        <v>1</v>
      </c>
    </row>
    <row r="508" spans="1:27" ht="15" customHeight="1" x14ac:dyDescent="0.3">
      <c r="A508" t="s">
        <v>970</v>
      </c>
      <c r="B508" s="20">
        <v>45791</v>
      </c>
      <c r="C508" t="s">
        <v>518</v>
      </c>
      <c r="D508" t="s">
        <v>48</v>
      </c>
      <c r="E508" s="37">
        <v>57</v>
      </c>
      <c r="F508" t="s">
        <v>123</v>
      </c>
      <c r="G508" t="s">
        <v>124</v>
      </c>
      <c r="H508" t="s">
        <v>74</v>
      </c>
      <c r="I508" t="s">
        <v>82</v>
      </c>
      <c r="J508" t="s">
        <v>83</v>
      </c>
      <c r="K508" s="37">
        <v>23</v>
      </c>
      <c r="L508" t="s">
        <v>52</v>
      </c>
      <c r="M508" s="21">
        <v>73200</v>
      </c>
      <c r="N508" s="21">
        <v>1010159</v>
      </c>
      <c r="O508" s="21">
        <v>131760</v>
      </c>
      <c r="P508" s="37">
        <v>4</v>
      </c>
      <c r="Q508" t="s">
        <v>42</v>
      </c>
      <c r="R508" s="37">
        <v>6</v>
      </c>
      <c r="S508" s="37">
        <v>35</v>
      </c>
      <c r="T508" t="s">
        <v>77</v>
      </c>
      <c r="U508" t="s">
        <v>63</v>
      </c>
      <c r="V508" t="s">
        <v>45</v>
      </c>
      <c r="W508" t="str">
        <f t="shared" si="35"/>
        <v>51-58</v>
      </c>
      <c r="X508" t="str">
        <f t="shared" si="36"/>
        <v>21-30 yrs</v>
      </c>
      <c r="Y508" t="str">
        <f t="shared" si="37"/>
        <v>May</v>
      </c>
      <c r="Z508">
        <f t="shared" si="38"/>
        <v>2025</v>
      </c>
      <c r="AA508">
        <f t="shared" si="39"/>
        <v>0</v>
      </c>
    </row>
    <row r="509" spans="1:27" ht="15" customHeight="1" x14ac:dyDescent="0.3">
      <c r="A509" t="s">
        <v>971</v>
      </c>
      <c r="B509" s="20">
        <v>45819</v>
      </c>
      <c r="C509" t="s">
        <v>972</v>
      </c>
      <c r="D509" t="s">
        <v>35</v>
      </c>
      <c r="E509" s="37">
        <v>33</v>
      </c>
      <c r="F509" t="s">
        <v>97</v>
      </c>
      <c r="G509" t="s">
        <v>98</v>
      </c>
      <c r="H509" t="s">
        <v>118</v>
      </c>
      <c r="I509" t="s">
        <v>51</v>
      </c>
      <c r="J509" t="s">
        <v>219</v>
      </c>
      <c r="K509" s="37">
        <v>2</v>
      </c>
      <c r="L509" t="s">
        <v>52</v>
      </c>
      <c r="M509" s="21">
        <v>217100</v>
      </c>
      <c r="N509" s="21">
        <v>2865720</v>
      </c>
      <c r="O509" s="21">
        <v>260520</v>
      </c>
      <c r="P509" s="37">
        <v>4</v>
      </c>
      <c r="Q509" t="s">
        <v>42</v>
      </c>
      <c r="R509" s="37">
        <v>12</v>
      </c>
      <c r="S509" s="37">
        <v>34</v>
      </c>
      <c r="T509" t="s">
        <v>53</v>
      </c>
      <c r="U509" t="s">
        <v>63</v>
      </c>
      <c r="V509" t="s">
        <v>69</v>
      </c>
      <c r="W509" t="str">
        <f t="shared" si="35"/>
        <v>31-40</v>
      </c>
      <c r="X509" t="str">
        <f t="shared" si="36"/>
        <v>0-5 yrs</v>
      </c>
      <c r="Y509" t="str">
        <f t="shared" si="37"/>
        <v>Jun</v>
      </c>
      <c r="Z509">
        <f t="shared" si="38"/>
        <v>2025</v>
      </c>
      <c r="AA509">
        <f t="shared" si="39"/>
        <v>0</v>
      </c>
    </row>
    <row r="510" spans="1:27" ht="15" customHeight="1" x14ac:dyDescent="0.3">
      <c r="A510" t="s">
        <v>973</v>
      </c>
      <c r="B510" s="20">
        <v>45791</v>
      </c>
      <c r="C510" t="s">
        <v>974</v>
      </c>
      <c r="D510" t="s">
        <v>48</v>
      </c>
      <c r="E510" s="37">
        <v>27</v>
      </c>
      <c r="F510" t="s">
        <v>91</v>
      </c>
      <c r="G510" t="s">
        <v>92</v>
      </c>
      <c r="H510" t="s">
        <v>38</v>
      </c>
      <c r="I510" t="s">
        <v>39</v>
      </c>
      <c r="J510" t="s">
        <v>110</v>
      </c>
      <c r="K510" s="37">
        <v>27</v>
      </c>
      <c r="L510" t="s">
        <v>52</v>
      </c>
      <c r="M510" s="21">
        <v>30500</v>
      </c>
      <c r="N510" s="21">
        <v>428220</v>
      </c>
      <c r="O510" s="21">
        <v>62220</v>
      </c>
      <c r="P510" s="37">
        <v>3</v>
      </c>
      <c r="Q510" t="s">
        <v>42</v>
      </c>
      <c r="R510" s="37">
        <v>20</v>
      </c>
      <c r="S510" s="37">
        <v>12</v>
      </c>
      <c r="T510" t="s">
        <v>43</v>
      </c>
      <c r="U510" t="s">
        <v>63</v>
      </c>
      <c r="V510" t="s">
        <v>45</v>
      </c>
      <c r="W510" t="str">
        <f t="shared" si="35"/>
        <v>22-30</v>
      </c>
      <c r="X510" t="str">
        <f t="shared" si="36"/>
        <v>21-30 yrs</v>
      </c>
      <c r="Y510" t="str">
        <f t="shared" si="37"/>
        <v>May</v>
      </c>
      <c r="Z510">
        <f t="shared" si="38"/>
        <v>2025</v>
      </c>
      <c r="AA510">
        <f t="shared" si="39"/>
        <v>0</v>
      </c>
    </row>
    <row r="511" spans="1:27" ht="15" customHeight="1" x14ac:dyDescent="0.3">
      <c r="A511" t="s">
        <v>975</v>
      </c>
      <c r="B511" s="20">
        <v>45676</v>
      </c>
      <c r="C511" t="s">
        <v>148</v>
      </c>
      <c r="D511" t="s">
        <v>48</v>
      </c>
      <c r="E511" s="37">
        <v>42</v>
      </c>
      <c r="F511" t="s">
        <v>91</v>
      </c>
      <c r="G511" t="s">
        <v>92</v>
      </c>
      <c r="H511" t="s">
        <v>74</v>
      </c>
      <c r="I511" t="s">
        <v>82</v>
      </c>
      <c r="J511" t="s">
        <v>115</v>
      </c>
      <c r="K511" s="37">
        <v>28</v>
      </c>
      <c r="L511" t="s">
        <v>52</v>
      </c>
      <c r="M511" s="21">
        <v>58200</v>
      </c>
      <c r="N511" s="21">
        <v>761256</v>
      </c>
      <c r="O511" s="21">
        <v>62856</v>
      </c>
      <c r="P511" s="37">
        <v>3</v>
      </c>
      <c r="Q511" t="s">
        <v>42</v>
      </c>
      <c r="R511" s="37">
        <v>5</v>
      </c>
      <c r="S511" s="37">
        <v>22</v>
      </c>
      <c r="T511" t="s">
        <v>105</v>
      </c>
      <c r="U511" t="s">
        <v>44</v>
      </c>
      <c r="V511" t="s">
        <v>69</v>
      </c>
      <c r="W511" t="str">
        <f t="shared" si="35"/>
        <v>41-50</v>
      </c>
      <c r="X511" t="str">
        <f t="shared" si="36"/>
        <v>21-30 yrs</v>
      </c>
      <c r="Y511" t="str">
        <f t="shared" si="37"/>
        <v>Jan</v>
      </c>
      <c r="Z511">
        <f t="shared" si="38"/>
        <v>2025</v>
      </c>
      <c r="AA511">
        <f t="shared" si="39"/>
        <v>0</v>
      </c>
    </row>
    <row r="512" spans="1:27" ht="15" customHeight="1" x14ac:dyDescent="0.3">
      <c r="A512" t="s">
        <v>976</v>
      </c>
      <c r="B512" s="20">
        <v>45939</v>
      </c>
      <c r="C512" t="s">
        <v>977</v>
      </c>
      <c r="D512" t="s">
        <v>35</v>
      </c>
      <c r="E512" s="37">
        <v>35</v>
      </c>
      <c r="F512" t="s">
        <v>86</v>
      </c>
      <c r="G512" t="s">
        <v>87</v>
      </c>
      <c r="H512" t="s">
        <v>66</v>
      </c>
      <c r="I512" t="s">
        <v>82</v>
      </c>
      <c r="J512" t="s">
        <v>67</v>
      </c>
      <c r="K512" s="37">
        <v>23</v>
      </c>
      <c r="L512" t="s">
        <v>52</v>
      </c>
      <c r="M512" s="21">
        <v>61100</v>
      </c>
      <c r="N512" s="21">
        <v>828515</v>
      </c>
      <c r="O512" s="21">
        <v>95316</v>
      </c>
      <c r="P512" s="37">
        <v>1</v>
      </c>
      <c r="Q512" t="s">
        <v>126</v>
      </c>
      <c r="R512" s="37">
        <v>3</v>
      </c>
      <c r="S512" s="37">
        <v>37</v>
      </c>
      <c r="T512" t="s">
        <v>146</v>
      </c>
      <c r="U512" t="s">
        <v>63</v>
      </c>
      <c r="V512" t="s">
        <v>69</v>
      </c>
      <c r="W512" t="str">
        <f t="shared" si="35"/>
        <v>31-40</v>
      </c>
      <c r="X512" t="str">
        <f t="shared" si="36"/>
        <v>21-30 yrs</v>
      </c>
      <c r="Y512" t="str">
        <f t="shared" si="37"/>
        <v>Oct</v>
      </c>
      <c r="Z512">
        <f t="shared" si="38"/>
        <v>2025</v>
      </c>
      <c r="AA512">
        <f t="shared" si="39"/>
        <v>1</v>
      </c>
    </row>
    <row r="513" spans="1:27" ht="15" customHeight="1" x14ac:dyDescent="0.3">
      <c r="A513" t="s">
        <v>978</v>
      </c>
      <c r="B513" s="20">
        <v>45804</v>
      </c>
      <c r="C513" t="s">
        <v>376</v>
      </c>
      <c r="D513" t="s">
        <v>48</v>
      </c>
      <c r="E513" s="37">
        <v>57</v>
      </c>
      <c r="F513" t="s">
        <v>86</v>
      </c>
      <c r="G513" t="s">
        <v>87</v>
      </c>
      <c r="H513" t="s">
        <v>66</v>
      </c>
      <c r="I513" t="s">
        <v>82</v>
      </c>
      <c r="J513" t="s">
        <v>93</v>
      </c>
      <c r="K513" s="37">
        <v>0</v>
      </c>
      <c r="L513" t="s">
        <v>52</v>
      </c>
      <c r="M513" s="21">
        <v>77700</v>
      </c>
      <c r="N513" s="21">
        <v>1109556</v>
      </c>
      <c r="O513" s="21">
        <v>177156</v>
      </c>
      <c r="P513" s="37">
        <v>5</v>
      </c>
      <c r="Q513" t="s">
        <v>42</v>
      </c>
      <c r="R513" s="37">
        <v>15</v>
      </c>
      <c r="S513" s="37">
        <v>11</v>
      </c>
      <c r="T513" t="s">
        <v>53</v>
      </c>
      <c r="U513" t="s">
        <v>44</v>
      </c>
      <c r="V513" t="s">
        <v>45</v>
      </c>
      <c r="W513" t="str">
        <f t="shared" si="35"/>
        <v>51-58</v>
      </c>
      <c r="X513" t="str">
        <f t="shared" si="36"/>
        <v>0-5 yrs</v>
      </c>
      <c r="Y513" t="str">
        <f t="shared" si="37"/>
        <v>May</v>
      </c>
      <c r="Z513">
        <f t="shared" si="38"/>
        <v>2025</v>
      </c>
      <c r="AA513">
        <f t="shared" si="39"/>
        <v>0</v>
      </c>
    </row>
    <row r="514" spans="1:27" ht="15" customHeight="1" x14ac:dyDescent="0.3">
      <c r="A514" t="s">
        <v>979</v>
      </c>
      <c r="B514" s="20">
        <v>45693</v>
      </c>
      <c r="C514" t="s">
        <v>292</v>
      </c>
      <c r="D514" t="s">
        <v>35</v>
      </c>
      <c r="E514" s="37">
        <v>33</v>
      </c>
      <c r="F514" t="s">
        <v>97</v>
      </c>
      <c r="G514" t="s">
        <v>98</v>
      </c>
      <c r="H514" t="s">
        <v>38</v>
      </c>
      <c r="I514" t="s">
        <v>82</v>
      </c>
      <c r="J514" t="s">
        <v>190</v>
      </c>
      <c r="K514" s="37">
        <v>5</v>
      </c>
      <c r="L514" t="s">
        <v>52</v>
      </c>
      <c r="M514" s="21">
        <v>58900</v>
      </c>
      <c r="N514" s="21">
        <v>841092</v>
      </c>
      <c r="O514" s="21">
        <v>134292</v>
      </c>
      <c r="P514" s="37">
        <v>4</v>
      </c>
      <c r="Q514" t="s">
        <v>42</v>
      </c>
      <c r="R514" s="37">
        <v>16</v>
      </c>
      <c r="S514" s="37">
        <v>7</v>
      </c>
      <c r="T514" t="s">
        <v>53</v>
      </c>
      <c r="U514" t="s">
        <v>44</v>
      </c>
      <c r="V514" t="s">
        <v>45</v>
      </c>
      <c r="W514" t="str">
        <f t="shared" ref="W514:W577" si="40">IF(E514&lt;=30,"22-30",IF(E514&lt;=40,"31-40",IF(E514&lt;=50,"41-50","51-58")))</f>
        <v>31-40</v>
      </c>
      <c r="X514" t="str">
        <f t="shared" ref="X514:X577" si="41">IF(K514&lt;=5,"0-5 yrs",IF(K514&lt;=10,"6-10 yrs",IF(K514&lt;=20,"11-20 yrs","21-30 yrs")))</f>
        <v>0-5 yrs</v>
      </c>
      <c r="Y514" t="str">
        <f t="shared" ref="Y514:Y577" si="42">TEXT(B514,"mmm")</f>
        <v>Feb</v>
      </c>
      <c r="Z514">
        <f t="shared" ref="Z514:Z577" si="43">YEAR(B514)</f>
        <v>2025</v>
      </c>
      <c r="AA514">
        <f t="shared" ref="AA514:AA577" si="44">IF(Q514="Yes",1,0)</f>
        <v>0</v>
      </c>
    </row>
    <row r="515" spans="1:27" ht="15" customHeight="1" x14ac:dyDescent="0.3">
      <c r="A515" t="s">
        <v>980</v>
      </c>
      <c r="B515" s="20">
        <v>45986</v>
      </c>
      <c r="C515" t="s">
        <v>981</v>
      </c>
      <c r="D515" t="s">
        <v>35</v>
      </c>
      <c r="E515" s="37">
        <v>27</v>
      </c>
      <c r="F515" t="s">
        <v>80</v>
      </c>
      <c r="G515" t="s">
        <v>81</v>
      </c>
      <c r="H515" t="s">
        <v>38</v>
      </c>
      <c r="I515" t="s">
        <v>82</v>
      </c>
      <c r="J515" t="s">
        <v>99</v>
      </c>
      <c r="K515" s="37">
        <v>10</v>
      </c>
      <c r="L515" t="s">
        <v>52</v>
      </c>
      <c r="M515" s="21">
        <v>49700</v>
      </c>
      <c r="N515" s="21">
        <v>662004</v>
      </c>
      <c r="O515" s="21">
        <v>65604</v>
      </c>
      <c r="P515" s="37">
        <v>4</v>
      </c>
      <c r="Q515" t="s">
        <v>42</v>
      </c>
      <c r="R515" s="37">
        <v>5</v>
      </c>
      <c r="S515" s="37">
        <v>1</v>
      </c>
      <c r="T515" t="s">
        <v>43</v>
      </c>
      <c r="U515" t="s">
        <v>63</v>
      </c>
      <c r="V515" t="s">
        <v>45</v>
      </c>
      <c r="W515" t="str">
        <f t="shared" si="40"/>
        <v>22-30</v>
      </c>
      <c r="X515" t="str">
        <f t="shared" si="41"/>
        <v>6-10 yrs</v>
      </c>
      <c r="Y515" t="str">
        <f t="shared" si="42"/>
        <v>Nov</v>
      </c>
      <c r="Z515">
        <f t="shared" si="43"/>
        <v>2025</v>
      </c>
      <c r="AA515">
        <f t="shared" si="44"/>
        <v>0</v>
      </c>
    </row>
    <row r="516" spans="1:27" ht="15" customHeight="1" x14ac:dyDescent="0.3">
      <c r="A516" t="s">
        <v>982</v>
      </c>
      <c r="B516" s="20">
        <v>45857</v>
      </c>
      <c r="C516" t="s">
        <v>983</v>
      </c>
      <c r="D516" t="s">
        <v>35</v>
      </c>
      <c r="E516" s="37">
        <v>48</v>
      </c>
      <c r="F516" t="s">
        <v>123</v>
      </c>
      <c r="G516" t="s">
        <v>124</v>
      </c>
      <c r="H516" t="s">
        <v>118</v>
      </c>
      <c r="I516" t="s">
        <v>82</v>
      </c>
      <c r="J516" t="s">
        <v>182</v>
      </c>
      <c r="K516" s="37">
        <v>15</v>
      </c>
      <c r="L516" t="s">
        <v>52</v>
      </c>
      <c r="M516" s="21">
        <v>49100</v>
      </c>
      <c r="N516" s="21">
        <v>689364</v>
      </c>
      <c r="O516" s="21">
        <v>100164</v>
      </c>
      <c r="P516" s="37">
        <v>3</v>
      </c>
      <c r="Q516" t="s">
        <v>42</v>
      </c>
      <c r="R516" s="37">
        <v>8</v>
      </c>
      <c r="S516" s="37">
        <v>21</v>
      </c>
      <c r="T516" t="s">
        <v>77</v>
      </c>
      <c r="U516" t="s">
        <v>63</v>
      </c>
      <c r="V516" t="s">
        <v>69</v>
      </c>
      <c r="W516" t="str">
        <f t="shared" si="40"/>
        <v>41-50</v>
      </c>
      <c r="X516" t="str">
        <f t="shared" si="41"/>
        <v>11-20 yrs</v>
      </c>
      <c r="Y516" t="str">
        <f t="shared" si="42"/>
        <v>Jul</v>
      </c>
      <c r="Z516">
        <f t="shared" si="43"/>
        <v>2025</v>
      </c>
      <c r="AA516">
        <f t="shared" si="44"/>
        <v>0</v>
      </c>
    </row>
    <row r="517" spans="1:27" ht="15" customHeight="1" x14ac:dyDescent="0.3">
      <c r="A517" t="s">
        <v>984</v>
      </c>
      <c r="B517" s="20">
        <v>45839</v>
      </c>
      <c r="C517" t="s">
        <v>985</v>
      </c>
      <c r="D517" t="s">
        <v>35</v>
      </c>
      <c r="E517" s="37">
        <v>23</v>
      </c>
      <c r="F517" t="s">
        <v>36</v>
      </c>
      <c r="G517" t="s">
        <v>37</v>
      </c>
      <c r="H517" t="s">
        <v>74</v>
      </c>
      <c r="I517" t="s">
        <v>82</v>
      </c>
      <c r="J517" t="s">
        <v>367</v>
      </c>
      <c r="K517" s="37">
        <v>14</v>
      </c>
      <c r="L517" t="s">
        <v>52</v>
      </c>
      <c r="M517" s="21">
        <v>68900</v>
      </c>
      <c r="N517" s="21">
        <v>926016</v>
      </c>
      <c r="O517" s="21">
        <v>99216</v>
      </c>
      <c r="P517" s="37">
        <v>4</v>
      </c>
      <c r="Q517" t="s">
        <v>42</v>
      </c>
      <c r="R517" s="37">
        <v>17</v>
      </c>
      <c r="S517" s="37">
        <v>35</v>
      </c>
      <c r="T517" t="s">
        <v>68</v>
      </c>
      <c r="U517" t="s">
        <v>44</v>
      </c>
      <c r="V517" t="s">
        <v>45</v>
      </c>
      <c r="W517" t="str">
        <f t="shared" si="40"/>
        <v>22-30</v>
      </c>
      <c r="X517" t="str">
        <f t="shared" si="41"/>
        <v>11-20 yrs</v>
      </c>
      <c r="Y517" t="str">
        <f t="shared" si="42"/>
        <v>Jul</v>
      </c>
      <c r="Z517">
        <f t="shared" si="43"/>
        <v>2025</v>
      </c>
      <c r="AA517">
        <f t="shared" si="44"/>
        <v>0</v>
      </c>
    </row>
    <row r="518" spans="1:27" ht="15" customHeight="1" x14ac:dyDescent="0.3">
      <c r="A518" t="s">
        <v>986</v>
      </c>
      <c r="B518" s="20">
        <v>45726</v>
      </c>
      <c r="C518" t="s">
        <v>803</v>
      </c>
      <c r="D518" t="s">
        <v>48</v>
      </c>
      <c r="E518" s="37">
        <v>28</v>
      </c>
      <c r="F518" t="s">
        <v>72</v>
      </c>
      <c r="G518" t="s">
        <v>73</v>
      </c>
      <c r="H518" t="s">
        <v>74</v>
      </c>
      <c r="I518" t="s">
        <v>75</v>
      </c>
      <c r="J518" t="s">
        <v>367</v>
      </c>
      <c r="K518" s="37">
        <v>6</v>
      </c>
      <c r="L518" t="s">
        <v>52</v>
      </c>
      <c r="M518" s="21">
        <v>99300</v>
      </c>
      <c r="N518" s="21">
        <v>1382256</v>
      </c>
      <c r="O518" s="21">
        <v>190656</v>
      </c>
      <c r="P518" s="37">
        <v>2</v>
      </c>
      <c r="Q518" t="s">
        <v>42</v>
      </c>
      <c r="R518" s="37">
        <v>6</v>
      </c>
      <c r="S518" s="37">
        <v>26</v>
      </c>
      <c r="T518" t="s">
        <v>43</v>
      </c>
      <c r="U518" t="s">
        <v>63</v>
      </c>
      <c r="V518" t="s">
        <v>45</v>
      </c>
      <c r="W518" t="str">
        <f t="shared" si="40"/>
        <v>22-30</v>
      </c>
      <c r="X518" t="str">
        <f t="shared" si="41"/>
        <v>6-10 yrs</v>
      </c>
      <c r="Y518" t="str">
        <f t="shared" si="42"/>
        <v>Mar</v>
      </c>
      <c r="Z518">
        <f t="shared" si="43"/>
        <v>2025</v>
      </c>
      <c r="AA518">
        <f t="shared" si="44"/>
        <v>0</v>
      </c>
    </row>
    <row r="519" spans="1:27" ht="15" customHeight="1" x14ac:dyDescent="0.3">
      <c r="A519" t="s">
        <v>987</v>
      </c>
      <c r="B519" s="20">
        <v>45821</v>
      </c>
      <c r="C519" t="s">
        <v>988</v>
      </c>
      <c r="D519" t="s">
        <v>35</v>
      </c>
      <c r="E519" s="37">
        <v>52</v>
      </c>
      <c r="F519" t="s">
        <v>49</v>
      </c>
      <c r="G519" t="s">
        <v>50</v>
      </c>
      <c r="H519" t="s">
        <v>38</v>
      </c>
      <c r="I519" t="s">
        <v>39</v>
      </c>
      <c r="J519" t="s">
        <v>99</v>
      </c>
      <c r="K519" s="37">
        <v>20</v>
      </c>
      <c r="L519" t="s">
        <v>52</v>
      </c>
      <c r="M519" s="21">
        <v>38100</v>
      </c>
      <c r="N519" s="21">
        <v>484632</v>
      </c>
      <c r="O519" s="21">
        <v>27432</v>
      </c>
      <c r="P519" s="37">
        <v>4</v>
      </c>
      <c r="Q519" t="s">
        <v>126</v>
      </c>
      <c r="R519" s="37">
        <v>16</v>
      </c>
      <c r="S519" s="37">
        <v>6</v>
      </c>
      <c r="T519" t="s">
        <v>105</v>
      </c>
      <c r="U519" t="s">
        <v>63</v>
      </c>
      <c r="V519" t="s">
        <v>69</v>
      </c>
      <c r="W519" t="str">
        <f t="shared" si="40"/>
        <v>51-58</v>
      </c>
      <c r="X519" t="str">
        <f t="shared" si="41"/>
        <v>11-20 yrs</v>
      </c>
      <c r="Y519" t="str">
        <f t="shared" si="42"/>
        <v>Jun</v>
      </c>
      <c r="Z519">
        <f t="shared" si="43"/>
        <v>2025</v>
      </c>
      <c r="AA519">
        <f t="shared" si="44"/>
        <v>1</v>
      </c>
    </row>
    <row r="520" spans="1:27" ht="15" customHeight="1" x14ac:dyDescent="0.3">
      <c r="A520" t="s">
        <v>989</v>
      </c>
      <c r="B520" s="20">
        <v>45797</v>
      </c>
      <c r="C520" t="s">
        <v>947</v>
      </c>
      <c r="D520" t="s">
        <v>35</v>
      </c>
      <c r="E520" s="37">
        <v>53</v>
      </c>
      <c r="F520" t="s">
        <v>108</v>
      </c>
      <c r="G520" t="s">
        <v>109</v>
      </c>
      <c r="H520" t="s">
        <v>118</v>
      </c>
      <c r="I520" t="s">
        <v>39</v>
      </c>
      <c r="J520" t="s">
        <v>137</v>
      </c>
      <c r="K520" s="37">
        <v>26</v>
      </c>
      <c r="L520" t="s">
        <v>52</v>
      </c>
      <c r="M520" s="21">
        <v>35600</v>
      </c>
      <c r="N520" s="21">
        <v>452832</v>
      </c>
      <c r="O520" s="21">
        <v>25632</v>
      </c>
      <c r="P520" s="37">
        <v>3</v>
      </c>
      <c r="Q520" t="s">
        <v>42</v>
      </c>
      <c r="R520" s="37">
        <v>10</v>
      </c>
      <c r="S520" s="37">
        <v>10</v>
      </c>
      <c r="T520" t="s">
        <v>43</v>
      </c>
      <c r="U520" t="s">
        <v>44</v>
      </c>
      <c r="V520" t="s">
        <v>69</v>
      </c>
      <c r="W520" t="str">
        <f t="shared" si="40"/>
        <v>51-58</v>
      </c>
      <c r="X520" t="str">
        <f t="shared" si="41"/>
        <v>21-30 yrs</v>
      </c>
      <c r="Y520" t="str">
        <f t="shared" si="42"/>
        <v>May</v>
      </c>
      <c r="Z520">
        <f t="shared" si="43"/>
        <v>2025</v>
      </c>
      <c r="AA520">
        <f t="shared" si="44"/>
        <v>0</v>
      </c>
    </row>
    <row r="521" spans="1:27" ht="15" customHeight="1" x14ac:dyDescent="0.3">
      <c r="A521" t="s">
        <v>990</v>
      </c>
      <c r="B521" s="20">
        <v>45879</v>
      </c>
      <c r="C521" t="s">
        <v>101</v>
      </c>
      <c r="D521" t="s">
        <v>35</v>
      </c>
      <c r="E521" s="37">
        <v>27</v>
      </c>
      <c r="F521" t="s">
        <v>86</v>
      </c>
      <c r="G521" t="s">
        <v>87</v>
      </c>
      <c r="H521" t="s">
        <v>74</v>
      </c>
      <c r="I521" t="s">
        <v>39</v>
      </c>
      <c r="J521" t="s">
        <v>115</v>
      </c>
      <c r="K521" s="37">
        <v>12</v>
      </c>
      <c r="L521" t="s">
        <v>52</v>
      </c>
      <c r="M521" s="21">
        <v>46800</v>
      </c>
      <c r="N521" s="21">
        <v>651456</v>
      </c>
      <c r="O521" s="21">
        <v>89856</v>
      </c>
      <c r="P521" s="37">
        <v>3</v>
      </c>
      <c r="Q521" t="s">
        <v>42</v>
      </c>
      <c r="R521" s="37">
        <v>3</v>
      </c>
      <c r="S521" s="37">
        <v>7</v>
      </c>
      <c r="T521" t="s">
        <v>77</v>
      </c>
      <c r="U521" t="s">
        <v>44</v>
      </c>
      <c r="V521" t="s">
        <v>69</v>
      </c>
      <c r="W521" t="str">
        <f t="shared" si="40"/>
        <v>22-30</v>
      </c>
      <c r="X521" t="str">
        <f t="shared" si="41"/>
        <v>11-20 yrs</v>
      </c>
      <c r="Y521" t="str">
        <f t="shared" si="42"/>
        <v>Aug</v>
      </c>
      <c r="Z521">
        <f t="shared" si="43"/>
        <v>2025</v>
      </c>
      <c r="AA521">
        <f t="shared" si="44"/>
        <v>0</v>
      </c>
    </row>
    <row r="522" spans="1:27" ht="15" customHeight="1" x14ac:dyDescent="0.3">
      <c r="A522" t="s">
        <v>991</v>
      </c>
      <c r="B522" s="20">
        <v>45680</v>
      </c>
      <c r="C522" t="s">
        <v>992</v>
      </c>
      <c r="D522" t="s">
        <v>35</v>
      </c>
      <c r="E522" s="37">
        <v>52</v>
      </c>
      <c r="F522" t="s">
        <v>86</v>
      </c>
      <c r="G522" t="s">
        <v>87</v>
      </c>
      <c r="H522" t="s">
        <v>59</v>
      </c>
      <c r="I522" t="s">
        <v>39</v>
      </c>
      <c r="J522" t="s">
        <v>104</v>
      </c>
      <c r="K522" s="37">
        <v>3</v>
      </c>
      <c r="L522" t="s">
        <v>52</v>
      </c>
      <c r="M522" s="21">
        <v>37800</v>
      </c>
      <c r="N522" s="21">
        <v>539784</v>
      </c>
      <c r="O522" s="21">
        <v>86184</v>
      </c>
      <c r="P522" s="37">
        <v>5</v>
      </c>
      <c r="Q522" t="s">
        <v>42</v>
      </c>
      <c r="R522" s="37">
        <v>12</v>
      </c>
      <c r="S522" s="37">
        <v>22</v>
      </c>
      <c r="T522" t="s">
        <v>43</v>
      </c>
      <c r="U522" t="s">
        <v>63</v>
      </c>
      <c r="V522" t="s">
        <v>69</v>
      </c>
      <c r="W522" t="str">
        <f t="shared" si="40"/>
        <v>51-58</v>
      </c>
      <c r="X522" t="str">
        <f t="shared" si="41"/>
        <v>0-5 yrs</v>
      </c>
      <c r="Y522" t="str">
        <f t="shared" si="42"/>
        <v>Jan</v>
      </c>
      <c r="Z522">
        <f t="shared" si="43"/>
        <v>2025</v>
      </c>
      <c r="AA522">
        <f t="shared" si="44"/>
        <v>0</v>
      </c>
    </row>
    <row r="523" spans="1:27" ht="15" customHeight="1" x14ac:dyDescent="0.3">
      <c r="A523" t="s">
        <v>993</v>
      </c>
      <c r="B523" s="20">
        <v>45767</v>
      </c>
      <c r="C523" t="s">
        <v>994</v>
      </c>
      <c r="D523" t="s">
        <v>35</v>
      </c>
      <c r="E523" s="37">
        <v>26</v>
      </c>
      <c r="F523" t="s">
        <v>57</v>
      </c>
      <c r="G523" t="s">
        <v>58</v>
      </c>
      <c r="H523" t="s">
        <v>118</v>
      </c>
      <c r="I523" t="s">
        <v>39</v>
      </c>
      <c r="J523" t="s">
        <v>219</v>
      </c>
      <c r="K523" s="37">
        <v>25</v>
      </c>
      <c r="L523" t="s">
        <v>52</v>
      </c>
      <c r="M523" s="21">
        <v>32100</v>
      </c>
      <c r="N523" s="21">
        <v>439128</v>
      </c>
      <c r="O523" s="21">
        <v>53928</v>
      </c>
      <c r="P523" s="37">
        <v>4</v>
      </c>
      <c r="Q523" t="s">
        <v>42</v>
      </c>
      <c r="R523" s="37">
        <v>14</v>
      </c>
      <c r="S523" s="37">
        <v>16</v>
      </c>
      <c r="T523" t="s">
        <v>94</v>
      </c>
      <c r="U523" t="s">
        <v>44</v>
      </c>
      <c r="V523" t="s">
        <v>45</v>
      </c>
      <c r="W523" t="str">
        <f t="shared" si="40"/>
        <v>22-30</v>
      </c>
      <c r="X523" t="str">
        <f t="shared" si="41"/>
        <v>21-30 yrs</v>
      </c>
      <c r="Y523" t="str">
        <f t="shared" si="42"/>
        <v>Apr</v>
      </c>
      <c r="Z523">
        <f t="shared" si="43"/>
        <v>2025</v>
      </c>
      <c r="AA523">
        <f t="shared" si="44"/>
        <v>0</v>
      </c>
    </row>
    <row r="524" spans="1:27" ht="15" customHeight="1" x14ac:dyDescent="0.3">
      <c r="A524" t="s">
        <v>995</v>
      </c>
      <c r="B524" s="20">
        <v>45663</v>
      </c>
      <c r="C524" t="s">
        <v>136</v>
      </c>
      <c r="D524" t="s">
        <v>35</v>
      </c>
      <c r="E524" s="37">
        <v>27</v>
      </c>
      <c r="F524" t="s">
        <v>36</v>
      </c>
      <c r="G524" t="s">
        <v>37</v>
      </c>
      <c r="H524" t="s">
        <v>59</v>
      </c>
      <c r="I524" t="s">
        <v>39</v>
      </c>
      <c r="J524" t="s">
        <v>61</v>
      </c>
      <c r="K524" s="37">
        <v>6</v>
      </c>
      <c r="L524" t="s">
        <v>52</v>
      </c>
      <c r="M524" s="21">
        <v>35200</v>
      </c>
      <c r="N524" s="21">
        <v>447744</v>
      </c>
      <c r="O524" s="21">
        <v>25344</v>
      </c>
      <c r="P524" s="37">
        <v>5</v>
      </c>
      <c r="Q524" t="s">
        <v>42</v>
      </c>
      <c r="R524" s="37">
        <v>16</v>
      </c>
      <c r="S524" s="37">
        <v>36</v>
      </c>
      <c r="T524" t="s">
        <v>43</v>
      </c>
      <c r="U524" t="s">
        <v>44</v>
      </c>
      <c r="V524" t="s">
        <v>69</v>
      </c>
      <c r="W524" t="str">
        <f t="shared" si="40"/>
        <v>22-30</v>
      </c>
      <c r="X524" t="str">
        <f t="shared" si="41"/>
        <v>6-10 yrs</v>
      </c>
      <c r="Y524" t="str">
        <f t="shared" si="42"/>
        <v>Jan</v>
      </c>
      <c r="Z524">
        <f t="shared" si="43"/>
        <v>2025</v>
      </c>
      <c r="AA524">
        <f t="shared" si="44"/>
        <v>0</v>
      </c>
    </row>
    <row r="525" spans="1:27" ht="15" customHeight="1" x14ac:dyDescent="0.3">
      <c r="A525" t="s">
        <v>996</v>
      </c>
      <c r="B525" s="20">
        <v>46003</v>
      </c>
      <c r="C525" t="s">
        <v>974</v>
      </c>
      <c r="D525" t="s">
        <v>48</v>
      </c>
      <c r="E525" s="37">
        <v>34</v>
      </c>
      <c r="F525" t="s">
        <v>86</v>
      </c>
      <c r="G525" t="s">
        <v>87</v>
      </c>
      <c r="H525" t="s">
        <v>59</v>
      </c>
      <c r="I525" t="s">
        <v>75</v>
      </c>
      <c r="J525" t="s">
        <v>61</v>
      </c>
      <c r="K525" s="37">
        <v>19</v>
      </c>
      <c r="L525" t="s">
        <v>52</v>
      </c>
      <c r="M525" s="21">
        <v>89000</v>
      </c>
      <c r="N525" s="21">
        <v>1206840</v>
      </c>
      <c r="O525" s="21">
        <v>138840</v>
      </c>
      <c r="P525" s="37">
        <v>3</v>
      </c>
      <c r="Q525" t="s">
        <v>42</v>
      </c>
      <c r="R525" s="37">
        <v>11</v>
      </c>
      <c r="S525" s="37">
        <v>38</v>
      </c>
      <c r="T525" t="s">
        <v>43</v>
      </c>
      <c r="U525" t="s">
        <v>44</v>
      </c>
      <c r="V525" t="s">
        <v>69</v>
      </c>
      <c r="W525" t="str">
        <f t="shared" si="40"/>
        <v>31-40</v>
      </c>
      <c r="X525" t="str">
        <f t="shared" si="41"/>
        <v>11-20 yrs</v>
      </c>
      <c r="Y525" t="str">
        <f t="shared" si="42"/>
        <v>Dec</v>
      </c>
      <c r="Z525">
        <f t="shared" si="43"/>
        <v>2025</v>
      </c>
      <c r="AA525">
        <f t="shared" si="44"/>
        <v>0</v>
      </c>
    </row>
    <row r="526" spans="1:27" ht="15" customHeight="1" x14ac:dyDescent="0.3">
      <c r="A526" t="s">
        <v>997</v>
      </c>
      <c r="B526" s="20">
        <v>46003</v>
      </c>
      <c r="C526" t="s">
        <v>292</v>
      </c>
      <c r="D526" t="s">
        <v>35</v>
      </c>
      <c r="E526" s="37">
        <v>44</v>
      </c>
      <c r="F526" t="s">
        <v>49</v>
      </c>
      <c r="G526" t="s">
        <v>50</v>
      </c>
      <c r="H526" t="s">
        <v>118</v>
      </c>
      <c r="I526" t="s">
        <v>82</v>
      </c>
      <c r="J526" t="s">
        <v>182</v>
      </c>
      <c r="K526" s="37">
        <v>10</v>
      </c>
      <c r="L526" t="s">
        <v>52</v>
      </c>
      <c r="M526" s="21">
        <v>53600</v>
      </c>
      <c r="N526" s="21">
        <v>739680</v>
      </c>
      <c r="O526" s="21">
        <v>96480</v>
      </c>
      <c r="P526" s="37">
        <v>4</v>
      </c>
      <c r="Q526" t="s">
        <v>126</v>
      </c>
      <c r="R526" s="37">
        <v>2</v>
      </c>
      <c r="S526" s="37">
        <v>28</v>
      </c>
      <c r="T526" t="s">
        <v>105</v>
      </c>
      <c r="U526" t="s">
        <v>44</v>
      </c>
      <c r="V526" t="s">
        <v>69</v>
      </c>
      <c r="W526" t="str">
        <f t="shared" si="40"/>
        <v>41-50</v>
      </c>
      <c r="X526" t="str">
        <f t="shared" si="41"/>
        <v>6-10 yrs</v>
      </c>
      <c r="Y526" t="str">
        <f t="shared" si="42"/>
        <v>Dec</v>
      </c>
      <c r="Z526">
        <f t="shared" si="43"/>
        <v>2025</v>
      </c>
      <c r="AA526">
        <f t="shared" si="44"/>
        <v>1</v>
      </c>
    </row>
    <row r="527" spans="1:27" ht="15" customHeight="1" x14ac:dyDescent="0.3">
      <c r="A527" t="s">
        <v>998</v>
      </c>
      <c r="B527" s="20">
        <v>45886</v>
      </c>
      <c r="C527" t="s">
        <v>999</v>
      </c>
      <c r="D527" t="s">
        <v>35</v>
      </c>
      <c r="E527" s="37">
        <v>33</v>
      </c>
      <c r="F527" t="s">
        <v>72</v>
      </c>
      <c r="G527" t="s">
        <v>73</v>
      </c>
      <c r="H527" t="s">
        <v>38</v>
      </c>
      <c r="I527" t="s">
        <v>75</v>
      </c>
      <c r="J527" t="s">
        <v>40</v>
      </c>
      <c r="K527" s="37">
        <v>17</v>
      </c>
      <c r="L527" t="s">
        <v>52</v>
      </c>
      <c r="M527" s="21">
        <v>103900</v>
      </c>
      <c r="N527" s="21">
        <v>1359012</v>
      </c>
      <c r="O527" s="21">
        <v>112212</v>
      </c>
      <c r="P527" s="37">
        <v>4</v>
      </c>
      <c r="Q527" t="s">
        <v>42</v>
      </c>
      <c r="R527" s="37">
        <v>9</v>
      </c>
      <c r="S527" s="37">
        <v>4</v>
      </c>
      <c r="T527" t="s">
        <v>62</v>
      </c>
      <c r="U527" t="s">
        <v>63</v>
      </c>
      <c r="V527" t="s">
        <v>45</v>
      </c>
      <c r="W527" t="str">
        <f t="shared" si="40"/>
        <v>31-40</v>
      </c>
      <c r="X527" t="str">
        <f t="shared" si="41"/>
        <v>11-20 yrs</v>
      </c>
      <c r="Y527" t="str">
        <f t="shared" si="42"/>
        <v>Aug</v>
      </c>
      <c r="Z527">
        <f t="shared" si="43"/>
        <v>2025</v>
      </c>
      <c r="AA527">
        <f t="shared" si="44"/>
        <v>0</v>
      </c>
    </row>
    <row r="528" spans="1:27" ht="15" customHeight="1" x14ac:dyDescent="0.3">
      <c r="A528" t="s">
        <v>1000</v>
      </c>
      <c r="B528" s="20">
        <v>45811</v>
      </c>
      <c r="C528" t="s">
        <v>1001</v>
      </c>
      <c r="D528" t="s">
        <v>48</v>
      </c>
      <c r="E528" s="37">
        <v>47</v>
      </c>
      <c r="F528" t="s">
        <v>49</v>
      </c>
      <c r="G528" t="s">
        <v>50</v>
      </c>
      <c r="H528" t="s">
        <v>74</v>
      </c>
      <c r="I528" t="s">
        <v>82</v>
      </c>
      <c r="J528" t="s">
        <v>367</v>
      </c>
      <c r="K528" s="37">
        <v>0</v>
      </c>
      <c r="L528" t="s">
        <v>52</v>
      </c>
      <c r="M528" s="21">
        <v>51900</v>
      </c>
      <c r="N528" s="21">
        <v>660168</v>
      </c>
      <c r="O528" s="21">
        <v>37368</v>
      </c>
      <c r="P528" s="37">
        <v>3</v>
      </c>
      <c r="Q528" t="s">
        <v>42</v>
      </c>
      <c r="R528" s="37">
        <v>17</v>
      </c>
      <c r="S528" s="37">
        <v>16</v>
      </c>
      <c r="T528" t="s">
        <v>129</v>
      </c>
      <c r="U528" t="s">
        <v>44</v>
      </c>
      <c r="V528" t="s">
        <v>45</v>
      </c>
      <c r="W528" t="str">
        <f t="shared" si="40"/>
        <v>41-50</v>
      </c>
      <c r="X528" t="str">
        <f t="shared" si="41"/>
        <v>0-5 yrs</v>
      </c>
      <c r="Y528" t="str">
        <f t="shared" si="42"/>
        <v>Jun</v>
      </c>
      <c r="Z528">
        <f t="shared" si="43"/>
        <v>2025</v>
      </c>
      <c r="AA528">
        <f t="shared" si="44"/>
        <v>0</v>
      </c>
    </row>
    <row r="529" spans="1:27" ht="15" customHeight="1" x14ac:dyDescent="0.3">
      <c r="A529" t="s">
        <v>1002</v>
      </c>
      <c r="B529" s="20">
        <v>45754</v>
      </c>
      <c r="C529" t="s">
        <v>764</v>
      </c>
      <c r="D529" t="s">
        <v>35</v>
      </c>
      <c r="E529" s="37">
        <v>45</v>
      </c>
      <c r="F529" t="s">
        <v>97</v>
      </c>
      <c r="G529" t="s">
        <v>98</v>
      </c>
      <c r="H529" t="s">
        <v>66</v>
      </c>
      <c r="I529" t="s">
        <v>75</v>
      </c>
      <c r="J529" t="s">
        <v>67</v>
      </c>
      <c r="K529" s="37">
        <v>9</v>
      </c>
      <c r="L529" t="s">
        <v>52</v>
      </c>
      <c r="M529" s="21">
        <v>91800</v>
      </c>
      <c r="N529" s="21">
        <v>1277856</v>
      </c>
      <c r="O529" s="21">
        <v>176256</v>
      </c>
      <c r="P529" s="37">
        <v>4</v>
      </c>
      <c r="Q529" t="s">
        <v>126</v>
      </c>
      <c r="R529" s="37">
        <v>20</v>
      </c>
      <c r="S529" s="37">
        <v>9</v>
      </c>
      <c r="T529" t="s">
        <v>77</v>
      </c>
      <c r="U529" t="s">
        <v>44</v>
      </c>
      <c r="V529" t="s">
        <v>45</v>
      </c>
      <c r="W529" t="str">
        <f t="shared" si="40"/>
        <v>41-50</v>
      </c>
      <c r="X529" t="str">
        <f t="shared" si="41"/>
        <v>6-10 yrs</v>
      </c>
      <c r="Y529" t="str">
        <f t="shared" si="42"/>
        <v>Apr</v>
      </c>
      <c r="Z529">
        <f t="shared" si="43"/>
        <v>2025</v>
      </c>
      <c r="AA529">
        <f t="shared" si="44"/>
        <v>1</v>
      </c>
    </row>
    <row r="530" spans="1:27" ht="15" customHeight="1" x14ac:dyDescent="0.3">
      <c r="A530" t="s">
        <v>1003</v>
      </c>
      <c r="B530" s="20">
        <v>46012</v>
      </c>
      <c r="C530" t="s">
        <v>1004</v>
      </c>
      <c r="D530" t="s">
        <v>48</v>
      </c>
      <c r="E530" s="37">
        <v>26</v>
      </c>
      <c r="F530" t="s">
        <v>86</v>
      </c>
      <c r="G530" t="s">
        <v>87</v>
      </c>
      <c r="H530" t="s">
        <v>38</v>
      </c>
      <c r="I530" t="s">
        <v>39</v>
      </c>
      <c r="J530" t="s">
        <v>134</v>
      </c>
      <c r="K530" s="37">
        <v>7</v>
      </c>
      <c r="L530" t="s">
        <v>52</v>
      </c>
      <c r="M530" s="21">
        <v>33100</v>
      </c>
      <c r="N530" s="21">
        <v>472668</v>
      </c>
      <c r="O530" s="21">
        <v>75468</v>
      </c>
      <c r="P530" s="37">
        <v>2</v>
      </c>
      <c r="Q530" t="s">
        <v>42</v>
      </c>
      <c r="R530" s="37">
        <v>16</v>
      </c>
      <c r="S530" s="37">
        <v>36</v>
      </c>
      <c r="T530" t="s">
        <v>43</v>
      </c>
      <c r="U530" t="s">
        <v>44</v>
      </c>
      <c r="V530" t="s">
        <v>45</v>
      </c>
      <c r="W530" t="str">
        <f t="shared" si="40"/>
        <v>22-30</v>
      </c>
      <c r="X530" t="str">
        <f t="shared" si="41"/>
        <v>6-10 yrs</v>
      </c>
      <c r="Y530" t="str">
        <f t="shared" si="42"/>
        <v>Dec</v>
      </c>
      <c r="Z530">
        <f t="shared" si="43"/>
        <v>2025</v>
      </c>
      <c r="AA530">
        <f t="shared" si="44"/>
        <v>0</v>
      </c>
    </row>
    <row r="531" spans="1:27" ht="15" customHeight="1" x14ac:dyDescent="0.3">
      <c r="A531" t="s">
        <v>1005</v>
      </c>
      <c r="B531" s="20">
        <v>45949</v>
      </c>
      <c r="C531" t="s">
        <v>1006</v>
      </c>
      <c r="D531" t="s">
        <v>35</v>
      </c>
      <c r="E531" s="37">
        <v>34</v>
      </c>
      <c r="F531" t="s">
        <v>36</v>
      </c>
      <c r="G531" t="s">
        <v>37</v>
      </c>
      <c r="H531" t="s">
        <v>66</v>
      </c>
      <c r="I531" t="s">
        <v>82</v>
      </c>
      <c r="J531" t="s">
        <v>161</v>
      </c>
      <c r="K531" s="37">
        <v>26</v>
      </c>
      <c r="L531" t="s">
        <v>120</v>
      </c>
      <c r="M531" s="21">
        <v>77900</v>
      </c>
      <c r="N531" s="21">
        <v>1103064</v>
      </c>
      <c r="O531" s="21">
        <v>168264</v>
      </c>
      <c r="P531" s="37">
        <v>4</v>
      </c>
      <c r="Q531" t="s">
        <v>42</v>
      </c>
      <c r="R531" s="37">
        <v>12</v>
      </c>
      <c r="S531" s="37">
        <v>22</v>
      </c>
      <c r="T531" t="s">
        <v>129</v>
      </c>
      <c r="U531" t="s">
        <v>44</v>
      </c>
      <c r="V531" t="s">
        <v>45</v>
      </c>
      <c r="W531" t="str">
        <f t="shared" si="40"/>
        <v>31-40</v>
      </c>
      <c r="X531" t="str">
        <f t="shared" si="41"/>
        <v>21-30 yrs</v>
      </c>
      <c r="Y531" t="str">
        <f t="shared" si="42"/>
        <v>Oct</v>
      </c>
      <c r="Z531">
        <f t="shared" si="43"/>
        <v>2025</v>
      </c>
      <c r="AA531">
        <f t="shared" si="44"/>
        <v>0</v>
      </c>
    </row>
    <row r="532" spans="1:27" ht="15" customHeight="1" x14ac:dyDescent="0.3">
      <c r="A532" t="s">
        <v>1007</v>
      </c>
      <c r="B532" s="20">
        <v>45951</v>
      </c>
      <c r="C532" t="s">
        <v>1008</v>
      </c>
      <c r="D532" t="s">
        <v>48</v>
      </c>
      <c r="E532" s="37">
        <v>31</v>
      </c>
      <c r="F532" t="s">
        <v>86</v>
      </c>
      <c r="G532" t="s">
        <v>87</v>
      </c>
      <c r="H532" t="s">
        <v>38</v>
      </c>
      <c r="I532" t="s">
        <v>82</v>
      </c>
      <c r="J532" t="s">
        <v>190</v>
      </c>
      <c r="K532" s="37">
        <v>22</v>
      </c>
      <c r="L532" t="s">
        <v>52</v>
      </c>
      <c r="M532" s="21">
        <v>58400</v>
      </c>
      <c r="N532" s="21">
        <v>798912</v>
      </c>
      <c r="O532" s="21">
        <v>98112</v>
      </c>
      <c r="P532" s="37">
        <v>3</v>
      </c>
      <c r="Q532" t="s">
        <v>42</v>
      </c>
      <c r="R532" s="37">
        <v>7</v>
      </c>
      <c r="S532" s="37">
        <v>11</v>
      </c>
      <c r="T532" t="s">
        <v>129</v>
      </c>
      <c r="U532" t="s">
        <v>63</v>
      </c>
      <c r="V532" t="s">
        <v>45</v>
      </c>
      <c r="W532" t="str">
        <f t="shared" si="40"/>
        <v>31-40</v>
      </c>
      <c r="X532" t="str">
        <f t="shared" si="41"/>
        <v>21-30 yrs</v>
      </c>
      <c r="Y532" t="str">
        <f t="shared" si="42"/>
        <v>Oct</v>
      </c>
      <c r="Z532">
        <f t="shared" si="43"/>
        <v>2025</v>
      </c>
      <c r="AA532">
        <f t="shared" si="44"/>
        <v>0</v>
      </c>
    </row>
    <row r="533" spans="1:27" ht="15" customHeight="1" x14ac:dyDescent="0.3">
      <c r="A533" t="s">
        <v>1009</v>
      </c>
      <c r="B533" s="20">
        <v>45952</v>
      </c>
      <c r="C533" t="s">
        <v>1010</v>
      </c>
      <c r="D533" t="s">
        <v>35</v>
      </c>
      <c r="E533" s="37">
        <v>27</v>
      </c>
      <c r="F533" t="s">
        <v>36</v>
      </c>
      <c r="G533" t="s">
        <v>37</v>
      </c>
      <c r="H533" t="s">
        <v>66</v>
      </c>
      <c r="I533" t="s">
        <v>60</v>
      </c>
      <c r="J533" t="s">
        <v>170</v>
      </c>
      <c r="K533" s="37">
        <v>8</v>
      </c>
      <c r="L533" t="s">
        <v>52</v>
      </c>
      <c r="M533" s="21">
        <v>134100</v>
      </c>
      <c r="N533" s="21">
        <v>1705752</v>
      </c>
      <c r="O533" s="21">
        <v>96552</v>
      </c>
      <c r="P533" s="37">
        <v>3</v>
      </c>
      <c r="Q533" t="s">
        <v>42</v>
      </c>
      <c r="R533" s="37">
        <v>18</v>
      </c>
      <c r="S533" s="37">
        <v>18</v>
      </c>
      <c r="T533" t="s">
        <v>43</v>
      </c>
      <c r="U533" t="s">
        <v>63</v>
      </c>
      <c r="V533" t="s">
        <v>69</v>
      </c>
      <c r="W533" t="str">
        <f t="shared" si="40"/>
        <v>22-30</v>
      </c>
      <c r="X533" t="str">
        <f t="shared" si="41"/>
        <v>6-10 yrs</v>
      </c>
      <c r="Y533" t="str">
        <f t="shared" si="42"/>
        <v>Oct</v>
      </c>
      <c r="Z533">
        <f t="shared" si="43"/>
        <v>2025</v>
      </c>
      <c r="AA533">
        <f t="shared" si="44"/>
        <v>0</v>
      </c>
    </row>
    <row r="534" spans="1:27" ht="15" customHeight="1" x14ac:dyDescent="0.3">
      <c r="A534" t="s">
        <v>1011</v>
      </c>
      <c r="B534" s="20">
        <v>45729</v>
      </c>
      <c r="C534" t="s">
        <v>586</v>
      </c>
      <c r="D534" t="s">
        <v>35</v>
      </c>
      <c r="E534" s="37">
        <v>51</v>
      </c>
      <c r="F534" t="s">
        <v>57</v>
      </c>
      <c r="G534" t="s">
        <v>58</v>
      </c>
      <c r="H534" t="s">
        <v>66</v>
      </c>
      <c r="I534" t="s">
        <v>82</v>
      </c>
      <c r="J534" t="s">
        <v>67</v>
      </c>
      <c r="K534" s="37">
        <v>16</v>
      </c>
      <c r="L534" t="s">
        <v>52</v>
      </c>
      <c r="M534" s="21">
        <v>76800</v>
      </c>
      <c r="N534" s="21">
        <v>967680</v>
      </c>
      <c r="O534" s="21">
        <v>46080</v>
      </c>
      <c r="P534" s="37">
        <v>5</v>
      </c>
      <c r="Q534" t="s">
        <v>42</v>
      </c>
      <c r="R534" s="37">
        <v>13</v>
      </c>
      <c r="S534" s="37">
        <v>2</v>
      </c>
      <c r="T534" t="s">
        <v>68</v>
      </c>
      <c r="U534" t="s">
        <v>138</v>
      </c>
      <c r="V534" t="s">
        <v>45</v>
      </c>
      <c r="W534" t="str">
        <f t="shared" si="40"/>
        <v>51-58</v>
      </c>
      <c r="X534" t="str">
        <f t="shared" si="41"/>
        <v>11-20 yrs</v>
      </c>
      <c r="Y534" t="str">
        <f t="shared" si="42"/>
        <v>Mar</v>
      </c>
      <c r="Z534">
        <f t="shared" si="43"/>
        <v>2025</v>
      </c>
      <c r="AA534">
        <f t="shared" si="44"/>
        <v>0</v>
      </c>
    </row>
    <row r="535" spans="1:27" ht="15" customHeight="1" x14ac:dyDescent="0.3">
      <c r="A535" t="s">
        <v>1012</v>
      </c>
      <c r="B535" s="20">
        <v>45710</v>
      </c>
      <c r="C535" t="s">
        <v>616</v>
      </c>
      <c r="D535" t="s">
        <v>35</v>
      </c>
      <c r="E535" s="37">
        <v>25</v>
      </c>
      <c r="F535" t="s">
        <v>123</v>
      </c>
      <c r="G535" t="s">
        <v>124</v>
      </c>
      <c r="H535" t="s">
        <v>38</v>
      </c>
      <c r="I535" t="s">
        <v>82</v>
      </c>
      <c r="J535" t="s">
        <v>99</v>
      </c>
      <c r="K535" s="37">
        <v>6</v>
      </c>
      <c r="L535" t="s">
        <v>52</v>
      </c>
      <c r="M535" s="21">
        <v>62400</v>
      </c>
      <c r="N535" s="21">
        <v>876096</v>
      </c>
      <c r="O535" s="21">
        <v>127296</v>
      </c>
      <c r="P535" s="37">
        <v>3</v>
      </c>
      <c r="Q535" t="s">
        <v>42</v>
      </c>
      <c r="R535" s="37">
        <v>13</v>
      </c>
      <c r="S535" s="37">
        <v>11</v>
      </c>
      <c r="T535" t="s">
        <v>68</v>
      </c>
      <c r="U535" t="s">
        <v>54</v>
      </c>
      <c r="V535" t="s">
        <v>45</v>
      </c>
      <c r="W535" t="str">
        <f t="shared" si="40"/>
        <v>22-30</v>
      </c>
      <c r="X535" t="str">
        <f t="shared" si="41"/>
        <v>6-10 yrs</v>
      </c>
      <c r="Y535" t="str">
        <f t="shared" si="42"/>
        <v>Feb</v>
      </c>
      <c r="Z535">
        <f t="shared" si="43"/>
        <v>2025</v>
      </c>
      <c r="AA535">
        <f t="shared" si="44"/>
        <v>0</v>
      </c>
    </row>
    <row r="536" spans="1:27" ht="15" customHeight="1" x14ac:dyDescent="0.3">
      <c r="A536" t="s">
        <v>1013</v>
      </c>
      <c r="B536" s="20">
        <v>45926</v>
      </c>
      <c r="C536" t="s">
        <v>1014</v>
      </c>
      <c r="D536" t="s">
        <v>48</v>
      </c>
      <c r="E536" s="37">
        <v>34</v>
      </c>
      <c r="F536" t="s">
        <v>86</v>
      </c>
      <c r="G536" t="s">
        <v>87</v>
      </c>
      <c r="H536" t="s">
        <v>66</v>
      </c>
      <c r="I536" t="s">
        <v>39</v>
      </c>
      <c r="J536" t="s">
        <v>149</v>
      </c>
      <c r="K536" s="37">
        <v>6</v>
      </c>
      <c r="L536" t="s">
        <v>52</v>
      </c>
      <c r="M536" s="21">
        <v>45700</v>
      </c>
      <c r="N536" s="21">
        <v>641628</v>
      </c>
      <c r="O536" s="21">
        <v>93228</v>
      </c>
      <c r="P536" s="37">
        <v>4</v>
      </c>
      <c r="Q536" t="s">
        <v>42</v>
      </c>
      <c r="R536" s="37">
        <v>4</v>
      </c>
      <c r="S536" s="37">
        <v>7</v>
      </c>
      <c r="T536" t="s">
        <v>146</v>
      </c>
      <c r="U536" t="s">
        <v>54</v>
      </c>
      <c r="V536" t="s">
        <v>45</v>
      </c>
      <c r="W536" t="str">
        <f t="shared" si="40"/>
        <v>31-40</v>
      </c>
      <c r="X536" t="str">
        <f t="shared" si="41"/>
        <v>6-10 yrs</v>
      </c>
      <c r="Y536" t="str">
        <f t="shared" si="42"/>
        <v>Sep</v>
      </c>
      <c r="Z536">
        <f t="shared" si="43"/>
        <v>2025</v>
      </c>
      <c r="AA536">
        <f t="shared" si="44"/>
        <v>0</v>
      </c>
    </row>
    <row r="537" spans="1:27" ht="15" customHeight="1" x14ac:dyDescent="0.3">
      <c r="A537" t="s">
        <v>1015</v>
      </c>
      <c r="B537" s="20">
        <v>45793</v>
      </c>
      <c r="C537" t="s">
        <v>737</v>
      </c>
      <c r="D537" t="s">
        <v>35</v>
      </c>
      <c r="E537" s="37">
        <v>32</v>
      </c>
      <c r="F537" t="s">
        <v>80</v>
      </c>
      <c r="G537" t="s">
        <v>81</v>
      </c>
      <c r="H537" t="s">
        <v>74</v>
      </c>
      <c r="I537" t="s">
        <v>39</v>
      </c>
      <c r="J537" t="s">
        <v>76</v>
      </c>
      <c r="K537" s="37">
        <v>5</v>
      </c>
      <c r="L537" t="s">
        <v>52</v>
      </c>
      <c r="M537" s="21">
        <v>43100</v>
      </c>
      <c r="N537" s="21">
        <v>584436</v>
      </c>
      <c r="O537" s="21">
        <v>67236</v>
      </c>
      <c r="P537" s="37">
        <v>4</v>
      </c>
      <c r="Q537" t="s">
        <v>42</v>
      </c>
      <c r="R537" s="37">
        <v>7</v>
      </c>
      <c r="S537" s="37">
        <v>37</v>
      </c>
      <c r="T537" t="s">
        <v>53</v>
      </c>
      <c r="U537" t="s">
        <v>63</v>
      </c>
      <c r="V537" t="s">
        <v>45</v>
      </c>
      <c r="W537" t="str">
        <f t="shared" si="40"/>
        <v>31-40</v>
      </c>
      <c r="X537" t="str">
        <f t="shared" si="41"/>
        <v>0-5 yrs</v>
      </c>
      <c r="Y537" t="str">
        <f t="shared" si="42"/>
        <v>May</v>
      </c>
      <c r="Z537">
        <f t="shared" si="43"/>
        <v>2025</v>
      </c>
      <c r="AA537">
        <f t="shared" si="44"/>
        <v>0</v>
      </c>
    </row>
    <row r="538" spans="1:27" ht="15" customHeight="1" x14ac:dyDescent="0.3">
      <c r="A538" t="s">
        <v>1016</v>
      </c>
      <c r="B538" s="20">
        <v>45699</v>
      </c>
      <c r="C538" t="s">
        <v>1017</v>
      </c>
      <c r="D538" t="s">
        <v>48</v>
      </c>
      <c r="E538" s="37">
        <v>28</v>
      </c>
      <c r="F538" t="s">
        <v>36</v>
      </c>
      <c r="G538" t="s">
        <v>37</v>
      </c>
      <c r="H538" t="s">
        <v>59</v>
      </c>
      <c r="I538" t="s">
        <v>82</v>
      </c>
      <c r="J538" t="s">
        <v>141</v>
      </c>
      <c r="K538" s="37">
        <v>11</v>
      </c>
      <c r="L538" t="s">
        <v>52</v>
      </c>
      <c r="M538" s="21">
        <v>62900</v>
      </c>
      <c r="N538" s="21">
        <v>822732</v>
      </c>
      <c r="O538" s="21">
        <v>67932</v>
      </c>
      <c r="P538" s="37">
        <v>2</v>
      </c>
      <c r="Q538" t="s">
        <v>126</v>
      </c>
      <c r="R538" s="37">
        <v>8</v>
      </c>
      <c r="S538" s="37">
        <v>8</v>
      </c>
      <c r="T538" t="s">
        <v>94</v>
      </c>
      <c r="U538" t="s">
        <v>63</v>
      </c>
      <c r="V538" t="s">
        <v>45</v>
      </c>
      <c r="W538" t="str">
        <f t="shared" si="40"/>
        <v>22-30</v>
      </c>
      <c r="X538" t="str">
        <f t="shared" si="41"/>
        <v>11-20 yrs</v>
      </c>
      <c r="Y538" t="str">
        <f t="shared" si="42"/>
        <v>Feb</v>
      </c>
      <c r="Z538">
        <f t="shared" si="43"/>
        <v>2025</v>
      </c>
      <c r="AA538">
        <f t="shared" si="44"/>
        <v>1</v>
      </c>
    </row>
    <row r="539" spans="1:27" ht="15" customHeight="1" x14ac:dyDescent="0.3">
      <c r="A539" t="s">
        <v>1018</v>
      </c>
      <c r="B539" s="20">
        <v>45760</v>
      </c>
      <c r="C539" t="s">
        <v>1019</v>
      </c>
      <c r="D539" t="s">
        <v>35</v>
      </c>
      <c r="E539" s="37">
        <v>56</v>
      </c>
      <c r="F539" t="s">
        <v>72</v>
      </c>
      <c r="G539" t="s">
        <v>73</v>
      </c>
      <c r="H539" t="s">
        <v>74</v>
      </c>
      <c r="I539" t="s">
        <v>82</v>
      </c>
      <c r="J539" t="s">
        <v>152</v>
      </c>
      <c r="K539" s="37">
        <v>20</v>
      </c>
      <c r="L539" t="s">
        <v>52</v>
      </c>
      <c r="M539" s="21">
        <v>69300</v>
      </c>
      <c r="N539" s="21">
        <v>931392</v>
      </c>
      <c r="O539" s="21">
        <v>99792</v>
      </c>
      <c r="P539" s="37">
        <v>4</v>
      </c>
      <c r="Q539" t="s">
        <v>42</v>
      </c>
      <c r="R539" s="37">
        <v>20</v>
      </c>
      <c r="S539" s="37">
        <v>35</v>
      </c>
      <c r="T539" t="s">
        <v>68</v>
      </c>
      <c r="U539" t="s">
        <v>54</v>
      </c>
      <c r="V539" t="s">
        <v>69</v>
      </c>
      <c r="W539" t="str">
        <f t="shared" si="40"/>
        <v>51-58</v>
      </c>
      <c r="X539" t="str">
        <f t="shared" si="41"/>
        <v>11-20 yrs</v>
      </c>
      <c r="Y539" t="str">
        <f t="shared" si="42"/>
        <v>Apr</v>
      </c>
      <c r="Z539">
        <f t="shared" si="43"/>
        <v>2025</v>
      </c>
      <c r="AA539">
        <f t="shared" si="44"/>
        <v>0</v>
      </c>
    </row>
    <row r="540" spans="1:27" ht="15" customHeight="1" x14ac:dyDescent="0.3">
      <c r="A540" t="s">
        <v>1020</v>
      </c>
      <c r="B540" s="20">
        <v>45671</v>
      </c>
      <c r="C540" t="s">
        <v>873</v>
      </c>
      <c r="D540" t="s">
        <v>35</v>
      </c>
      <c r="E540" s="37">
        <v>57</v>
      </c>
      <c r="F540" t="s">
        <v>36</v>
      </c>
      <c r="G540" t="s">
        <v>37</v>
      </c>
      <c r="H540" t="s">
        <v>38</v>
      </c>
      <c r="I540" t="s">
        <v>82</v>
      </c>
      <c r="J540" t="s">
        <v>99</v>
      </c>
      <c r="K540" s="37">
        <v>24</v>
      </c>
      <c r="L540" t="s">
        <v>52</v>
      </c>
      <c r="M540" s="21">
        <v>58100</v>
      </c>
      <c r="N540" s="21">
        <v>732060</v>
      </c>
      <c r="O540" s="21">
        <v>34860</v>
      </c>
      <c r="P540" s="37">
        <v>3</v>
      </c>
      <c r="Q540" t="s">
        <v>42</v>
      </c>
      <c r="R540" s="37">
        <v>5</v>
      </c>
      <c r="S540" s="37">
        <v>0</v>
      </c>
      <c r="T540" t="s">
        <v>175</v>
      </c>
      <c r="U540" t="s">
        <v>44</v>
      </c>
      <c r="V540" t="s">
        <v>69</v>
      </c>
      <c r="W540" t="str">
        <f t="shared" si="40"/>
        <v>51-58</v>
      </c>
      <c r="X540" t="str">
        <f t="shared" si="41"/>
        <v>21-30 yrs</v>
      </c>
      <c r="Y540" t="str">
        <f t="shared" si="42"/>
        <v>Jan</v>
      </c>
      <c r="Z540">
        <f t="shared" si="43"/>
        <v>2025</v>
      </c>
      <c r="AA540">
        <f t="shared" si="44"/>
        <v>0</v>
      </c>
    </row>
    <row r="541" spans="1:27" ht="15" customHeight="1" x14ac:dyDescent="0.3">
      <c r="A541" t="s">
        <v>1021</v>
      </c>
      <c r="B541" s="20">
        <v>45934</v>
      </c>
      <c r="C541" t="s">
        <v>1022</v>
      </c>
      <c r="D541" t="s">
        <v>48</v>
      </c>
      <c r="E541" s="37">
        <v>35</v>
      </c>
      <c r="F541" t="s">
        <v>91</v>
      </c>
      <c r="G541" t="s">
        <v>92</v>
      </c>
      <c r="H541" t="s">
        <v>66</v>
      </c>
      <c r="I541" t="s">
        <v>75</v>
      </c>
      <c r="J541" t="s">
        <v>93</v>
      </c>
      <c r="K541" s="37">
        <v>12</v>
      </c>
      <c r="L541" t="s">
        <v>120</v>
      </c>
      <c r="M541" s="21">
        <v>103900</v>
      </c>
      <c r="N541" s="21">
        <v>1334076</v>
      </c>
      <c r="O541" s="21">
        <v>87276</v>
      </c>
      <c r="P541" s="37">
        <v>4</v>
      </c>
      <c r="Q541" t="s">
        <v>42</v>
      </c>
      <c r="R541" s="37">
        <v>9</v>
      </c>
      <c r="S541" s="37">
        <v>36</v>
      </c>
      <c r="T541" t="s">
        <v>94</v>
      </c>
      <c r="U541" t="s">
        <v>63</v>
      </c>
      <c r="V541" t="s">
        <v>69</v>
      </c>
      <c r="W541" t="str">
        <f t="shared" si="40"/>
        <v>31-40</v>
      </c>
      <c r="X541" t="str">
        <f t="shared" si="41"/>
        <v>11-20 yrs</v>
      </c>
      <c r="Y541" t="str">
        <f t="shared" si="42"/>
        <v>Oct</v>
      </c>
      <c r="Z541">
        <f t="shared" si="43"/>
        <v>2025</v>
      </c>
      <c r="AA541">
        <f t="shared" si="44"/>
        <v>0</v>
      </c>
    </row>
    <row r="542" spans="1:27" ht="15" customHeight="1" x14ac:dyDescent="0.3">
      <c r="A542" t="s">
        <v>1023</v>
      </c>
      <c r="B542" s="20">
        <v>45761</v>
      </c>
      <c r="C542" t="s">
        <v>1024</v>
      </c>
      <c r="D542" t="s">
        <v>35</v>
      </c>
      <c r="E542" s="37">
        <v>42</v>
      </c>
      <c r="F542" t="s">
        <v>97</v>
      </c>
      <c r="G542" t="s">
        <v>98</v>
      </c>
      <c r="H542" t="s">
        <v>38</v>
      </c>
      <c r="I542" t="s">
        <v>82</v>
      </c>
      <c r="J542" t="s">
        <v>110</v>
      </c>
      <c r="K542" s="37">
        <v>18</v>
      </c>
      <c r="L542" t="s">
        <v>52</v>
      </c>
      <c r="M542" s="21">
        <v>58500</v>
      </c>
      <c r="N542" s="21">
        <v>821340</v>
      </c>
      <c r="O542" s="21">
        <v>119340</v>
      </c>
      <c r="P542" s="37">
        <v>4</v>
      </c>
      <c r="Q542" t="s">
        <v>42</v>
      </c>
      <c r="R542" s="37">
        <v>6</v>
      </c>
      <c r="S542" s="37">
        <v>27</v>
      </c>
      <c r="T542" t="s">
        <v>68</v>
      </c>
      <c r="U542" t="s">
        <v>63</v>
      </c>
      <c r="V542" t="s">
        <v>45</v>
      </c>
      <c r="W542" t="str">
        <f t="shared" si="40"/>
        <v>41-50</v>
      </c>
      <c r="X542" t="str">
        <f t="shared" si="41"/>
        <v>11-20 yrs</v>
      </c>
      <c r="Y542" t="str">
        <f t="shared" si="42"/>
        <v>Apr</v>
      </c>
      <c r="Z542">
        <f t="shared" si="43"/>
        <v>2025</v>
      </c>
      <c r="AA542">
        <f t="shared" si="44"/>
        <v>0</v>
      </c>
    </row>
    <row r="543" spans="1:27" ht="15" customHeight="1" x14ac:dyDescent="0.3">
      <c r="A543" t="s">
        <v>1025</v>
      </c>
      <c r="B543" s="20">
        <v>45998</v>
      </c>
      <c r="C543" t="s">
        <v>1026</v>
      </c>
      <c r="D543" t="s">
        <v>35</v>
      </c>
      <c r="E543" s="37">
        <v>43</v>
      </c>
      <c r="F543" t="s">
        <v>80</v>
      </c>
      <c r="G543" t="s">
        <v>81</v>
      </c>
      <c r="H543" t="s">
        <v>74</v>
      </c>
      <c r="I543" t="s">
        <v>82</v>
      </c>
      <c r="J543" t="s">
        <v>367</v>
      </c>
      <c r="K543" s="37">
        <v>20</v>
      </c>
      <c r="L543" t="s">
        <v>52</v>
      </c>
      <c r="M543" s="21">
        <v>69200</v>
      </c>
      <c r="N543" s="21">
        <v>971567</v>
      </c>
      <c r="O543" s="21">
        <v>141168</v>
      </c>
      <c r="P543" s="37">
        <v>2</v>
      </c>
      <c r="Q543" t="s">
        <v>42</v>
      </c>
      <c r="R543" s="37">
        <v>17</v>
      </c>
      <c r="S543" s="37">
        <v>27</v>
      </c>
      <c r="T543" t="s">
        <v>94</v>
      </c>
      <c r="U543" t="s">
        <v>54</v>
      </c>
      <c r="V543" t="s">
        <v>45</v>
      </c>
      <c r="W543" t="str">
        <f t="shared" si="40"/>
        <v>41-50</v>
      </c>
      <c r="X543" t="str">
        <f t="shared" si="41"/>
        <v>11-20 yrs</v>
      </c>
      <c r="Y543" t="str">
        <f t="shared" si="42"/>
        <v>Dec</v>
      </c>
      <c r="Z543">
        <f t="shared" si="43"/>
        <v>2025</v>
      </c>
      <c r="AA543">
        <f t="shared" si="44"/>
        <v>0</v>
      </c>
    </row>
    <row r="544" spans="1:27" ht="15" customHeight="1" x14ac:dyDescent="0.3">
      <c r="A544" t="s">
        <v>1027</v>
      </c>
      <c r="B544" s="20">
        <v>45880</v>
      </c>
      <c r="C544" t="s">
        <v>1028</v>
      </c>
      <c r="D544" t="s">
        <v>48</v>
      </c>
      <c r="E544" s="37">
        <v>42</v>
      </c>
      <c r="F544" t="s">
        <v>86</v>
      </c>
      <c r="G544" t="s">
        <v>87</v>
      </c>
      <c r="H544" t="s">
        <v>66</v>
      </c>
      <c r="I544" t="s">
        <v>82</v>
      </c>
      <c r="J544" t="s">
        <v>67</v>
      </c>
      <c r="K544" s="37">
        <v>4</v>
      </c>
      <c r="L544" t="s">
        <v>52</v>
      </c>
      <c r="M544" s="21">
        <v>67900</v>
      </c>
      <c r="N544" s="21">
        <v>937019</v>
      </c>
      <c r="O544" s="21">
        <v>122220</v>
      </c>
      <c r="P544" s="37">
        <v>5</v>
      </c>
      <c r="Q544" t="s">
        <v>42</v>
      </c>
      <c r="R544" s="37">
        <v>4</v>
      </c>
      <c r="S544" s="37">
        <v>13</v>
      </c>
      <c r="T544" t="s">
        <v>146</v>
      </c>
      <c r="U544" t="s">
        <v>44</v>
      </c>
      <c r="V544" t="s">
        <v>45</v>
      </c>
      <c r="W544" t="str">
        <f t="shared" si="40"/>
        <v>41-50</v>
      </c>
      <c r="X544" t="str">
        <f t="shared" si="41"/>
        <v>0-5 yrs</v>
      </c>
      <c r="Y544" t="str">
        <f t="shared" si="42"/>
        <v>Aug</v>
      </c>
      <c r="Z544">
        <f t="shared" si="43"/>
        <v>2025</v>
      </c>
      <c r="AA544">
        <f t="shared" si="44"/>
        <v>0</v>
      </c>
    </row>
    <row r="545" spans="1:27" ht="15" customHeight="1" x14ac:dyDescent="0.3">
      <c r="A545" t="s">
        <v>1029</v>
      </c>
      <c r="B545" s="20">
        <v>45754</v>
      </c>
      <c r="C545" t="s">
        <v>559</v>
      </c>
      <c r="D545" t="s">
        <v>35</v>
      </c>
      <c r="E545" s="37">
        <v>53</v>
      </c>
      <c r="F545" t="s">
        <v>97</v>
      </c>
      <c r="G545" t="s">
        <v>98</v>
      </c>
      <c r="H545" t="s">
        <v>59</v>
      </c>
      <c r="I545" t="s">
        <v>39</v>
      </c>
      <c r="J545" t="s">
        <v>104</v>
      </c>
      <c r="K545" s="37">
        <v>27</v>
      </c>
      <c r="L545" t="s">
        <v>52</v>
      </c>
      <c r="M545" s="21">
        <v>36600</v>
      </c>
      <c r="N545" s="21">
        <v>496295</v>
      </c>
      <c r="O545" s="21">
        <v>57096</v>
      </c>
      <c r="P545" s="37">
        <v>3</v>
      </c>
      <c r="Q545" t="s">
        <v>42</v>
      </c>
      <c r="R545" s="37">
        <v>4</v>
      </c>
      <c r="S545" s="37">
        <v>39</v>
      </c>
      <c r="T545" t="s">
        <v>105</v>
      </c>
      <c r="U545" t="s">
        <v>63</v>
      </c>
      <c r="V545" t="s">
        <v>45</v>
      </c>
      <c r="W545" t="str">
        <f t="shared" si="40"/>
        <v>51-58</v>
      </c>
      <c r="X545" t="str">
        <f t="shared" si="41"/>
        <v>21-30 yrs</v>
      </c>
      <c r="Y545" t="str">
        <f t="shared" si="42"/>
        <v>Apr</v>
      </c>
      <c r="Z545">
        <f t="shared" si="43"/>
        <v>2025</v>
      </c>
      <c r="AA545">
        <f t="shared" si="44"/>
        <v>0</v>
      </c>
    </row>
    <row r="546" spans="1:27" ht="15" customHeight="1" x14ac:dyDescent="0.3">
      <c r="A546" t="s">
        <v>1030</v>
      </c>
      <c r="B546" s="20">
        <v>45811</v>
      </c>
      <c r="C546" t="s">
        <v>282</v>
      </c>
      <c r="D546" t="s">
        <v>35</v>
      </c>
      <c r="E546" s="37">
        <v>35</v>
      </c>
      <c r="F546" t="s">
        <v>72</v>
      </c>
      <c r="G546" t="s">
        <v>73</v>
      </c>
      <c r="H546" t="s">
        <v>74</v>
      </c>
      <c r="I546" t="s">
        <v>75</v>
      </c>
      <c r="J546" t="s">
        <v>115</v>
      </c>
      <c r="K546" s="37">
        <v>15</v>
      </c>
      <c r="L546" t="s">
        <v>120</v>
      </c>
      <c r="M546" s="21">
        <v>99000</v>
      </c>
      <c r="N546" s="21">
        <v>1283040</v>
      </c>
      <c r="O546" s="21">
        <v>95040</v>
      </c>
      <c r="P546" s="37">
        <v>5</v>
      </c>
      <c r="Q546" t="s">
        <v>42</v>
      </c>
      <c r="R546" s="37">
        <v>8</v>
      </c>
      <c r="S546" s="37">
        <v>13</v>
      </c>
      <c r="T546" t="s">
        <v>105</v>
      </c>
      <c r="U546" t="s">
        <v>44</v>
      </c>
      <c r="V546" t="s">
        <v>45</v>
      </c>
      <c r="W546" t="str">
        <f t="shared" si="40"/>
        <v>31-40</v>
      </c>
      <c r="X546" t="str">
        <f t="shared" si="41"/>
        <v>11-20 yrs</v>
      </c>
      <c r="Y546" t="str">
        <f t="shared" si="42"/>
        <v>Jun</v>
      </c>
      <c r="Z546">
        <f t="shared" si="43"/>
        <v>2025</v>
      </c>
      <c r="AA546">
        <f t="shared" si="44"/>
        <v>0</v>
      </c>
    </row>
    <row r="547" spans="1:27" ht="15" customHeight="1" x14ac:dyDescent="0.3">
      <c r="A547" t="s">
        <v>1031</v>
      </c>
      <c r="B547" s="20">
        <v>45926</v>
      </c>
      <c r="C547" t="s">
        <v>1032</v>
      </c>
      <c r="D547" t="s">
        <v>48</v>
      </c>
      <c r="E547" s="37">
        <v>41</v>
      </c>
      <c r="F547" t="s">
        <v>72</v>
      </c>
      <c r="G547" t="s">
        <v>73</v>
      </c>
      <c r="H547" t="s">
        <v>38</v>
      </c>
      <c r="I547" t="s">
        <v>39</v>
      </c>
      <c r="J547" t="s">
        <v>40</v>
      </c>
      <c r="K547" s="37">
        <v>29</v>
      </c>
      <c r="L547" t="s">
        <v>52</v>
      </c>
      <c r="M547" s="21">
        <v>42800</v>
      </c>
      <c r="N547" s="21">
        <v>549552</v>
      </c>
      <c r="O547" s="21">
        <v>35952</v>
      </c>
      <c r="P547" s="37">
        <v>3</v>
      </c>
      <c r="Q547" t="s">
        <v>126</v>
      </c>
      <c r="R547" s="37">
        <v>17</v>
      </c>
      <c r="S547" s="37">
        <v>31</v>
      </c>
      <c r="T547" t="s">
        <v>146</v>
      </c>
      <c r="U547" t="s">
        <v>44</v>
      </c>
      <c r="V547" t="s">
        <v>45</v>
      </c>
      <c r="W547" t="str">
        <f t="shared" si="40"/>
        <v>41-50</v>
      </c>
      <c r="X547" t="str">
        <f t="shared" si="41"/>
        <v>21-30 yrs</v>
      </c>
      <c r="Y547" t="str">
        <f t="shared" si="42"/>
        <v>Sep</v>
      </c>
      <c r="Z547">
        <f t="shared" si="43"/>
        <v>2025</v>
      </c>
      <c r="AA547">
        <f t="shared" si="44"/>
        <v>1</v>
      </c>
    </row>
    <row r="548" spans="1:27" ht="15" customHeight="1" x14ac:dyDescent="0.3">
      <c r="A548" t="s">
        <v>1033</v>
      </c>
      <c r="B548" s="20">
        <v>46015</v>
      </c>
      <c r="C548" t="s">
        <v>300</v>
      </c>
      <c r="D548" t="s">
        <v>35</v>
      </c>
      <c r="E548" s="37">
        <v>22</v>
      </c>
      <c r="F548" t="s">
        <v>91</v>
      </c>
      <c r="G548" t="s">
        <v>92</v>
      </c>
      <c r="H548" t="s">
        <v>74</v>
      </c>
      <c r="I548" t="s">
        <v>39</v>
      </c>
      <c r="J548" t="s">
        <v>152</v>
      </c>
      <c r="K548" s="37">
        <v>0</v>
      </c>
      <c r="L548" t="s">
        <v>120</v>
      </c>
      <c r="M548" s="21">
        <v>45700</v>
      </c>
      <c r="N548" s="21">
        <v>652596</v>
      </c>
      <c r="O548" s="21">
        <v>104196</v>
      </c>
      <c r="P548" s="37">
        <v>3</v>
      </c>
      <c r="Q548" t="s">
        <v>42</v>
      </c>
      <c r="R548" s="37">
        <v>12</v>
      </c>
      <c r="S548" s="37">
        <v>15</v>
      </c>
      <c r="T548" t="s">
        <v>94</v>
      </c>
      <c r="U548" t="s">
        <v>138</v>
      </c>
      <c r="V548" t="s">
        <v>45</v>
      </c>
      <c r="W548" t="str">
        <f t="shared" si="40"/>
        <v>22-30</v>
      </c>
      <c r="X548" t="str">
        <f t="shared" si="41"/>
        <v>0-5 yrs</v>
      </c>
      <c r="Y548" t="str">
        <f t="shared" si="42"/>
        <v>Dec</v>
      </c>
      <c r="Z548">
        <f t="shared" si="43"/>
        <v>2025</v>
      </c>
      <c r="AA548">
        <f t="shared" si="44"/>
        <v>0</v>
      </c>
    </row>
    <row r="549" spans="1:27" ht="15" customHeight="1" x14ac:dyDescent="0.3">
      <c r="A549" t="s">
        <v>1034</v>
      </c>
      <c r="B549" s="20">
        <v>45920</v>
      </c>
      <c r="C549" t="s">
        <v>409</v>
      </c>
      <c r="D549" t="s">
        <v>48</v>
      </c>
      <c r="E549" s="37">
        <v>36</v>
      </c>
      <c r="F549" t="s">
        <v>72</v>
      </c>
      <c r="G549" t="s">
        <v>73</v>
      </c>
      <c r="H549" t="s">
        <v>66</v>
      </c>
      <c r="I549" t="s">
        <v>39</v>
      </c>
      <c r="J549" t="s">
        <v>149</v>
      </c>
      <c r="K549" s="37">
        <v>17</v>
      </c>
      <c r="L549" t="s">
        <v>52</v>
      </c>
      <c r="M549" s="21">
        <v>42400</v>
      </c>
      <c r="N549" s="21">
        <v>585120</v>
      </c>
      <c r="O549" s="21">
        <v>76320</v>
      </c>
      <c r="P549" s="37">
        <v>3</v>
      </c>
      <c r="Q549" t="s">
        <v>42</v>
      </c>
      <c r="R549" s="37">
        <v>19</v>
      </c>
      <c r="S549" s="37">
        <v>10</v>
      </c>
      <c r="T549" t="s">
        <v>129</v>
      </c>
      <c r="U549" t="s">
        <v>63</v>
      </c>
      <c r="V549" t="s">
        <v>45</v>
      </c>
      <c r="W549" t="str">
        <f t="shared" si="40"/>
        <v>31-40</v>
      </c>
      <c r="X549" t="str">
        <f t="shared" si="41"/>
        <v>11-20 yrs</v>
      </c>
      <c r="Y549" t="str">
        <f t="shared" si="42"/>
        <v>Sep</v>
      </c>
      <c r="Z549">
        <f t="shared" si="43"/>
        <v>2025</v>
      </c>
      <c r="AA549">
        <f t="shared" si="44"/>
        <v>0</v>
      </c>
    </row>
    <row r="550" spans="1:27" ht="15" customHeight="1" x14ac:dyDescent="0.3">
      <c r="A550" t="s">
        <v>1035</v>
      </c>
      <c r="B550" s="20">
        <v>45691</v>
      </c>
      <c r="C550" t="s">
        <v>1036</v>
      </c>
      <c r="D550" t="s">
        <v>48</v>
      </c>
      <c r="E550" s="37">
        <v>48</v>
      </c>
      <c r="F550" t="s">
        <v>97</v>
      </c>
      <c r="G550" t="s">
        <v>98</v>
      </c>
      <c r="H550" t="s">
        <v>118</v>
      </c>
      <c r="I550" t="s">
        <v>39</v>
      </c>
      <c r="J550" t="s">
        <v>137</v>
      </c>
      <c r="K550" s="37">
        <v>27</v>
      </c>
      <c r="L550" t="s">
        <v>52</v>
      </c>
      <c r="M550" s="21">
        <v>36200</v>
      </c>
      <c r="N550" s="21">
        <v>469152</v>
      </c>
      <c r="O550" s="21">
        <v>34752</v>
      </c>
      <c r="P550" s="37">
        <v>3</v>
      </c>
      <c r="Q550" t="s">
        <v>42</v>
      </c>
      <c r="R550" s="37">
        <v>9</v>
      </c>
      <c r="S550" s="37">
        <v>1</v>
      </c>
      <c r="T550" t="s">
        <v>94</v>
      </c>
      <c r="U550" t="s">
        <v>63</v>
      </c>
      <c r="V550" t="s">
        <v>45</v>
      </c>
      <c r="W550" t="str">
        <f t="shared" si="40"/>
        <v>41-50</v>
      </c>
      <c r="X550" t="str">
        <f t="shared" si="41"/>
        <v>21-30 yrs</v>
      </c>
      <c r="Y550" t="str">
        <f t="shared" si="42"/>
        <v>Feb</v>
      </c>
      <c r="Z550">
        <f t="shared" si="43"/>
        <v>2025</v>
      </c>
      <c r="AA550">
        <f t="shared" si="44"/>
        <v>0</v>
      </c>
    </row>
    <row r="551" spans="1:27" ht="15" customHeight="1" x14ac:dyDescent="0.3">
      <c r="A551" t="s">
        <v>1037</v>
      </c>
      <c r="B551" s="20">
        <v>46008</v>
      </c>
      <c r="C551" t="s">
        <v>953</v>
      </c>
      <c r="D551" t="s">
        <v>35</v>
      </c>
      <c r="E551" s="37">
        <v>45</v>
      </c>
      <c r="F551" t="s">
        <v>123</v>
      </c>
      <c r="G551" t="s">
        <v>124</v>
      </c>
      <c r="H551" t="s">
        <v>59</v>
      </c>
      <c r="I551" t="s">
        <v>82</v>
      </c>
      <c r="J551" t="s">
        <v>104</v>
      </c>
      <c r="K551" s="37">
        <v>18</v>
      </c>
      <c r="L551" t="s">
        <v>52</v>
      </c>
      <c r="M551" s="21">
        <v>47400</v>
      </c>
      <c r="N551" s="21">
        <v>637056</v>
      </c>
      <c r="O551" s="21">
        <v>68256</v>
      </c>
      <c r="P551" s="37">
        <v>4</v>
      </c>
      <c r="Q551" t="s">
        <v>42</v>
      </c>
      <c r="R551" s="37">
        <v>6</v>
      </c>
      <c r="S551" s="37">
        <v>34</v>
      </c>
      <c r="T551" t="s">
        <v>68</v>
      </c>
      <c r="U551" t="s">
        <v>63</v>
      </c>
      <c r="V551" t="s">
        <v>45</v>
      </c>
      <c r="W551" t="str">
        <f t="shared" si="40"/>
        <v>41-50</v>
      </c>
      <c r="X551" t="str">
        <f t="shared" si="41"/>
        <v>11-20 yrs</v>
      </c>
      <c r="Y551" t="str">
        <f t="shared" si="42"/>
        <v>Dec</v>
      </c>
      <c r="Z551">
        <f t="shared" si="43"/>
        <v>2025</v>
      </c>
      <c r="AA551">
        <f t="shared" si="44"/>
        <v>0</v>
      </c>
    </row>
    <row r="552" spans="1:27" ht="15" customHeight="1" x14ac:dyDescent="0.3">
      <c r="A552" t="s">
        <v>1038</v>
      </c>
      <c r="B552" s="20">
        <v>45699</v>
      </c>
      <c r="C552" t="s">
        <v>321</v>
      </c>
      <c r="D552" t="s">
        <v>48</v>
      </c>
      <c r="E552" s="37">
        <v>53</v>
      </c>
      <c r="F552" t="s">
        <v>123</v>
      </c>
      <c r="G552" t="s">
        <v>124</v>
      </c>
      <c r="H552" t="s">
        <v>38</v>
      </c>
      <c r="I552" t="s">
        <v>60</v>
      </c>
      <c r="J552" t="s">
        <v>40</v>
      </c>
      <c r="K552" s="37">
        <v>26</v>
      </c>
      <c r="L552" t="s">
        <v>120</v>
      </c>
      <c r="M552" s="21">
        <v>126900</v>
      </c>
      <c r="N552" s="21">
        <v>1812132</v>
      </c>
      <c r="O552" s="21">
        <v>289332</v>
      </c>
      <c r="P552" s="37">
        <v>3</v>
      </c>
      <c r="Q552" t="s">
        <v>126</v>
      </c>
      <c r="R552" s="37">
        <v>10</v>
      </c>
      <c r="S552" s="37">
        <v>21</v>
      </c>
      <c r="T552" t="s">
        <v>53</v>
      </c>
      <c r="U552" t="s">
        <v>63</v>
      </c>
      <c r="V552" t="s">
        <v>45</v>
      </c>
      <c r="W552" t="str">
        <f t="shared" si="40"/>
        <v>51-58</v>
      </c>
      <c r="X552" t="str">
        <f t="shared" si="41"/>
        <v>21-30 yrs</v>
      </c>
      <c r="Y552" t="str">
        <f t="shared" si="42"/>
        <v>Feb</v>
      </c>
      <c r="Z552">
        <f t="shared" si="43"/>
        <v>2025</v>
      </c>
      <c r="AA552">
        <f t="shared" si="44"/>
        <v>1</v>
      </c>
    </row>
    <row r="553" spans="1:27" ht="15" customHeight="1" x14ac:dyDescent="0.3">
      <c r="A553" t="s">
        <v>1039</v>
      </c>
      <c r="B553" s="20">
        <v>46010</v>
      </c>
      <c r="C553" t="s">
        <v>509</v>
      </c>
      <c r="D553" t="s">
        <v>48</v>
      </c>
      <c r="E553" s="37">
        <v>51</v>
      </c>
      <c r="F553" t="s">
        <v>49</v>
      </c>
      <c r="G553" t="s">
        <v>50</v>
      </c>
      <c r="H553" t="s">
        <v>38</v>
      </c>
      <c r="I553" t="s">
        <v>39</v>
      </c>
      <c r="J553" t="s">
        <v>110</v>
      </c>
      <c r="K553" s="37">
        <v>7</v>
      </c>
      <c r="L553" t="s">
        <v>52</v>
      </c>
      <c r="M553" s="21">
        <v>30200</v>
      </c>
      <c r="N553" s="21">
        <v>420384</v>
      </c>
      <c r="O553" s="21">
        <v>57984</v>
      </c>
      <c r="P553" s="37">
        <v>3</v>
      </c>
      <c r="Q553" t="s">
        <v>42</v>
      </c>
      <c r="R553" s="37">
        <v>16</v>
      </c>
      <c r="S553" s="37">
        <v>26</v>
      </c>
      <c r="T553" t="s">
        <v>62</v>
      </c>
      <c r="U553" t="s">
        <v>54</v>
      </c>
      <c r="V553" t="s">
        <v>45</v>
      </c>
      <c r="W553" t="str">
        <f t="shared" si="40"/>
        <v>51-58</v>
      </c>
      <c r="X553" t="str">
        <f t="shared" si="41"/>
        <v>6-10 yrs</v>
      </c>
      <c r="Y553" t="str">
        <f t="shared" si="42"/>
        <v>Dec</v>
      </c>
      <c r="Z553">
        <f t="shared" si="43"/>
        <v>2025</v>
      </c>
      <c r="AA553">
        <f t="shared" si="44"/>
        <v>0</v>
      </c>
    </row>
    <row r="554" spans="1:27" ht="15" customHeight="1" x14ac:dyDescent="0.3">
      <c r="A554" t="s">
        <v>1040</v>
      </c>
      <c r="B554" s="20">
        <v>45766</v>
      </c>
      <c r="C554" t="s">
        <v>1041</v>
      </c>
      <c r="D554" t="s">
        <v>48</v>
      </c>
      <c r="E554" s="37">
        <v>51</v>
      </c>
      <c r="F554" t="s">
        <v>72</v>
      </c>
      <c r="G554" t="s">
        <v>73</v>
      </c>
      <c r="H554" t="s">
        <v>66</v>
      </c>
      <c r="I554" t="s">
        <v>51</v>
      </c>
      <c r="J554" t="s">
        <v>161</v>
      </c>
      <c r="K554" s="37">
        <v>2</v>
      </c>
      <c r="L554" t="s">
        <v>52</v>
      </c>
      <c r="M554" s="21">
        <v>265400</v>
      </c>
      <c r="N554" s="21">
        <v>3566976</v>
      </c>
      <c r="O554" s="21">
        <v>382176</v>
      </c>
      <c r="P554" s="37">
        <v>2</v>
      </c>
      <c r="Q554" t="s">
        <v>42</v>
      </c>
      <c r="R554" s="37">
        <v>6</v>
      </c>
      <c r="S554" s="37">
        <v>27</v>
      </c>
      <c r="T554" t="s">
        <v>105</v>
      </c>
      <c r="U554" t="s">
        <v>54</v>
      </c>
      <c r="V554" t="s">
        <v>45</v>
      </c>
      <c r="W554" t="str">
        <f t="shared" si="40"/>
        <v>51-58</v>
      </c>
      <c r="X554" t="str">
        <f t="shared" si="41"/>
        <v>0-5 yrs</v>
      </c>
      <c r="Y554" t="str">
        <f t="shared" si="42"/>
        <v>Apr</v>
      </c>
      <c r="Z554">
        <f t="shared" si="43"/>
        <v>2025</v>
      </c>
      <c r="AA554">
        <f t="shared" si="44"/>
        <v>0</v>
      </c>
    </row>
    <row r="555" spans="1:27" ht="15" customHeight="1" x14ac:dyDescent="0.3">
      <c r="A555" t="s">
        <v>1042</v>
      </c>
      <c r="B555" s="20">
        <v>45731</v>
      </c>
      <c r="C555" t="s">
        <v>1043</v>
      </c>
      <c r="D555" t="s">
        <v>48</v>
      </c>
      <c r="E555" s="37">
        <v>45</v>
      </c>
      <c r="F555" t="s">
        <v>123</v>
      </c>
      <c r="G555" t="s">
        <v>124</v>
      </c>
      <c r="H555" t="s">
        <v>66</v>
      </c>
      <c r="I555" t="s">
        <v>82</v>
      </c>
      <c r="J555" t="s">
        <v>93</v>
      </c>
      <c r="K555" s="37">
        <v>18</v>
      </c>
      <c r="L555" t="s">
        <v>52</v>
      </c>
      <c r="M555" s="21">
        <v>60200</v>
      </c>
      <c r="N555" s="21">
        <v>765744</v>
      </c>
      <c r="O555" s="21">
        <v>43344</v>
      </c>
      <c r="P555" s="37">
        <v>4</v>
      </c>
      <c r="Q555" t="s">
        <v>42</v>
      </c>
      <c r="R555" s="37">
        <v>14</v>
      </c>
      <c r="S555" s="37">
        <v>12</v>
      </c>
      <c r="T555" t="s">
        <v>43</v>
      </c>
      <c r="U555" t="s">
        <v>54</v>
      </c>
      <c r="V555" t="s">
        <v>45</v>
      </c>
      <c r="W555" t="str">
        <f t="shared" si="40"/>
        <v>41-50</v>
      </c>
      <c r="X555" t="str">
        <f t="shared" si="41"/>
        <v>11-20 yrs</v>
      </c>
      <c r="Y555" t="str">
        <f t="shared" si="42"/>
        <v>Mar</v>
      </c>
      <c r="Z555">
        <f t="shared" si="43"/>
        <v>2025</v>
      </c>
      <c r="AA555">
        <f t="shared" si="44"/>
        <v>0</v>
      </c>
    </row>
    <row r="556" spans="1:27" ht="15" customHeight="1" x14ac:dyDescent="0.3">
      <c r="A556" t="s">
        <v>1044</v>
      </c>
      <c r="B556" s="20">
        <v>45708</v>
      </c>
      <c r="C556" t="s">
        <v>386</v>
      </c>
      <c r="D556" t="s">
        <v>48</v>
      </c>
      <c r="E556" s="37">
        <v>27</v>
      </c>
      <c r="F556" t="s">
        <v>123</v>
      </c>
      <c r="G556" t="s">
        <v>124</v>
      </c>
      <c r="H556" t="s">
        <v>118</v>
      </c>
      <c r="I556" t="s">
        <v>39</v>
      </c>
      <c r="J556" t="s">
        <v>137</v>
      </c>
      <c r="K556" s="37">
        <v>1</v>
      </c>
      <c r="L556" t="s">
        <v>52</v>
      </c>
      <c r="M556" s="21">
        <v>29000</v>
      </c>
      <c r="N556" s="21">
        <v>417600</v>
      </c>
      <c r="O556" s="21">
        <v>69600</v>
      </c>
      <c r="P556" s="37">
        <v>4</v>
      </c>
      <c r="Q556" t="s">
        <v>42</v>
      </c>
      <c r="R556" s="37">
        <v>14</v>
      </c>
      <c r="S556" s="37">
        <v>23</v>
      </c>
      <c r="T556" t="s">
        <v>43</v>
      </c>
      <c r="U556" t="s">
        <v>63</v>
      </c>
      <c r="V556" t="s">
        <v>45</v>
      </c>
      <c r="W556" t="str">
        <f t="shared" si="40"/>
        <v>22-30</v>
      </c>
      <c r="X556" t="str">
        <f t="shared" si="41"/>
        <v>0-5 yrs</v>
      </c>
      <c r="Y556" t="str">
        <f t="shared" si="42"/>
        <v>Feb</v>
      </c>
      <c r="Z556">
        <f t="shared" si="43"/>
        <v>2025</v>
      </c>
      <c r="AA556">
        <f t="shared" si="44"/>
        <v>0</v>
      </c>
    </row>
    <row r="557" spans="1:27" ht="15" customHeight="1" x14ac:dyDescent="0.3">
      <c r="A557" t="s">
        <v>1045</v>
      </c>
      <c r="B557" s="20">
        <v>45770</v>
      </c>
      <c r="C557" t="s">
        <v>1046</v>
      </c>
      <c r="D557" t="s">
        <v>48</v>
      </c>
      <c r="E557" s="37">
        <v>53</v>
      </c>
      <c r="F557" t="s">
        <v>91</v>
      </c>
      <c r="G557" t="s">
        <v>92</v>
      </c>
      <c r="H557" t="s">
        <v>118</v>
      </c>
      <c r="I557" t="s">
        <v>51</v>
      </c>
      <c r="J557" t="s">
        <v>119</v>
      </c>
      <c r="K557" s="37">
        <v>30</v>
      </c>
      <c r="L557" t="s">
        <v>52</v>
      </c>
      <c r="M557" s="21">
        <v>188800</v>
      </c>
      <c r="N557" s="21">
        <v>2446848</v>
      </c>
      <c r="O557" s="21">
        <v>181248</v>
      </c>
      <c r="P557" s="37">
        <v>5</v>
      </c>
      <c r="Q557" t="s">
        <v>42</v>
      </c>
      <c r="R557" s="37">
        <v>12</v>
      </c>
      <c r="S557" s="37">
        <v>22</v>
      </c>
      <c r="T557" t="s">
        <v>175</v>
      </c>
      <c r="U557" t="s">
        <v>44</v>
      </c>
      <c r="V557" t="s">
        <v>45</v>
      </c>
      <c r="W557" t="str">
        <f t="shared" si="40"/>
        <v>51-58</v>
      </c>
      <c r="X557" t="str">
        <f t="shared" si="41"/>
        <v>21-30 yrs</v>
      </c>
      <c r="Y557" t="str">
        <f t="shared" si="42"/>
        <v>Apr</v>
      </c>
      <c r="Z557">
        <f t="shared" si="43"/>
        <v>2025</v>
      </c>
      <c r="AA557">
        <f t="shared" si="44"/>
        <v>0</v>
      </c>
    </row>
    <row r="558" spans="1:27" ht="15" customHeight="1" x14ac:dyDescent="0.3">
      <c r="A558" t="s">
        <v>1047</v>
      </c>
      <c r="B558" s="20">
        <v>45880</v>
      </c>
      <c r="C558" t="s">
        <v>1010</v>
      </c>
      <c r="D558" t="s">
        <v>35</v>
      </c>
      <c r="E558" s="37">
        <v>54</v>
      </c>
      <c r="F558" t="s">
        <v>108</v>
      </c>
      <c r="G558" t="s">
        <v>109</v>
      </c>
      <c r="H558" t="s">
        <v>66</v>
      </c>
      <c r="I558" t="s">
        <v>39</v>
      </c>
      <c r="J558" t="s">
        <v>170</v>
      </c>
      <c r="K558" s="37">
        <v>24</v>
      </c>
      <c r="L558" t="s">
        <v>52</v>
      </c>
      <c r="M558" s="21">
        <v>36900</v>
      </c>
      <c r="N558" s="21">
        <v>473796</v>
      </c>
      <c r="O558" s="21">
        <v>30996</v>
      </c>
      <c r="P558" s="37">
        <v>4</v>
      </c>
      <c r="Q558" t="s">
        <v>126</v>
      </c>
      <c r="R558" s="37">
        <v>7</v>
      </c>
      <c r="S558" s="37">
        <v>27</v>
      </c>
      <c r="T558" t="s">
        <v>62</v>
      </c>
      <c r="U558" t="s">
        <v>44</v>
      </c>
      <c r="V558" t="s">
        <v>45</v>
      </c>
      <c r="W558" t="str">
        <f t="shared" si="40"/>
        <v>51-58</v>
      </c>
      <c r="X558" t="str">
        <f t="shared" si="41"/>
        <v>21-30 yrs</v>
      </c>
      <c r="Y558" t="str">
        <f t="shared" si="42"/>
        <v>Aug</v>
      </c>
      <c r="Z558">
        <f t="shared" si="43"/>
        <v>2025</v>
      </c>
      <c r="AA558">
        <f t="shared" si="44"/>
        <v>1</v>
      </c>
    </row>
    <row r="559" spans="1:27" ht="15" customHeight="1" x14ac:dyDescent="0.3">
      <c r="A559" t="s">
        <v>1048</v>
      </c>
      <c r="B559" s="20">
        <v>45892</v>
      </c>
      <c r="C559" t="s">
        <v>480</v>
      </c>
      <c r="D559" t="s">
        <v>35</v>
      </c>
      <c r="E559" s="37">
        <v>35</v>
      </c>
      <c r="F559" t="s">
        <v>72</v>
      </c>
      <c r="G559" t="s">
        <v>73</v>
      </c>
      <c r="H559" t="s">
        <v>59</v>
      </c>
      <c r="I559" t="s">
        <v>75</v>
      </c>
      <c r="J559" t="s">
        <v>141</v>
      </c>
      <c r="K559" s="37">
        <v>23</v>
      </c>
      <c r="L559" t="s">
        <v>52</v>
      </c>
      <c r="M559" s="21">
        <v>80800</v>
      </c>
      <c r="N559" s="21">
        <v>1027776</v>
      </c>
      <c r="O559" s="21">
        <v>58176</v>
      </c>
      <c r="P559" s="37">
        <v>1</v>
      </c>
      <c r="Q559" t="s">
        <v>126</v>
      </c>
      <c r="R559" s="37">
        <v>19</v>
      </c>
      <c r="S559" s="37">
        <v>30</v>
      </c>
      <c r="T559" t="s">
        <v>77</v>
      </c>
      <c r="U559" t="s">
        <v>44</v>
      </c>
      <c r="V559" t="s">
        <v>69</v>
      </c>
      <c r="W559" t="str">
        <f t="shared" si="40"/>
        <v>31-40</v>
      </c>
      <c r="X559" t="str">
        <f t="shared" si="41"/>
        <v>21-30 yrs</v>
      </c>
      <c r="Y559" t="str">
        <f t="shared" si="42"/>
        <v>Aug</v>
      </c>
      <c r="Z559">
        <f t="shared" si="43"/>
        <v>2025</v>
      </c>
      <c r="AA559">
        <f t="shared" si="44"/>
        <v>1</v>
      </c>
    </row>
    <row r="560" spans="1:27" ht="15" customHeight="1" x14ac:dyDescent="0.3">
      <c r="A560" t="s">
        <v>1049</v>
      </c>
      <c r="B560" s="20">
        <v>45903</v>
      </c>
      <c r="C560" t="s">
        <v>409</v>
      </c>
      <c r="D560" t="s">
        <v>48</v>
      </c>
      <c r="E560" s="37">
        <v>35</v>
      </c>
      <c r="F560" t="s">
        <v>86</v>
      </c>
      <c r="G560" t="s">
        <v>87</v>
      </c>
      <c r="H560" t="s">
        <v>66</v>
      </c>
      <c r="I560" t="s">
        <v>60</v>
      </c>
      <c r="J560" t="s">
        <v>149</v>
      </c>
      <c r="K560" s="37">
        <v>20</v>
      </c>
      <c r="L560" t="s">
        <v>41</v>
      </c>
      <c r="M560" s="21">
        <v>141400</v>
      </c>
      <c r="N560" s="21">
        <v>1849512</v>
      </c>
      <c r="O560" s="21">
        <v>152712</v>
      </c>
      <c r="P560" s="37">
        <v>2</v>
      </c>
      <c r="Q560" t="s">
        <v>42</v>
      </c>
      <c r="R560" s="37">
        <v>20</v>
      </c>
      <c r="S560" s="37">
        <v>15</v>
      </c>
      <c r="T560" t="s">
        <v>43</v>
      </c>
      <c r="U560" t="s">
        <v>44</v>
      </c>
      <c r="V560" t="s">
        <v>45</v>
      </c>
      <c r="W560" t="str">
        <f t="shared" si="40"/>
        <v>31-40</v>
      </c>
      <c r="X560" t="str">
        <f t="shared" si="41"/>
        <v>11-20 yrs</v>
      </c>
      <c r="Y560" t="str">
        <f t="shared" si="42"/>
        <v>Sep</v>
      </c>
      <c r="Z560">
        <f t="shared" si="43"/>
        <v>2025</v>
      </c>
      <c r="AA560">
        <f t="shared" si="44"/>
        <v>0</v>
      </c>
    </row>
    <row r="561" spans="1:27" ht="15" customHeight="1" x14ac:dyDescent="0.3">
      <c r="A561" t="s">
        <v>1050</v>
      </c>
      <c r="B561" s="20">
        <v>45695</v>
      </c>
      <c r="C561" t="s">
        <v>1051</v>
      </c>
      <c r="D561" t="s">
        <v>35</v>
      </c>
      <c r="E561" s="37">
        <v>33</v>
      </c>
      <c r="F561" t="s">
        <v>80</v>
      </c>
      <c r="G561" t="s">
        <v>81</v>
      </c>
      <c r="H561" t="s">
        <v>66</v>
      </c>
      <c r="I561" t="s">
        <v>60</v>
      </c>
      <c r="J561" t="s">
        <v>161</v>
      </c>
      <c r="K561" s="37">
        <v>19</v>
      </c>
      <c r="L561" t="s">
        <v>52</v>
      </c>
      <c r="M561" s="21">
        <v>153700</v>
      </c>
      <c r="N561" s="21">
        <v>2176392</v>
      </c>
      <c r="O561" s="21">
        <v>331992</v>
      </c>
      <c r="P561" s="37">
        <v>4</v>
      </c>
      <c r="Q561" t="s">
        <v>126</v>
      </c>
      <c r="R561" s="37">
        <v>8</v>
      </c>
      <c r="S561" s="37">
        <v>8</v>
      </c>
      <c r="T561" t="s">
        <v>43</v>
      </c>
      <c r="U561" t="s">
        <v>44</v>
      </c>
      <c r="V561" t="s">
        <v>45</v>
      </c>
      <c r="W561" t="str">
        <f t="shared" si="40"/>
        <v>31-40</v>
      </c>
      <c r="X561" t="str">
        <f t="shared" si="41"/>
        <v>11-20 yrs</v>
      </c>
      <c r="Y561" t="str">
        <f t="shared" si="42"/>
        <v>Feb</v>
      </c>
      <c r="Z561">
        <f t="shared" si="43"/>
        <v>2025</v>
      </c>
      <c r="AA561">
        <f t="shared" si="44"/>
        <v>1</v>
      </c>
    </row>
    <row r="562" spans="1:27" ht="15" customHeight="1" x14ac:dyDescent="0.3">
      <c r="A562" t="s">
        <v>1052</v>
      </c>
      <c r="B562" s="20">
        <v>45696</v>
      </c>
      <c r="C562" t="s">
        <v>280</v>
      </c>
      <c r="D562" t="s">
        <v>35</v>
      </c>
      <c r="E562" s="37">
        <v>23</v>
      </c>
      <c r="F562" t="s">
        <v>80</v>
      </c>
      <c r="G562" t="s">
        <v>81</v>
      </c>
      <c r="H562" t="s">
        <v>66</v>
      </c>
      <c r="I562" t="s">
        <v>82</v>
      </c>
      <c r="J562" t="s">
        <v>161</v>
      </c>
      <c r="K562" s="37">
        <v>6</v>
      </c>
      <c r="L562" t="s">
        <v>41</v>
      </c>
      <c r="M562" s="21">
        <v>62100</v>
      </c>
      <c r="N562" s="21">
        <v>797364</v>
      </c>
      <c r="O562" s="21">
        <v>52164</v>
      </c>
      <c r="P562" s="37">
        <v>2</v>
      </c>
      <c r="Q562" t="s">
        <v>126</v>
      </c>
      <c r="R562" s="37">
        <v>8</v>
      </c>
      <c r="S562" s="37">
        <v>12</v>
      </c>
      <c r="T562" t="s">
        <v>62</v>
      </c>
      <c r="U562" t="s">
        <v>44</v>
      </c>
      <c r="V562" t="s">
        <v>45</v>
      </c>
      <c r="W562" t="str">
        <f t="shared" si="40"/>
        <v>22-30</v>
      </c>
      <c r="X562" t="str">
        <f t="shared" si="41"/>
        <v>6-10 yrs</v>
      </c>
      <c r="Y562" t="str">
        <f t="shared" si="42"/>
        <v>Feb</v>
      </c>
      <c r="Z562">
        <f t="shared" si="43"/>
        <v>2025</v>
      </c>
      <c r="AA562">
        <f t="shared" si="44"/>
        <v>1</v>
      </c>
    </row>
    <row r="563" spans="1:27" ht="15" customHeight="1" x14ac:dyDescent="0.3">
      <c r="A563" t="s">
        <v>1053</v>
      </c>
      <c r="B563" s="20">
        <v>45663</v>
      </c>
      <c r="C563" t="s">
        <v>594</v>
      </c>
      <c r="D563" t="s">
        <v>35</v>
      </c>
      <c r="E563" s="37">
        <v>42</v>
      </c>
      <c r="F563" t="s">
        <v>80</v>
      </c>
      <c r="G563" t="s">
        <v>81</v>
      </c>
      <c r="H563" t="s">
        <v>38</v>
      </c>
      <c r="I563" t="s">
        <v>75</v>
      </c>
      <c r="J563" t="s">
        <v>40</v>
      </c>
      <c r="K563" s="37">
        <v>2</v>
      </c>
      <c r="L563" t="s">
        <v>52</v>
      </c>
      <c r="M563" s="21">
        <v>101100</v>
      </c>
      <c r="N563" s="21">
        <v>1346652</v>
      </c>
      <c r="O563" s="21">
        <v>133452</v>
      </c>
      <c r="P563" s="37">
        <v>5</v>
      </c>
      <c r="Q563" t="s">
        <v>42</v>
      </c>
      <c r="R563" s="37">
        <v>15</v>
      </c>
      <c r="S563" s="37">
        <v>38</v>
      </c>
      <c r="T563" t="s">
        <v>77</v>
      </c>
      <c r="U563" t="s">
        <v>63</v>
      </c>
      <c r="V563" t="s">
        <v>45</v>
      </c>
      <c r="W563" t="str">
        <f t="shared" si="40"/>
        <v>41-50</v>
      </c>
      <c r="X563" t="str">
        <f t="shared" si="41"/>
        <v>0-5 yrs</v>
      </c>
      <c r="Y563" t="str">
        <f t="shared" si="42"/>
        <v>Jan</v>
      </c>
      <c r="Z563">
        <f t="shared" si="43"/>
        <v>2025</v>
      </c>
      <c r="AA563">
        <f t="shared" si="44"/>
        <v>0</v>
      </c>
    </row>
    <row r="564" spans="1:27" ht="15" customHeight="1" x14ac:dyDescent="0.3">
      <c r="A564" t="s">
        <v>1054</v>
      </c>
      <c r="B564" s="20">
        <v>45979</v>
      </c>
      <c r="C564" t="s">
        <v>1055</v>
      </c>
      <c r="D564" t="s">
        <v>48</v>
      </c>
      <c r="E564" s="37">
        <v>51</v>
      </c>
      <c r="F564" t="s">
        <v>57</v>
      </c>
      <c r="G564" t="s">
        <v>58</v>
      </c>
      <c r="H564" t="s">
        <v>74</v>
      </c>
      <c r="I564" t="s">
        <v>82</v>
      </c>
      <c r="J564" t="s">
        <v>115</v>
      </c>
      <c r="K564" s="37">
        <v>0</v>
      </c>
      <c r="L564" t="s">
        <v>52</v>
      </c>
      <c r="M564" s="21">
        <v>57400</v>
      </c>
      <c r="N564" s="21">
        <v>750792</v>
      </c>
      <c r="O564" s="21">
        <v>61992</v>
      </c>
      <c r="P564" s="37">
        <v>3</v>
      </c>
      <c r="Q564" t="s">
        <v>42</v>
      </c>
      <c r="R564" s="37">
        <v>7</v>
      </c>
      <c r="S564" s="37">
        <v>21</v>
      </c>
      <c r="T564" t="s">
        <v>146</v>
      </c>
      <c r="U564" t="s">
        <v>63</v>
      </c>
      <c r="V564" t="s">
        <v>45</v>
      </c>
      <c r="W564" t="str">
        <f t="shared" si="40"/>
        <v>51-58</v>
      </c>
      <c r="X564" t="str">
        <f t="shared" si="41"/>
        <v>0-5 yrs</v>
      </c>
      <c r="Y564" t="str">
        <f t="shared" si="42"/>
        <v>Nov</v>
      </c>
      <c r="Z564">
        <f t="shared" si="43"/>
        <v>2025</v>
      </c>
      <c r="AA564">
        <f t="shared" si="44"/>
        <v>0</v>
      </c>
    </row>
    <row r="565" spans="1:27" ht="15" customHeight="1" x14ac:dyDescent="0.3">
      <c r="A565" t="s">
        <v>1056</v>
      </c>
      <c r="B565" s="20">
        <v>45920</v>
      </c>
      <c r="C565" t="s">
        <v>768</v>
      </c>
      <c r="D565" t="s">
        <v>35</v>
      </c>
      <c r="E565" s="37">
        <v>42</v>
      </c>
      <c r="F565" t="s">
        <v>36</v>
      </c>
      <c r="G565" t="s">
        <v>37</v>
      </c>
      <c r="H565" t="s">
        <v>59</v>
      </c>
      <c r="I565" t="s">
        <v>75</v>
      </c>
      <c r="J565" t="s">
        <v>61</v>
      </c>
      <c r="K565" s="37">
        <v>5</v>
      </c>
      <c r="L565" t="s">
        <v>120</v>
      </c>
      <c r="M565" s="21">
        <v>69000</v>
      </c>
      <c r="N565" s="21">
        <v>910800</v>
      </c>
      <c r="O565" s="21">
        <v>82800</v>
      </c>
      <c r="P565" s="37">
        <v>3</v>
      </c>
      <c r="Q565" t="s">
        <v>126</v>
      </c>
      <c r="R565" s="37">
        <v>6</v>
      </c>
      <c r="S565" s="37">
        <v>28</v>
      </c>
      <c r="T565" t="s">
        <v>53</v>
      </c>
      <c r="U565" t="s">
        <v>63</v>
      </c>
      <c r="V565" t="s">
        <v>45</v>
      </c>
      <c r="W565" t="str">
        <f t="shared" si="40"/>
        <v>41-50</v>
      </c>
      <c r="X565" t="str">
        <f t="shared" si="41"/>
        <v>0-5 yrs</v>
      </c>
      <c r="Y565" t="str">
        <f t="shared" si="42"/>
        <v>Sep</v>
      </c>
      <c r="Z565">
        <f t="shared" si="43"/>
        <v>2025</v>
      </c>
      <c r="AA565">
        <f t="shared" si="44"/>
        <v>1</v>
      </c>
    </row>
    <row r="566" spans="1:27" ht="15" customHeight="1" x14ac:dyDescent="0.3">
      <c r="A566" t="s">
        <v>1057</v>
      </c>
      <c r="B566" s="20">
        <v>45668</v>
      </c>
      <c r="C566" t="s">
        <v>1058</v>
      </c>
      <c r="D566" t="s">
        <v>48</v>
      </c>
      <c r="E566" s="37">
        <v>23</v>
      </c>
      <c r="F566" t="s">
        <v>86</v>
      </c>
      <c r="G566" t="s">
        <v>87</v>
      </c>
      <c r="H566" t="s">
        <v>66</v>
      </c>
      <c r="I566" t="s">
        <v>60</v>
      </c>
      <c r="J566" t="s">
        <v>149</v>
      </c>
      <c r="K566" s="37">
        <v>9</v>
      </c>
      <c r="L566" t="s">
        <v>120</v>
      </c>
      <c r="M566" s="21">
        <v>166900</v>
      </c>
      <c r="N566" s="21">
        <v>2183052</v>
      </c>
      <c r="O566" s="21">
        <v>180252</v>
      </c>
      <c r="P566" s="37">
        <v>5</v>
      </c>
      <c r="Q566" t="s">
        <v>42</v>
      </c>
      <c r="R566" s="37">
        <v>10</v>
      </c>
      <c r="S566" s="37">
        <v>16</v>
      </c>
      <c r="T566" t="s">
        <v>53</v>
      </c>
      <c r="U566" t="s">
        <v>44</v>
      </c>
      <c r="V566" t="s">
        <v>45</v>
      </c>
      <c r="W566" t="str">
        <f t="shared" si="40"/>
        <v>22-30</v>
      </c>
      <c r="X566" t="str">
        <f t="shared" si="41"/>
        <v>6-10 yrs</v>
      </c>
      <c r="Y566" t="str">
        <f t="shared" si="42"/>
        <v>Jan</v>
      </c>
      <c r="Z566">
        <f t="shared" si="43"/>
        <v>2025</v>
      </c>
      <c r="AA566">
        <f t="shared" si="44"/>
        <v>0</v>
      </c>
    </row>
    <row r="567" spans="1:27" ht="15" customHeight="1" x14ac:dyDescent="0.3">
      <c r="A567" t="s">
        <v>1059</v>
      </c>
      <c r="B567" s="20">
        <v>45945</v>
      </c>
      <c r="C567" t="s">
        <v>1060</v>
      </c>
      <c r="D567" t="s">
        <v>48</v>
      </c>
      <c r="E567" s="37">
        <v>58</v>
      </c>
      <c r="F567" t="s">
        <v>91</v>
      </c>
      <c r="G567" t="s">
        <v>92</v>
      </c>
      <c r="H567" t="s">
        <v>38</v>
      </c>
      <c r="I567" t="s">
        <v>82</v>
      </c>
      <c r="J567" t="s">
        <v>110</v>
      </c>
      <c r="K567" s="37">
        <v>26</v>
      </c>
      <c r="L567" t="s">
        <v>52</v>
      </c>
      <c r="M567" s="21">
        <v>68200</v>
      </c>
      <c r="N567" s="21">
        <v>867504</v>
      </c>
      <c r="O567" s="21">
        <v>49104</v>
      </c>
      <c r="P567" s="37">
        <v>5</v>
      </c>
      <c r="Q567" t="s">
        <v>42</v>
      </c>
      <c r="R567" s="37">
        <v>19</v>
      </c>
      <c r="S567" s="37">
        <v>20</v>
      </c>
      <c r="T567" t="s">
        <v>68</v>
      </c>
      <c r="U567" t="s">
        <v>138</v>
      </c>
      <c r="V567" t="s">
        <v>45</v>
      </c>
      <c r="W567" t="str">
        <f t="shared" si="40"/>
        <v>51-58</v>
      </c>
      <c r="X567" t="str">
        <f t="shared" si="41"/>
        <v>21-30 yrs</v>
      </c>
      <c r="Y567" t="str">
        <f t="shared" si="42"/>
        <v>Oct</v>
      </c>
      <c r="Z567">
        <f t="shared" si="43"/>
        <v>2025</v>
      </c>
      <c r="AA567">
        <f t="shared" si="44"/>
        <v>0</v>
      </c>
    </row>
    <row r="568" spans="1:27" ht="15" customHeight="1" x14ac:dyDescent="0.3">
      <c r="A568" t="s">
        <v>1061</v>
      </c>
      <c r="B568" s="20">
        <v>45814</v>
      </c>
      <c r="C568" t="s">
        <v>415</v>
      </c>
      <c r="D568" t="s">
        <v>35</v>
      </c>
      <c r="E568" s="37">
        <v>54</v>
      </c>
      <c r="F568" t="s">
        <v>91</v>
      </c>
      <c r="G568" t="s">
        <v>92</v>
      </c>
      <c r="H568" t="s">
        <v>74</v>
      </c>
      <c r="I568" t="s">
        <v>39</v>
      </c>
      <c r="J568" t="s">
        <v>115</v>
      </c>
      <c r="K568" s="37">
        <v>29</v>
      </c>
      <c r="L568" t="s">
        <v>52</v>
      </c>
      <c r="M568" s="21">
        <v>33000</v>
      </c>
      <c r="N568" s="21">
        <v>455399</v>
      </c>
      <c r="O568" s="21">
        <v>59400</v>
      </c>
      <c r="P568" s="37">
        <v>5</v>
      </c>
      <c r="Q568" t="s">
        <v>42</v>
      </c>
      <c r="R568" s="37">
        <v>1</v>
      </c>
      <c r="S568" s="37">
        <v>34</v>
      </c>
      <c r="T568" t="s">
        <v>94</v>
      </c>
      <c r="U568" t="s">
        <v>54</v>
      </c>
      <c r="V568" t="s">
        <v>69</v>
      </c>
      <c r="W568" t="str">
        <f t="shared" si="40"/>
        <v>51-58</v>
      </c>
      <c r="X568" t="str">
        <f t="shared" si="41"/>
        <v>21-30 yrs</v>
      </c>
      <c r="Y568" t="str">
        <f t="shared" si="42"/>
        <v>Jun</v>
      </c>
      <c r="Z568">
        <f t="shared" si="43"/>
        <v>2025</v>
      </c>
      <c r="AA568">
        <f t="shared" si="44"/>
        <v>0</v>
      </c>
    </row>
    <row r="569" spans="1:27" ht="15" customHeight="1" x14ac:dyDescent="0.3">
      <c r="A569" t="s">
        <v>1062</v>
      </c>
      <c r="B569" s="20">
        <v>45871</v>
      </c>
      <c r="C569" t="s">
        <v>1063</v>
      </c>
      <c r="D569" t="s">
        <v>48</v>
      </c>
      <c r="E569" s="37">
        <v>51</v>
      </c>
      <c r="F569" t="s">
        <v>97</v>
      </c>
      <c r="G569" t="s">
        <v>98</v>
      </c>
      <c r="H569" t="s">
        <v>38</v>
      </c>
      <c r="I569" t="s">
        <v>75</v>
      </c>
      <c r="J569" t="s">
        <v>99</v>
      </c>
      <c r="K569" s="37">
        <v>17</v>
      </c>
      <c r="L569" t="s">
        <v>52</v>
      </c>
      <c r="M569" s="21">
        <v>72300</v>
      </c>
      <c r="N569" s="21">
        <v>997739</v>
      </c>
      <c r="O569" s="21">
        <v>130140</v>
      </c>
      <c r="P569" s="37">
        <v>3</v>
      </c>
      <c r="Q569" t="s">
        <v>42</v>
      </c>
      <c r="R569" s="37">
        <v>16</v>
      </c>
      <c r="S569" s="37">
        <v>20</v>
      </c>
      <c r="T569" t="s">
        <v>68</v>
      </c>
      <c r="U569" t="s">
        <v>44</v>
      </c>
      <c r="V569" t="s">
        <v>45</v>
      </c>
      <c r="W569" t="str">
        <f t="shared" si="40"/>
        <v>51-58</v>
      </c>
      <c r="X569" t="str">
        <f t="shared" si="41"/>
        <v>11-20 yrs</v>
      </c>
      <c r="Y569" t="str">
        <f t="shared" si="42"/>
        <v>Aug</v>
      </c>
      <c r="Z569">
        <f t="shared" si="43"/>
        <v>2025</v>
      </c>
      <c r="AA569">
        <f t="shared" si="44"/>
        <v>0</v>
      </c>
    </row>
    <row r="570" spans="1:27" ht="15" customHeight="1" x14ac:dyDescent="0.3">
      <c r="A570" t="s">
        <v>1064</v>
      </c>
      <c r="B570" s="20">
        <v>45918</v>
      </c>
      <c r="C570" t="s">
        <v>1065</v>
      </c>
      <c r="D570" t="s">
        <v>35</v>
      </c>
      <c r="E570" s="37">
        <v>35</v>
      </c>
      <c r="F570" t="s">
        <v>108</v>
      </c>
      <c r="G570" t="s">
        <v>109</v>
      </c>
      <c r="H570" t="s">
        <v>74</v>
      </c>
      <c r="I570" t="s">
        <v>51</v>
      </c>
      <c r="J570" t="s">
        <v>367</v>
      </c>
      <c r="K570" s="37">
        <v>25</v>
      </c>
      <c r="L570" t="s">
        <v>52</v>
      </c>
      <c r="M570" s="21">
        <v>220000</v>
      </c>
      <c r="N570" s="21">
        <v>2983199</v>
      </c>
      <c r="O570" s="21">
        <v>343200</v>
      </c>
      <c r="P570" s="37">
        <v>3</v>
      </c>
      <c r="Q570" t="s">
        <v>42</v>
      </c>
      <c r="R570" s="37">
        <v>12</v>
      </c>
      <c r="S570" s="37">
        <v>23</v>
      </c>
      <c r="T570" t="s">
        <v>62</v>
      </c>
      <c r="U570" t="s">
        <v>44</v>
      </c>
      <c r="V570" t="s">
        <v>69</v>
      </c>
      <c r="W570" t="str">
        <f t="shared" si="40"/>
        <v>31-40</v>
      </c>
      <c r="X570" t="str">
        <f t="shared" si="41"/>
        <v>21-30 yrs</v>
      </c>
      <c r="Y570" t="str">
        <f t="shared" si="42"/>
        <v>Sep</v>
      </c>
      <c r="Z570">
        <f t="shared" si="43"/>
        <v>2025</v>
      </c>
      <c r="AA570">
        <f t="shared" si="44"/>
        <v>0</v>
      </c>
    </row>
    <row r="571" spans="1:27" ht="15" customHeight="1" x14ac:dyDescent="0.3">
      <c r="A571" t="s">
        <v>1066</v>
      </c>
      <c r="B571" s="20">
        <v>45894</v>
      </c>
      <c r="C571" t="s">
        <v>1067</v>
      </c>
      <c r="D571" t="s">
        <v>48</v>
      </c>
      <c r="E571" s="37">
        <v>44</v>
      </c>
      <c r="F571" t="s">
        <v>97</v>
      </c>
      <c r="G571" t="s">
        <v>98</v>
      </c>
      <c r="H571" t="s">
        <v>74</v>
      </c>
      <c r="I571" t="s">
        <v>51</v>
      </c>
      <c r="J571" t="s">
        <v>152</v>
      </c>
      <c r="K571" s="37">
        <v>25</v>
      </c>
      <c r="L571" t="s">
        <v>41</v>
      </c>
      <c r="M571" s="21">
        <v>281200</v>
      </c>
      <c r="N571" s="21">
        <v>3981792</v>
      </c>
      <c r="O571" s="21">
        <v>607392</v>
      </c>
      <c r="P571" s="37">
        <v>3</v>
      </c>
      <c r="Q571" t="s">
        <v>126</v>
      </c>
      <c r="R571" s="37">
        <v>1</v>
      </c>
      <c r="S571" s="37">
        <v>3</v>
      </c>
      <c r="T571" t="s">
        <v>68</v>
      </c>
      <c r="U571" t="s">
        <v>63</v>
      </c>
      <c r="V571" t="s">
        <v>69</v>
      </c>
      <c r="W571" t="str">
        <f t="shared" si="40"/>
        <v>41-50</v>
      </c>
      <c r="X571" t="str">
        <f t="shared" si="41"/>
        <v>21-30 yrs</v>
      </c>
      <c r="Y571" t="str">
        <f t="shared" si="42"/>
        <v>Aug</v>
      </c>
      <c r="Z571">
        <f t="shared" si="43"/>
        <v>2025</v>
      </c>
      <c r="AA571">
        <f t="shared" si="44"/>
        <v>1</v>
      </c>
    </row>
    <row r="572" spans="1:27" ht="15" customHeight="1" x14ac:dyDescent="0.3">
      <c r="A572" t="s">
        <v>1068</v>
      </c>
      <c r="B572" s="20">
        <v>45915</v>
      </c>
      <c r="C572" t="s">
        <v>1069</v>
      </c>
      <c r="D572" t="s">
        <v>35</v>
      </c>
      <c r="E572" s="37">
        <v>47</v>
      </c>
      <c r="F572" t="s">
        <v>72</v>
      </c>
      <c r="G572" t="s">
        <v>73</v>
      </c>
      <c r="H572" t="s">
        <v>38</v>
      </c>
      <c r="I572" t="s">
        <v>75</v>
      </c>
      <c r="J572" t="s">
        <v>40</v>
      </c>
      <c r="K572" s="37">
        <v>6</v>
      </c>
      <c r="L572" t="s">
        <v>52</v>
      </c>
      <c r="M572" s="21">
        <v>85200</v>
      </c>
      <c r="N572" s="21">
        <v>1124640</v>
      </c>
      <c r="O572" s="21">
        <v>102240</v>
      </c>
      <c r="P572" s="37">
        <v>3</v>
      </c>
      <c r="Q572" t="s">
        <v>42</v>
      </c>
      <c r="R572" s="37">
        <v>3</v>
      </c>
      <c r="S572" s="37">
        <v>37</v>
      </c>
      <c r="T572" t="s">
        <v>146</v>
      </c>
      <c r="U572" t="s">
        <v>44</v>
      </c>
      <c r="V572" t="s">
        <v>45</v>
      </c>
      <c r="W572" t="str">
        <f t="shared" si="40"/>
        <v>41-50</v>
      </c>
      <c r="X572" t="str">
        <f t="shared" si="41"/>
        <v>6-10 yrs</v>
      </c>
      <c r="Y572" t="str">
        <f t="shared" si="42"/>
        <v>Sep</v>
      </c>
      <c r="Z572">
        <f t="shared" si="43"/>
        <v>2025</v>
      </c>
      <c r="AA572">
        <f t="shared" si="44"/>
        <v>0</v>
      </c>
    </row>
    <row r="573" spans="1:27" ht="15" customHeight="1" x14ac:dyDescent="0.3">
      <c r="A573" t="s">
        <v>1070</v>
      </c>
      <c r="B573" s="20">
        <v>45843</v>
      </c>
      <c r="C573" t="s">
        <v>542</v>
      </c>
      <c r="D573" t="s">
        <v>35</v>
      </c>
      <c r="E573" s="37">
        <v>56</v>
      </c>
      <c r="F573" t="s">
        <v>86</v>
      </c>
      <c r="G573" t="s">
        <v>87</v>
      </c>
      <c r="H573" t="s">
        <v>66</v>
      </c>
      <c r="I573" t="s">
        <v>75</v>
      </c>
      <c r="J573" t="s">
        <v>149</v>
      </c>
      <c r="K573" s="37">
        <v>1</v>
      </c>
      <c r="L573" t="s">
        <v>52</v>
      </c>
      <c r="M573" s="21">
        <v>110700</v>
      </c>
      <c r="N573" s="21">
        <v>1447956</v>
      </c>
      <c r="O573" s="21">
        <v>119556</v>
      </c>
      <c r="P573" s="37">
        <v>5</v>
      </c>
      <c r="Q573" t="s">
        <v>42</v>
      </c>
      <c r="R573" s="37">
        <v>2</v>
      </c>
      <c r="S573" s="37">
        <v>20</v>
      </c>
      <c r="T573" t="s">
        <v>146</v>
      </c>
      <c r="U573" t="s">
        <v>44</v>
      </c>
      <c r="V573" t="s">
        <v>45</v>
      </c>
      <c r="W573" t="str">
        <f t="shared" si="40"/>
        <v>51-58</v>
      </c>
      <c r="X573" t="str">
        <f t="shared" si="41"/>
        <v>0-5 yrs</v>
      </c>
      <c r="Y573" t="str">
        <f t="shared" si="42"/>
        <v>Jul</v>
      </c>
      <c r="Z573">
        <f t="shared" si="43"/>
        <v>2025</v>
      </c>
      <c r="AA573">
        <f t="shared" si="44"/>
        <v>0</v>
      </c>
    </row>
    <row r="574" spans="1:27" ht="15" customHeight="1" x14ac:dyDescent="0.3">
      <c r="A574" t="s">
        <v>1071</v>
      </c>
      <c r="B574" s="20">
        <v>45760</v>
      </c>
      <c r="C574" t="s">
        <v>1072</v>
      </c>
      <c r="D574" t="s">
        <v>35</v>
      </c>
      <c r="E574" s="37">
        <v>55</v>
      </c>
      <c r="F574" t="s">
        <v>49</v>
      </c>
      <c r="G574" t="s">
        <v>50</v>
      </c>
      <c r="H574" t="s">
        <v>66</v>
      </c>
      <c r="I574" t="s">
        <v>82</v>
      </c>
      <c r="J574" t="s">
        <v>161</v>
      </c>
      <c r="K574" s="37">
        <v>5</v>
      </c>
      <c r="L574" t="s">
        <v>52</v>
      </c>
      <c r="M574" s="21">
        <v>57700</v>
      </c>
      <c r="N574" s="21">
        <v>747792</v>
      </c>
      <c r="O574" s="21">
        <v>55392</v>
      </c>
      <c r="P574" s="37">
        <v>5</v>
      </c>
      <c r="Q574" t="s">
        <v>126</v>
      </c>
      <c r="R574" s="37">
        <v>10</v>
      </c>
      <c r="S574" s="37">
        <v>17</v>
      </c>
      <c r="T574" t="s">
        <v>77</v>
      </c>
      <c r="U574" t="s">
        <v>44</v>
      </c>
      <c r="V574" t="s">
        <v>45</v>
      </c>
      <c r="W574" t="str">
        <f t="shared" si="40"/>
        <v>51-58</v>
      </c>
      <c r="X574" t="str">
        <f t="shared" si="41"/>
        <v>0-5 yrs</v>
      </c>
      <c r="Y574" t="str">
        <f t="shared" si="42"/>
        <v>Apr</v>
      </c>
      <c r="Z574">
        <f t="shared" si="43"/>
        <v>2025</v>
      </c>
      <c r="AA574">
        <f t="shared" si="44"/>
        <v>1</v>
      </c>
    </row>
    <row r="575" spans="1:27" ht="15" customHeight="1" x14ac:dyDescent="0.3">
      <c r="A575" t="s">
        <v>1073</v>
      </c>
      <c r="B575" s="20">
        <v>45856</v>
      </c>
      <c r="C575" t="s">
        <v>294</v>
      </c>
      <c r="D575" t="s">
        <v>35</v>
      </c>
      <c r="E575" s="37">
        <v>45</v>
      </c>
      <c r="F575" t="s">
        <v>123</v>
      </c>
      <c r="G575" t="s">
        <v>124</v>
      </c>
      <c r="H575" t="s">
        <v>74</v>
      </c>
      <c r="I575" t="s">
        <v>75</v>
      </c>
      <c r="J575" t="s">
        <v>367</v>
      </c>
      <c r="K575" s="37">
        <v>22</v>
      </c>
      <c r="L575" t="s">
        <v>52</v>
      </c>
      <c r="M575" s="21">
        <v>98500</v>
      </c>
      <c r="N575" s="21">
        <v>1276560</v>
      </c>
      <c r="O575" s="21">
        <v>94560</v>
      </c>
      <c r="P575" s="37">
        <v>3</v>
      </c>
      <c r="Q575" t="s">
        <v>42</v>
      </c>
      <c r="R575" s="37">
        <v>20</v>
      </c>
      <c r="S575" s="37">
        <v>40</v>
      </c>
      <c r="T575" t="s">
        <v>43</v>
      </c>
      <c r="U575" t="s">
        <v>44</v>
      </c>
      <c r="V575" t="s">
        <v>45</v>
      </c>
      <c r="W575" t="str">
        <f t="shared" si="40"/>
        <v>41-50</v>
      </c>
      <c r="X575" t="str">
        <f t="shared" si="41"/>
        <v>21-30 yrs</v>
      </c>
      <c r="Y575" t="str">
        <f t="shared" si="42"/>
        <v>Jul</v>
      </c>
      <c r="Z575">
        <f t="shared" si="43"/>
        <v>2025</v>
      </c>
      <c r="AA575">
        <f t="shared" si="44"/>
        <v>0</v>
      </c>
    </row>
    <row r="576" spans="1:27" ht="15" customHeight="1" x14ac:dyDescent="0.3">
      <c r="A576" t="s">
        <v>1074</v>
      </c>
      <c r="B576" s="20">
        <v>45986</v>
      </c>
      <c r="C576" t="s">
        <v>1075</v>
      </c>
      <c r="D576" t="s">
        <v>35</v>
      </c>
      <c r="E576" s="37">
        <v>37</v>
      </c>
      <c r="F576" t="s">
        <v>91</v>
      </c>
      <c r="G576" t="s">
        <v>92</v>
      </c>
      <c r="H576" t="s">
        <v>59</v>
      </c>
      <c r="I576" t="s">
        <v>51</v>
      </c>
      <c r="J576" t="s">
        <v>61</v>
      </c>
      <c r="K576" s="37">
        <v>6</v>
      </c>
      <c r="L576" t="s">
        <v>52</v>
      </c>
      <c r="M576" s="21">
        <v>175300</v>
      </c>
      <c r="N576" s="21">
        <v>2461212</v>
      </c>
      <c r="O576" s="21">
        <v>357612</v>
      </c>
      <c r="P576" s="37">
        <v>5</v>
      </c>
      <c r="Q576" t="s">
        <v>42</v>
      </c>
      <c r="R576" s="37">
        <v>5</v>
      </c>
      <c r="S576" s="37">
        <v>33</v>
      </c>
      <c r="T576" t="s">
        <v>77</v>
      </c>
      <c r="U576" t="s">
        <v>44</v>
      </c>
      <c r="V576" t="s">
        <v>45</v>
      </c>
      <c r="W576" t="str">
        <f t="shared" si="40"/>
        <v>31-40</v>
      </c>
      <c r="X576" t="str">
        <f t="shared" si="41"/>
        <v>6-10 yrs</v>
      </c>
      <c r="Y576" t="str">
        <f t="shared" si="42"/>
        <v>Nov</v>
      </c>
      <c r="Z576">
        <f t="shared" si="43"/>
        <v>2025</v>
      </c>
      <c r="AA576">
        <f t="shared" si="44"/>
        <v>0</v>
      </c>
    </row>
    <row r="577" spans="1:27" ht="15" customHeight="1" x14ac:dyDescent="0.3">
      <c r="A577" t="s">
        <v>1076</v>
      </c>
      <c r="B577" s="20">
        <v>45846</v>
      </c>
      <c r="C577" t="s">
        <v>1077</v>
      </c>
      <c r="D577" t="s">
        <v>48</v>
      </c>
      <c r="E577" s="37">
        <v>46</v>
      </c>
      <c r="F577" t="s">
        <v>97</v>
      </c>
      <c r="G577" t="s">
        <v>98</v>
      </c>
      <c r="H577" t="s">
        <v>74</v>
      </c>
      <c r="I577" t="s">
        <v>51</v>
      </c>
      <c r="J577" t="s">
        <v>76</v>
      </c>
      <c r="K577" s="37">
        <v>6</v>
      </c>
      <c r="L577" t="s">
        <v>41</v>
      </c>
      <c r="M577" s="21">
        <v>266600</v>
      </c>
      <c r="N577" s="21">
        <v>3583104</v>
      </c>
      <c r="O577" s="21">
        <v>383904</v>
      </c>
      <c r="P577" s="37">
        <v>3</v>
      </c>
      <c r="Q577" t="s">
        <v>42</v>
      </c>
      <c r="R577" s="37">
        <v>8</v>
      </c>
      <c r="S577" s="37">
        <v>8</v>
      </c>
      <c r="T577" t="s">
        <v>146</v>
      </c>
      <c r="U577" t="s">
        <v>63</v>
      </c>
      <c r="V577" t="s">
        <v>45</v>
      </c>
      <c r="W577" t="str">
        <f t="shared" si="40"/>
        <v>41-50</v>
      </c>
      <c r="X577" t="str">
        <f t="shared" si="41"/>
        <v>6-10 yrs</v>
      </c>
      <c r="Y577" t="str">
        <f t="shared" si="42"/>
        <v>Jul</v>
      </c>
      <c r="Z577">
        <f t="shared" si="43"/>
        <v>2025</v>
      </c>
      <c r="AA577">
        <f t="shared" si="44"/>
        <v>0</v>
      </c>
    </row>
    <row r="578" spans="1:27" ht="15" customHeight="1" x14ac:dyDescent="0.3">
      <c r="A578" t="s">
        <v>1078</v>
      </c>
      <c r="B578" s="20">
        <v>45966</v>
      </c>
      <c r="C578" t="s">
        <v>1079</v>
      </c>
      <c r="D578" t="s">
        <v>35</v>
      </c>
      <c r="E578" s="37">
        <v>54</v>
      </c>
      <c r="F578" t="s">
        <v>57</v>
      </c>
      <c r="G578" t="s">
        <v>58</v>
      </c>
      <c r="H578" t="s">
        <v>38</v>
      </c>
      <c r="I578" t="s">
        <v>82</v>
      </c>
      <c r="J578" t="s">
        <v>99</v>
      </c>
      <c r="K578" s="37">
        <v>18</v>
      </c>
      <c r="L578" t="s">
        <v>52</v>
      </c>
      <c r="M578" s="21">
        <v>56900</v>
      </c>
      <c r="N578" s="21">
        <v>812532</v>
      </c>
      <c r="O578" s="21">
        <v>129732</v>
      </c>
      <c r="P578" s="37">
        <v>3</v>
      </c>
      <c r="Q578" t="s">
        <v>42</v>
      </c>
      <c r="R578" s="37">
        <v>15</v>
      </c>
      <c r="S578" s="37">
        <v>18</v>
      </c>
      <c r="T578" t="s">
        <v>68</v>
      </c>
      <c r="U578" t="s">
        <v>63</v>
      </c>
      <c r="V578" t="s">
        <v>45</v>
      </c>
      <c r="W578" t="str">
        <f t="shared" ref="W578:W641" si="45">IF(E578&lt;=30,"22-30",IF(E578&lt;=40,"31-40",IF(E578&lt;=50,"41-50","51-58")))</f>
        <v>51-58</v>
      </c>
      <c r="X578" t="str">
        <f t="shared" ref="X578:X641" si="46">IF(K578&lt;=5,"0-5 yrs",IF(K578&lt;=10,"6-10 yrs",IF(K578&lt;=20,"11-20 yrs","21-30 yrs")))</f>
        <v>11-20 yrs</v>
      </c>
      <c r="Y578" t="str">
        <f t="shared" ref="Y578:Y641" si="47">TEXT(B578,"mmm")</f>
        <v>Nov</v>
      </c>
      <c r="Z578">
        <f t="shared" ref="Z578:Z641" si="48">YEAR(B578)</f>
        <v>2025</v>
      </c>
      <c r="AA578">
        <f t="shared" ref="AA578:AA641" si="49">IF(Q578="Yes",1,0)</f>
        <v>0</v>
      </c>
    </row>
    <row r="579" spans="1:27" ht="15" customHeight="1" x14ac:dyDescent="0.3">
      <c r="A579" t="s">
        <v>1080</v>
      </c>
      <c r="B579" s="20">
        <v>45766</v>
      </c>
      <c r="C579" t="s">
        <v>1081</v>
      </c>
      <c r="D579" t="s">
        <v>35</v>
      </c>
      <c r="E579" s="37">
        <v>33</v>
      </c>
      <c r="F579" t="s">
        <v>49</v>
      </c>
      <c r="G579" t="s">
        <v>50</v>
      </c>
      <c r="H579" t="s">
        <v>66</v>
      </c>
      <c r="I579" t="s">
        <v>39</v>
      </c>
      <c r="J579" t="s">
        <v>170</v>
      </c>
      <c r="K579" s="37">
        <v>19</v>
      </c>
      <c r="L579" t="s">
        <v>52</v>
      </c>
      <c r="M579" s="21">
        <v>43800</v>
      </c>
      <c r="N579" s="21">
        <v>609696</v>
      </c>
      <c r="O579" s="21">
        <v>84096</v>
      </c>
      <c r="P579" s="37">
        <v>3</v>
      </c>
      <c r="Q579" t="s">
        <v>42</v>
      </c>
      <c r="R579" s="37">
        <v>1</v>
      </c>
      <c r="S579" s="37">
        <v>21</v>
      </c>
      <c r="T579" t="s">
        <v>77</v>
      </c>
      <c r="U579" t="s">
        <v>63</v>
      </c>
      <c r="V579" t="s">
        <v>45</v>
      </c>
      <c r="W579" t="str">
        <f t="shared" si="45"/>
        <v>31-40</v>
      </c>
      <c r="X579" t="str">
        <f t="shared" si="46"/>
        <v>11-20 yrs</v>
      </c>
      <c r="Y579" t="str">
        <f t="shared" si="47"/>
        <v>Apr</v>
      </c>
      <c r="Z579">
        <f t="shared" si="48"/>
        <v>2025</v>
      </c>
      <c r="AA579">
        <f t="shared" si="49"/>
        <v>0</v>
      </c>
    </row>
    <row r="580" spans="1:27" ht="15" customHeight="1" x14ac:dyDescent="0.3">
      <c r="A580" t="s">
        <v>1082</v>
      </c>
      <c r="B580" s="20">
        <v>45997</v>
      </c>
      <c r="C580" t="s">
        <v>327</v>
      </c>
      <c r="D580" t="s">
        <v>35</v>
      </c>
      <c r="E580" s="37">
        <v>30</v>
      </c>
      <c r="F580" t="s">
        <v>72</v>
      </c>
      <c r="G580" t="s">
        <v>73</v>
      </c>
      <c r="H580" t="s">
        <v>74</v>
      </c>
      <c r="I580" t="s">
        <v>60</v>
      </c>
      <c r="J580" t="s">
        <v>76</v>
      </c>
      <c r="K580" s="37">
        <v>15</v>
      </c>
      <c r="L580" t="s">
        <v>52</v>
      </c>
      <c r="M580" s="21">
        <v>133500</v>
      </c>
      <c r="N580" s="21">
        <v>1874340</v>
      </c>
      <c r="O580" s="21">
        <v>272340</v>
      </c>
      <c r="P580" s="37">
        <v>3</v>
      </c>
      <c r="Q580" t="s">
        <v>42</v>
      </c>
      <c r="R580" s="37">
        <v>14</v>
      </c>
      <c r="S580" s="37">
        <v>38</v>
      </c>
      <c r="T580" t="s">
        <v>68</v>
      </c>
      <c r="U580" t="s">
        <v>63</v>
      </c>
      <c r="V580" t="s">
        <v>45</v>
      </c>
      <c r="W580" t="str">
        <f t="shared" si="45"/>
        <v>22-30</v>
      </c>
      <c r="X580" t="str">
        <f t="shared" si="46"/>
        <v>11-20 yrs</v>
      </c>
      <c r="Y580" t="str">
        <f t="shared" si="47"/>
        <v>Dec</v>
      </c>
      <c r="Z580">
        <f t="shared" si="48"/>
        <v>2025</v>
      </c>
      <c r="AA580">
        <f t="shared" si="49"/>
        <v>0</v>
      </c>
    </row>
    <row r="581" spans="1:27" ht="15" customHeight="1" x14ac:dyDescent="0.3">
      <c r="A581" t="s">
        <v>1083</v>
      </c>
      <c r="B581" s="20">
        <v>46012</v>
      </c>
      <c r="C581" t="s">
        <v>1084</v>
      </c>
      <c r="D581" t="s">
        <v>48</v>
      </c>
      <c r="E581" s="37">
        <v>27</v>
      </c>
      <c r="F581" t="s">
        <v>97</v>
      </c>
      <c r="G581" t="s">
        <v>98</v>
      </c>
      <c r="H581" t="s">
        <v>38</v>
      </c>
      <c r="I581" t="s">
        <v>39</v>
      </c>
      <c r="J581" t="s">
        <v>134</v>
      </c>
      <c r="K581" s="37">
        <v>2</v>
      </c>
      <c r="L581" t="s">
        <v>52</v>
      </c>
      <c r="M581" s="21">
        <v>30700</v>
      </c>
      <c r="N581" s="21">
        <v>434712</v>
      </c>
      <c r="O581" s="21">
        <v>66312</v>
      </c>
      <c r="P581" s="37">
        <v>2</v>
      </c>
      <c r="Q581" t="s">
        <v>42</v>
      </c>
      <c r="R581" s="37">
        <v>5</v>
      </c>
      <c r="S581" s="37">
        <v>39</v>
      </c>
      <c r="T581" t="s">
        <v>62</v>
      </c>
      <c r="U581" t="s">
        <v>44</v>
      </c>
      <c r="V581" t="s">
        <v>45</v>
      </c>
      <c r="W581" t="str">
        <f t="shared" si="45"/>
        <v>22-30</v>
      </c>
      <c r="X581" t="str">
        <f t="shared" si="46"/>
        <v>0-5 yrs</v>
      </c>
      <c r="Y581" t="str">
        <f t="shared" si="47"/>
        <v>Dec</v>
      </c>
      <c r="Z581">
        <f t="shared" si="48"/>
        <v>2025</v>
      </c>
      <c r="AA581">
        <f t="shared" si="49"/>
        <v>0</v>
      </c>
    </row>
    <row r="582" spans="1:27" ht="15" customHeight="1" x14ac:dyDescent="0.3">
      <c r="A582" t="s">
        <v>1085</v>
      </c>
      <c r="B582" s="20">
        <v>46014</v>
      </c>
      <c r="C582" t="s">
        <v>985</v>
      </c>
      <c r="D582" t="s">
        <v>35</v>
      </c>
      <c r="E582" s="37">
        <v>58</v>
      </c>
      <c r="F582" t="s">
        <v>97</v>
      </c>
      <c r="G582" t="s">
        <v>98</v>
      </c>
      <c r="H582" t="s">
        <v>74</v>
      </c>
      <c r="I582" t="s">
        <v>39</v>
      </c>
      <c r="J582" t="s">
        <v>152</v>
      </c>
      <c r="K582" s="37">
        <v>19</v>
      </c>
      <c r="L582" t="s">
        <v>52</v>
      </c>
      <c r="M582" s="21">
        <v>36900</v>
      </c>
      <c r="N582" s="21">
        <v>509219</v>
      </c>
      <c r="O582" s="21">
        <v>66420</v>
      </c>
      <c r="P582" s="37">
        <v>4</v>
      </c>
      <c r="Q582" t="s">
        <v>42</v>
      </c>
      <c r="R582" s="37">
        <v>18</v>
      </c>
      <c r="S582" s="37">
        <v>18</v>
      </c>
      <c r="T582" t="s">
        <v>94</v>
      </c>
      <c r="U582" t="s">
        <v>63</v>
      </c>
      <c r="V582" t="s">
        <v>45</v>
      </c>
      <c r="W582" t="str">
        <f t="shared" si="45"/>
        <v>51-58</v>
      </c>
      <c r="X582" t="str">
        <f t="shared" si="46"/>
        <v>11-20 yrs</v>
      </c>
      <c r="Y582" t="str">
        <f t="shared" si="47"/>
        <v>Dec</v>
      </c>
      <c r="Z582">
        <f t="shared" si="48"/>
        <v>2025</v>
      </c>
      <c r="AA582">
        <f t="shared" si="49"/>
        <v>0</v>
      </c>
    </row>
    <row r="583" spans="1:27" ht="15" customHeight="1" x14ac:dyDescent="0.3">
      <c r="A583" t="s">
        <v>1086</v>
      </c>
      <c r="B583" s="20">
        <v>45696</v>
      </c>
      <c r="C583" t="s">
        <v>1087</v>
      </c>
      <c r="D583" t="s">
        <v>35</v>
      </c>
      <c r="E583" s="37">
        <v>49</v>
      </c>
      <c r="F583" t="s">
        <v>86</v>
      </c>
      <c r="G583" t="s">
        <v>87</v>
      </c>
      <c r="H583" t="s">
        <v>38</v>
      </c>
      <c r="I583" t="s">
        <v>51</v>
      </c>
      <c r="J583" t="s">
        <v>134</v>
      </c>
      <c r="K583" s="37">
        <v>30</v>
      </c>
      <c r="L583" t="s">
        <v>52</v>
      </c>
      <c r="M583" s="21">
        <v>182400</v>
      </c>
      <c r="N583" s="21">
        <v>2539008</v>
      </c>
      <c r="O583" s="21">
        <v>350208</v>
      </c>
      <c r="P583" s="37">
        <v>5</v>
      </c>
      <c r="Q583" t="s">
        <v>42</v>
      </c>
      <c r="R583" s="37">
        <v>15</v>
      </c>
      <c r="S583" s="37">
        <v>31</v>
      </c>
      <c r="T583" t="s">
        <v>62</v>
      </c>
      <c r="U583" t="s">
        <v>44</v>
      </c>
      <c r="V583" t="s">
        <v>69</v>
      </c>
      <c r="W583" t="str">
        <f t="shared" si="45"/>
        <v>41-50</v>
      </c>
      <c r="X583" t="str">
        <f t="shared" si="46"/>
        <v>21-30 yrs</v>
      </c>
      <c r="Y583" t="str">
        <f t="shared" si="47"/>
        <v>Feb</v>
      </c>
      <c r="Z583">
        <f t="shared" si="48"/>
        <v>2025</v>
      </c>
      <c r="AA583">
        <f t="shared" si="49"/>
        <v>0</v>
      </c>
    </row>
    <row r="584" spans="1:27" ht="15" customHeight="1" x14ac:dyDescent="0.3">
      <c r="A584" t="s">
        <v>1088</v>
      </c>
      <c r="B584" s="20">
        <v>45955</v>
      </c>
      <c r="C584" t="s">
        <v>340</v>
      </c>
      <c r="D584" t="s">
        <v>35</v>
      </c>
      <c r="E584" s="37">
        <v>49</v>
      </c>
      <c r="F584" t="s">
        <v>97</v>
      </c>
      <c r="G584" t="s">
        <v>98</v>
      </c>
      <c r="H584" t="s">
        <v>74</v>
      </c>
      <c r="I584" t="s">
        <v>82</v>
      </c>
      <c r="J584" t="s">
        <v>152</v>
      </c>
      <c r="K584" s="37">
        <v>1</v>
      </c>
      <c r="L584" t="s">
        <v>52</v>
      </c>
      <c r="M584" s="21">
        <v>63000</v>
      </c>
      <c r="N584" s="21">
        <v>831600</v>
      </c>
      <c r="O584" s="21">
        <v>75600</v>
      </c>
      <c r="P584" s="37">
        <v>2</v>
      </c>
      <c r="Q584" t="s">
        <v>42</v>
      </c>
      <c r="R584" s="37">
        <v>14</v>
      </c>
      <c r="S584" s="37">
        <v>38</v>
      </c>
      <c r="T584" t="s">
        <v>43</v>
      </c>
      <c r="U584" t="s">
        <v>63</v>
      </c>
      <c r="V584" t="s">
        <v>45</v>
      </c>
      <c r="W584" t="str">
        <f t="shared" si="45"/>
        <v>41-50</v>
      </c>
      <c r="X584" t="str">
        <f t="shared" si="46"/>
        <v>0-5 yrs</v>
      </c>
      <c r="Y584" t="str">
        <f t="shared" si="47"/>
        <v>Oct</v>
      </c>
      <c r="Z584">
        <f t="shared" si="48"/>
        <v>2025</v>
      </c>
      <c r="AA584">
        <f t="shared" si="49"/>
        <v>0</v>
      </c>
    </row>
    <row r="585" spans="1:27" ht="15" customHeight="1" x14ac:dyDescent="0.3">
      <c r="A585" t="s">
        <v>1089</v>
      </c>
      <c r="B585" s="20">
        <v>45970</v>
      </c>
      <c r="C585" t="s">
        <v>1090</v>
      </c>
      <c r="D585" t="s">
        <v>35</v>
      </c>
      <c r="E585" s="37">
        <v>57</v>
      </c>
      <c r="F585" t="s">
        <v>86</v>
      </c>
      <c r="G585" t="s">
        <v>87</v>
      </c>
      <c r="H585" t="s">
        <v>38</v>
      </c>
      <c r="I585" t="s">
        <v>82</v>
      </c>
      <c r="J585" t="s">
        <v>134</v>
      </c>
      <c r="K585" s="37">
        <v>17</v>
      </c>
      <c r="L585" t="s">
        <v>120</v>
      </c>
      <c r="M585" s="21">
        <v>54100</v>
      </c>
      <c r="N585" s="21">
        <v>714120</v>
      </c>
      <c r="O585" s="21">
        <v>64920</v>
      </c>
      <c r="P585" s="37">
        <v>5</v>
      </c>
      <c r="Q585" t="s">
        <v>42</v>
      </c>
      <c r="R585" s="37">
        <v>13</v>
      </c>
      <c r="S585" s="37">
        <v>13</v>
      </c>
      <c r="T585" t="s">
        <v>94</v>
      </c>
      <c r="U585" t="s">
        <v>63</v>
      </c>
      <c r="V585" t="s">
        <v>45</v>
      </c>
      <c r="W585" t="str">
        <f t="shared" si="45"/>
        <v>51-58</v>
      </c>
      <c r="X585" t="str">
        <f t="shared" si="46"/>
        <v>11-20 yrs</v>
      </c>
      <c r="Y585" t="str">
        <f t="shared" si="47"/>
        <v>Nov</v>
      </c>
      <c r="Z585">
        <f t="shared" si="48"/>
        <v>2025</v>
      </c>
      <c r="AA585">
        <f t="shared" si="49"/>
        <v>0</v>
      </c>
    </row>
    <row r="586" spans="1:27" ht="15" customHeight="1" x14ac:dyDescent="0.3">
      <c r="A586" t="s">
        <v>1091</v>
      </c>
      <c r="B586" s="20">
        <v>45883</v>
      </c>
      <c r="C586" t="s">
        <v>594</v>
      </c>
      <c r="D586" t="s">
        <v>35</v>
      </c>
      <c r="E586" s="37">
        <v>45</v>
      </c>
      <c r="F586" t="s">
        <v>123</v>
      </c>
      <c r="G586" t="s">
        <v>124</v>
      </c>
      <c r="H586" t="s">
        <v>118</v>
      </c>
      <c r="I586" t="s">
        <v>60</v>
      </c>
      <c r="J586" t="s">
        <v>182</v>
      </c>
      <c r="K586" s="37">
        <v>3</v>
      </c>
      <c r="L586" t="s">
        <v>52</v>
      </c>
      <c r="M586" s="21">
        <v>110300</v>
      </c>
      <c r="N586" s="21">
        <v>1508904</v>
      </c>
      <c r="O586" s="21">
        <v>185304</v>
      </c>
      <c r="P586" s="37">
        <v>1</v>
      </c>
      <c r="Q586" t="s">
        <v>42</v>
      </c>
      <c r="R586" s="37">
        <v>16</v>
      </c>
      <c r="S586" s="37">
        <v>21</v>
      </c>
      <c r="T586" t="s">
        <v>43</v>
      </c>
      <c r="U586" t="s">
        <v>44</v>
      </c>
      <c r="V586" t="s">
        <v>45</v>
      </c>
      <c r="W586" t="str">
        <f t="shared" si="45"/>
        <v>41-50</v>
      </c>
      <c r="X586" t="str">
        <f t="shared" si="46"/>
        <v>0-5 yrs</v>
      </c>
      <c r="Y586" t="str">
        <f t="shared" si="47"/>
        <v>Aug</v>
      </c>
      <c r="Z586">
        <f t="shared" si="48"/>
        <v>2025</v>
      </c>
      <c r="AA586">
        <f t="shared" si="49"/>
        <v>0</v>
      </c>
    </row>
    <row r="587" spans="1:27" ht="15" customHeight="1" x14ac:dyDescent="0.3">
      <c r="A587" t="s">
        <v>1092</v>
      </c>
      <c r="B587" s="20">
        <v>45710</v>
      </c>
      <c r="C587" t="s">
        <v>967</v>
      </c>
      <c r="D587" t="s">
        <v>48</v>
      </c>
      <c r="E587" s="37">
        <v>37</v>
      </c>
      <c r="F587" t="s">
        <v>36</v>
      </c>
      <c r="G587" t="s">
        <v>37</v>
      </c>
      <c r="H587" t="s">
        <v>59</v>
      </c>
      <c r="I587" t="s">
        <v>60</v>
      </c>
      <c r="J587" t="s">
        <v>104</v>
      </c>
      <c r="K587" s="37">
        <v>8</v>
      </c>
      <c r="L587" t="s">
        <v>120</v>
      </c>
      <c r="M587" s="21">
        <v>135900</v>
      </c>
      <c r="N587" s="21">
        <v>1891727</v>
      </c>
      <c r="O587" s="21">
        <v>260928</v>
      </c>
      <c r="P587" s="37">
        <v>3</v>
      </c>
      <c r="Q587" t="s">
        <v>42</v>
      </c>
      <c r="R587" s="37">
        <v>0</v>
      </c>
      <c r="S587" s="37">
        <v>7</v>
      </c>
      <c r="T587" t="s">
        <v>175</v>
      </c>
      <c r="U587" t="s">
        <v>54</v>
      </c>
      <c r="V587" t="s">
        <v>69</v>
      </c>
      <c r="W587" t="str">
        <f t="shared" si="45"/>
        <v>31-40</v>
      </c>
      <c r="X587" t="str">
        <f t="shared" si="46"/>
        <v>6-10 yrs</v>
      </c>
      <c r="Y587" t="str">
        <f t="shared" si="47"/>
        <v>Feb</v>
      </c>
      <c r="Z587">
        <f t="shared" si="48"/>
        <v>2025</v>
      </c>
      <c r="AA587">
        <f t="shared" si="49"/>
        <v>0</v>
      </c>
    </row>
    <row r="588" spans="1:27" ht="15" customHeight="1" x14ac:dyDescent="0.3">
      <c r="A588" t="s">
        <v>1093</v>
      </c>
      <c r="B588" s="20">
        <v>45704</v>
      </c>
      <c r="C588" t="s">
        <v>854</v>
      </c>
      <c r="D588" t="s">
        <v>48</v>
      </c>
      <c r="E588" s="37">
        <v>26</v>
      </c>
      <c r="F588" t="s">
        <v>86</v>
      </c>
      <c r="G588" t="s">
        <v>87</v>
      </c>
      <c r="H588" t="s">
        <v>66</v>
      </c>
      <c r="I588" t="s">
        <v>39</v>
      </c>
      <c r="J588" t="s">
        <v>161</v>
      </c>
      <c r="K588" s="37">
        <v>6</v>
      </c>
      <c r="L588" t="s">
        <v>52</v>
      </c>
      <c r="M588" s="21">
        <v>43800</v>
      </c>
      <c r="N588" s="21">
        <v>567648</v>
      </c>
      <c r="O588" s="21">
        <v>42048</v>
      </c>
      <c r="P588" s="37">
        <v>4</v>
      </c>
      <c r="Q588" t="s">
        <v>42</v>
      </c>
      <c r="R588" s="37">
        <v>13</v>
      </c>
      <c r="S588" s="37">
        <v>25</v>
      </c>
      <c r="T588" t="s">
        <v>129</v>
      </c>
      <c r="U588" t="s">
        <v>44</v>
      </c>
      <c r="V588" t="s">
        <v>45</v>
      </c>
      <c r="W588" t="str">
        <f t="shared" si="45"/>
        <v>22-30</v>
      </c>
      <c r="X588" t="str">
        <f t="shared" si="46"/>
        <v>6-10 yrs</v>
      </c>
      <c r="Y588" t="str">
        <f t="shared" si="47"/>
        <v>Feb</v>
      </c>
      <c r="Z588">
        <f t="shared" si="48"/>
        <v>2025</v>
      </c>
      <c r="AA588">
        <f t="shared" si="49"/>
        <v>0</v>
      </c>
    </row>
    <row r="589" spans="1:27" ht="15" customHeight="1" x14ac:dyDescent="0.3">
      <c r="A589" t="s">
        <v>1094</v>
      </c>
      <c r="B589" s="20">
        <v>45974</v>
      </c>
      <c r="C589" t="s">
        <v>1095</v>
      </c>
      <c r="D589" t="s">
        <v>48</v>
      </c>
      <c r="E589" s="37">
        <v>31</v>
      </c>
      <c r="F589" t="s">
        <v>72</v>
      </c>
      <c r="G589" t="s">
        <v>73</v>
      </c>
      <c r="H589" t="s">
        <v>38</v>
      </c>
      <c r="I589" t="s">
        <v>82</v>
      </c>
      <c r="J589" t="s">
        <v>99</v>
      </c>
      <c r="K589" s="37">
        <v>26</v>
      </c>
      <c r="L589" t="s">
        <v>52</v>
      </c>
      <c r="M589" s="21">
        <v>48300</v>
      </c>
      <c r="N589" s="21">
        <v>625968</v>
      </c>
      <c r="O589" s="21">
        <v>46368</v>
      </c>
      <c r="P589" s="37">
        <v>4</v>
      </c>
      <c r="Q589" t="s">
        <v>42</v>
      </c>
      <c r="R589" s="37">
        <v>19</v>
      </c>
      <c r="S589" s="37">
        <v>38</v>
      </c>
      <c r="T589" t="s">
        <v>77</v>
      </c>
      <c r="U589" t="s">
        <v>44</v>
      </c>
      <c r="V589" t="s">
        <v>69</v>
      </c>
      <c r="W589" t="str">
        <f t="shared" si="45"/>
        <v>31-40</v>
      </c>
      <c r="X589" t="str">
        <f t="shared" si="46"/>
        <v>21-30 yrs</v>
      </c>
      <c r="Y589" t="str">
        <f t="shared" si="47"/>
        <v>Nov</v>
      </c>
      <c r="Z589">
        <f t="shared" si="48"/>
        <v>2025</v>
      </c>
      <c r="AA589">
        <f t="shared" si="49"/>
        <v>0</v>
      </c>
    </row>
    <row r="590" spans="1:27" ht="15" customHeight="1" x14ac:dyDescent="0.3">
      <c r="A590" t="s">
        <v>1096</v>
      </c>
      <c r="B590" s="20">
        <v>45934</v>
      </c>
      <c r="C590" t="s">
        <v>1097</v>
      </c>
      <c r="D590" t="s">
        <v>35</v>
      </c>
      <c r="E590" s="37">
        <v>43</v>
      </c>
      <c r="F590" t="s">
        <v>86</v>
      </c>
      <c r="G590" t="s">
        <v>87</v>
      </c>
      <c r="H590" t="s">
        <v>66</v>
      </c>
      <c r="I590" t="s">
        <v>39</v>
      </c>
      <c r="J590" t="s">
        <v>93</v>
      </c>
      <c r="K590" s="37">
        <v>23</v>
      </c>
      <c r="L590" t="s">
        <v>52</v>
      </c>
      <c r="M590" s="21">
        <v>45800</v>
      </c>
      <c r="N590" s="21">
        <v>582576</v>
      </c>
      <c r="O590" s="21">
        <v>32976</v>
      </c>
      <c r="P590" s="37">
        <v>5</v>
      </c>
      <c r="Q590" t="s">
        <v>42</v>
      </c>
      <c r="R590" s="37">
        <v>6</v>
      </c>
      <c r="S590" s="37">
        <v>11</v>
      </c>
      <c r="T590" t="s">
        <v>94</v>
      </c>
      <c r="U590" t="s">
        <v>63</v>
      </c>
      <c r="V590" t="s">
        <v>69</v>
      </c>
      <c r="W590" t="str">
        <f t="shared" si="45"/>
        <v>41-50</v>
      </c>
      <c r="X590" t="str">
        <f t="shared" si="46"/>
        <v>21-30 yrs</v>
      </c>
      <c r="Y590" t="str">
        <f t="shared" si="47"/>
        <v>Oct</v>
      </c>
      <c r="Z590">
        <f t="shared" si="48"/>
        <v>2025</v>
      </c>
      <c r="AA590">
        <f t="shared" si="49"/>
        <v>0</v>
      </c>
    </row>
    <row r="591" spans="1:27" ht="15" customHeight="1" x14ac:dyDescent="0.3">
      <c r="A591" t="s">
        <v>1098</v>
      </c>
      <c r="B591" s="20">
        <v>45702</v>
      </c>
      <c r="C591" t="s">
        <v>612</v>
      </c>
      <c r="D591" t="s">
        <v>35</v>
      </c>
      <c r="E591" s="37">
        <v>28</v>
      </c>
      <c r="F591" t="s">
        <v>36</v>
      </c>
      <c r="G591" t="s">
        <v>37</v>
      </c>
      <c r="H591" t="s">
        <v>74</v>
      </c>
      <c r="I591" t="s">
        <v>82</v>
      </c>
      <c r="J591" t="s">
        <v>83</v>
      </c>
      <c r="K591" s="37">
        <v>16</v>
      </c>
      <c r="L591" t="s">
        <v>52</v>
      </c>
      <c r="M591" s="21">
        <v>66100</v>
      </c>
      <c r="N591" s="21">
        <v>872520</v>
      </c>
      <c r="O591" s="21">
        <v>79320</v>
      </c>
      <c r="P591" s="37">
        <v>4</v>
      </c>
      <c r="Q591" t="s">
        <v>126</v>
      </c>
      <c r="R591" s="37">
        <v>13</v>
      </c>
      <c r="S591" s="37">
        <v>13</v>
      </c>
      <c r="T591" t="s">
        <v>175</v>
      </c>
      <c r="U591" t="s">
        <v>44</v>
      </c>
      <c r="V591" t="s">
        <v>69</v>
      </c>
      <c r="W591" t="str">
        <f t="shared" si="45"/>
        <v>22-30</v>
      </c>
      <c r="X591" t="str">
        <f t="shared" si="46"/>
        <v>11-20 yrs</v>
      </c>
      <c r="Y591" t="str">
        <f t="shared" si="47"/>
        <v>Feb</v>
      </c>
      <c r="Z591">
        <f t="shared" si="48"/>
        <v>2025</v>
      </c>
      <c r="AA591">
        <f t="shared" si="49"/>
        <v>1</v>
      </c>
    </row>
    <row r="592" spans="1:27" ht="15" customHeight="1" x14ac:dyDescent="0.3">
      <c r="A592" t="s">
        <v>1099</v>
      </c>
      <c r="B592" s="20">
        <v>45981</v>
      </c>
      <c r="C592" t="s">
        <v>1100</v>
      </c>
      <c r="D592" t="s">
        <v>35</v>
      </c>
      <c r="E592" s="37">
        <v>31</v>
      </c>
      <c r="F592" t="s">
        <v>49</v>
      </c>
      <c r="G592" t="s">
        <v>50</v>
      </c>
      <c r="H592" t="s">
        <v>59</v>
      </c>
      <c r="I592" t="s">
        <v>82</v>
      </c>
      <c r="J592" t="s">
        <v>125</v>
      </c>
      <c r="K592" s="37">
        <v>26</v>
      </c>
      <c r="L592" t="s">
        <v>52</v>
      </c>
      <c r="M592" s="21">
        <v>46500</v>
      </c>
      <c r="N592" s="21">
        <v>641700</v>
      </c>
      <c r="O592" s="21">
        <v>83700</v>
      </c>
      <c r="P592" s="37">
        <v>3</v>
      </c>
      <c r="Q592" t="s">
        <v>42</v>
      </c>
      <c r="R592" s="37">
        <v>10</v>
      </c>
      <c r="S592" s="37">
        <v>24</v>
      </c>
      <c r="T592" t="s">
        <v>175</v>
      </c>
      <c r="U592" t="s">
        <v>44</v>
      </c>
      <c r="V592" t="s">
        <v>45</v>
      </c>
      <c r="W592" t="str">
        <f t="shared" si="45"/>
        <v>31-40</v>
      </c>
      <c r="X592" t="str">
        <f t="shared" si="46"/>
        <v>21-30 yrs</v>
      </c>
      <c r="Y592" t="str">
        <f t="shared" si="47"/>
        <v>Nov</v>
      </c>
      <c r="Z592">
        <f t="shared" si="48"/>
        <v>2025</v>
      </c>
      <c r="AA592">
        <f t="shared" si="49"/>
        <v>0</v>
      </c>
    </row>
    <row r="593" spans="1:27" ht="15" customHeight="1" x14ac:dyDescent="0.3">
      <c r="A593" t="s">
        <v>1101</v>
      </c>
      <c r="B593" s="20">
        <v>45683</v>
      </c>
      <c r="C593" t="s">
        <v>136</v>
      </c>
      <c r="D593" t="s">
        <v>35</v>
      </c>
      <c r="E593" s="37">
        <v>48</v>
      </c>
      <c r="F593" t="s">
        <v>123</v>
      </c>
      <c r="G593" t="s">
        <v>124</v>
      </c>
      <c r="H593" t="s">
        <v>38</v>
      </c>
      <c r="I593" t="s">
        <v>75</v>
      </c>
      <c r="J593" t="s">
        <v>190</v>
      </c>
      <c r="K593" s="37">
        <v>7</v>
      </c>
      <c r="L593" t="s">
        <v>52</v>
      </c>
      <c r="M593" s="21">
        <v>102000</v>
      </c>
      <c r="N593" s="21">
        <v>1444320</v>
      </c>
      <c r="O593" s="21">
        <v>220320</v>
      </c>
      <c r="P593" s="37">
        <v>4</v>
      </c>
      <c r="Q593" t="s">
        <v>126</v>
      </c>
      <c r="R593" s="37">
        <v>9</v>
      </c>
      <c r="S593" s="37">
        <v>9</v>
      </c>
      <c r="T593" t="s">
        <v>129</v>
      </c>
      <c r="U593" t="s">
        <v>63</v>
      </c>
      <c r="V593" t="s">
        <v>69</v>
      </c>
      <c r="W593" t="str">
        <f t="shared" si="45"/>
        <v>41-50</v>
      </c>
      <c r="X593" t="str">
        <f t="shared" si="46"/>
        <v>6-10 yrs</v>
      </c>
      <c r="Y593" t="str">
        <f t="shared" si="47"/>
        <v>Jan</v>
      </c>
      <c r="Z593">
        <f t="shared" si="48"/>
        <v>2025</v>
      </c>
      <c r="AA593">
        <f t="shared" si="49"/>
        <v>1</v>
      </c>
    </row>
    <row r="594" spans="1:27" ht="15" customHeight="1" x14ac:dyDescent="0.3">
      <c r="A594" t="s">
        <v>1102</v>
      </c>
      <c r="B594" s="20">
        <v>45813</v>
      </c>
      <c r="C594" t="s">
        <v>201</v>
      </c>
      <c r="D594" t="s">
        <v>35</v>
      </c>
      <c r="E594" s="37">
        <v>42</v>
      </c>
      <c r="F594" t="s">
        <v>108</v>
      </c>
      <c r="G594" t="s">
        <v>109</v>
      </c>
      <c r="H594" t="s">
        <v>38</v>
      </c>
      <c r="I594" t="s">
        <v>60</v>
      </c>
      <c r="J594" t="s">
        <v>99</v>
      </c>
      <c r="K594" s="37">
        <v>7</v>
      </c>
      <c r="L594" t="s">
        <v>52</v>
      </c>
      <c r="M594" s="21">
        <v>123600</v>
      </c>
      <c r="N594" s="21">
        <v>1616688</v>
      </c>
      <c r="O594" s="21">
        <v>133488</v>
      </c>
      <c r="P594" s="37">
        <v>4</v>
      </c>
      <c r="Q594" t="s">
        <v>126</v>
      </c>
      <c r="R594" s="37">
        <v>5</v>
      </c>
      <c r="S594" s="37">
        <v>25</v>
      </c>
      <c r="T594" t="s">
        <v>62</v>
      </c>
      <c r="U594" t="s">
        <v>63</v>
      </c>
      <c r="V594" t="s">
        <v>69</v>
      </c>
      <c r="W594" t="str">
        <f t="shared" si="45"/>
        <v>41-50</v>
      </c>
      <c r="X594" t="str">
        <f t="shared" si="46"/>
        <v>6-10 yrs</v>
      </c>
      <c r="Y594" t="str">
        <f t="shared" si="47"/>
        <v>Jun</v>
      </c>
      <c r="Z594">
        <f t="shared" si="48"/>
        <v>2025</v>
      </c>
      <c r="AA594">
        <f t="shared" si="49"/>
        <v>1</v>
      </c>
    </row>
    <row r="595" spans="1:27" ht="15" customHeight="1" x14ac:dyDescent="0.3">
      <c r="A595" t="s">
        <v>1103</v>
      </c>
      <c r="B595" s="20">
        <v>45774</v>
      </c>
      <c r="C595" t="s">
        <v>1104</v>
      </c>
      <c r="D595" t="s">
        <v>35</v>
      </c>
      <c r="E595" s="37">
        <v>51</v>
      </c>
      <c r="F595" t="s">
        <v>97</v>
      </c>
      <c r="G595" t="s">
        <v>98</v>
      </c>
      <c r="H595" t="s">
        <v>59</v>
      </c>
      <c r="I595" t="s">
        <v>75</v>
      </c>
      <c r="J595" t="s">
        <v>125</v>
      </c>
      <c r="K595" s="37">
        <v>12</v>
      </c>
      <c r="L595" t="s">
        <v>52</v>
      </c>
      <c r="M595" s="21">
        <v>81900</v>
      </c>
      <c r="N595" s="21">
        <v>1081080</v>
      </c>
      <c r="O595" s="21">
        <v>98280</v>
      </c>
      <c r="P595" s="37">
        <v>4</v>
      </c>
      <c r="Q595" t="s">
        <v>42</v>
      </c>
      <c r="R595" s="37">
        <v>10</v>
      </c>
      <c r="S595" s="37">
        <v>24</v>
      </c>
      <c r="T595" t="s">
        <v>43</v>
      </c>
      <c r="U595" t="s">
        <v>44</v>
      </c>
      <c r="V595" t="s">
        <v>69</v>
      </c>
      <c r="W595" t="str">
        <f t="shared" si="45"/>
        <v>51-58</v>
      </c>
      <c r="X595" t="str">
        <f t="shared" si="46"/>
        <v>11-20 yrs</v>
      </c>
      <c r="Y595" t="str">
        <f t="shared" si="47"/>
        <v>Apr</v>
      </c>
      <c r="Z595">
        <f t="shared" si="48"/>
        <v>2025</v>
      </c>
      <c r="AA595">
        <f t="shared" si="49"/>
        <v>0</v>
      </c>
    </row>
    <row r="596" spans="1:27" ht="15" customHeight="1" x14ac:dyDescent="0.3">
      <c r="A596" t="s">
        <v>1105</v>
      </c>
      <c r="B596" s="20">
        <v>46007</v>
      </c>
      <c r="C596" t="s">
        <v>1106</v>
      </c>
      <c r="D596" t="s">
        <v>48</v>
      </c>
      <c r="E596" s="37">
        <v>32</v>
      </c>
      <c r="F596" t="s">
        <v>108</v>
      </c>
      <c r="G596" t="s">
        <v>109</v>
      </c>
      <c r="H596" t="s">
        <v>38</v>
      </c>
      <c r="I596" t="s">
        <v>82</v>
      </c>
      <c r="J596" t="s">
        <v>110</v>
      </c>
      <c r="K596" s="37">
        <v>13</v>
      </c>
      <c r="L596" t="s">
        <v>52</v>
      </c>
      <c r="M596" s="21">
        <v>60900</v>
      </c>
      <c r="N596" s="21">
        <v>811188</v>
      </c>
      <c r="O596" s="21">
        <v>80388</v>
      </c>
      <c r="P596" s="37">
        <v>4</v>
      </c>
      <c r="Q596" t="s">
        <v>42</v>
      </c>
      <c r="R596" s="37">
        <v>14</v>
      </c>
      <c r="S596" s="37">
        <v>38</v>
      </c>
      <c r="T596" t="s">
        <v>94</v>
      </c>
      <c r="U596" t="s">
        <v>44</v>
      </c>
      <c r="V596" t="s">
        <v>69</v>
      </c>
      <c r="W596" t="str">
        <f t="shared" si="45"/>
        <v>31-40</v>
      </c>
      <c r="X596" t="str">
        <f t="shared" si="46"/>
        <v>11-20 yrs</v>
      </c>
      <c r="Y596" t="str">
        <f t="shared" si="47"/>
        <v>Dec</v>
      </c>
      <c r="Z596">
        <f t="shared" si="48"/>
        <v>2025</v>
      </c>
      <c r="AA596">
        <f t="shared" si="49"/>
        <v>0</v>
      </c>
    </row>
    <row r="597" spans="1:27" ht="15" customHeight="1" x14ac:dyDescent="0.3">
      <c r="A597" t="s">
        <v>1107</v>
      </c>
      <c r="B597" s="20">
        <v>45939</v>
      </c>
      <c r="C597" t="s">
        <v>1108</v>
      </c>
      <c r="D597" t="s">
        <v>48</v>
      </c>
      <c r="E597" s="37">
        <v>26</v>
      </c>
      <c r="F597" t="s">
        <v>49</v>
      </c>
      <c r="G597" t="s">
        <v>50</v>
      </c>
      <c r="H597" t="s">
        <v>66</v>
      </c>
      <c r="I597" t="s">
        <v>39</v>
      </c>
      <c r="J597" t="s">
        <v>67</v>
      </c>
      <c r="K597" s="37">
        <v>21</v>
      </c>
      <c r="L597" t="s">
        <v>120</v>
      </c>
      <c r="M597" s="21">
        <v>44400</v>
      </c>
      <c r="N597" s="21">
        <v>570096</v>
      </c>
      <c r="O597" s="21">
        <v>37296</v>
      </c>
      <c r="P597" s="37">
        <v>4</v>
      </c>
      <c r="Q597" t="s">
        <v>42</v>
      </c>
      <c r="R597" s="37">
        <v>9</v>
      </c>
      <c r="S597" s="37">
        <v>33</v>
      </c>
      <c r="T597" t="s">
        <v>53</v>
      </c>
      <c r="U597" t="s">
        <v>44</v>
      </c>
      <c r="V597" t="s">
        <v>45</v>
      </c>
      <c r="W597" t="str">
        <f t="shared" si="45"/>
        <v>22-30</v>
      </c>
      <c r="X597" t="str">
        <f t="shared" si="46"/>
        <v>21-30 yrs</v>
      </c>
      <c r="Y597" t="str">
        <f t="shared" si="47"/>
        <v>Oct</v>
      </c>
      <c r="Z597">
        <f t="shared" si="48"/>
        <v>2025</v>
      </c>
      <c r="AA597">
        <f t="shared" si="49"/>
        <v>0</v>
      </c>
    </row>
    <row r="598" spans="1:27" ht="15" customHeight="1" x14ac:dyDescent="0.3">
      <c r="A598" t="s">
        <v>1109</v>
      </c>
      <c r="B598" s="20">
        <v>45721</v>
      </c>
      <c r="C598" t="s">
        <v>1110</v>
      </c>
      <c r="D598" t="s">
        <v>48</v>
      </c>
      <c r="E598" s="37">
        <v>40</v>
      </c>
      <c r="F598" t="s">
        <v>36</v>
      </c>
      <c r="G598" t="s">
        <v>37</v>
      </c>
      <c r="H598" t="s">
        <v>38</v>
      </c>
      <c r="I598" t="s">
        <v>51</v>
      </c>
      <c r="J598" t="s">
        <v>134</v>
      </c>
      <c r="K598" s="37">
        <v>13</v>
      </c>
      <c r="L598" t="s">
        <v>52</v>
      </c>
      <c r="M598" s="21">
        <v>182100</v>
      </c>
      <c r="N598" s="21">
        <v>2491128</v>
      </c>
      <c r="O598" s="21">
        <v>305928</v>
      </c>
      <c r="P598" s="37">
        <v>3</v>
      </c>
      <c r="Q598" t="s">
        <v>42</v>
      </c>
      <c r="R598" s="37">
        <v>7</v>
      </c>
      <c r="S598" s="37">
        <v>33</v>
      </c>
      <c r="T598" t="s">
        <v>77</v>
      </c>
      <c r="U598" t="s">
        <v>63</v>
      </c>
      <c r="V598" t="s">
        <v>45</v>
      </c>
      <c r="W598" t="str">
        <f t="shared" si="45"/>
        <v>31-40</v>
      </c>
      <c r="X598" t="str">
        <f t="shared" si="46"/>
        <v>11-20 yrs</v>
      </c>
      <c r="Y598" t="str">
        <f t="shared" si="47"/>
        <v>Mar</v>
      </c>
      <c r="Z598">
        <f t="shared" si="48"/>
        <v>2025</v>
      </c>
      <c r="AA598">
        <f t="shared" si="49"/>
        <v>0</v>
      </c>
    </row>
    <row r="599" spans="1:27" ht="15" customHeight="1" x14ac:dyDescent="0.3">
      <c r="A599" t="s">
        <v>1111</v>
      </c>
      <c r="B599" s="20">
        <v>45712</v>
      </c>
      <c r="C599" t="s">
        <v>793</v>
      </c>
      <c r="D599" t="s">
        <v>35</v>
      </c>
      <c r="E599" s="37">
        <v>28</v>
      </c>
      <c r="F599" t="s">
        <v>57</v>
      </c>
      <c r="G599" t="s">
        <v>58</v>
      </c>
      <c r="H599" t="s">
        <v>118</v>
      </c>
      <c r="I599" t="s">
        <v>60</v>
      </c>
      <c r="J599" t="s">
        <v>119</v>
      </c>
      <c r="K599" s="37">
        <v>28</v>
      </c>
      <c r="L599" t="s">
        <v>52</v>
      </c>
      <c r="M599" s="21">
        <v>135800</v>
      </c>
      <c r="N599" s="21">
        <v>1906632</v>
      </c>
      <c r="O599" s="21">
        <v>277032</v>
      </c>
      <c r="P599" s="37">
        <v>3</v>
      </c>
      <c r="Q599" t="s">
        <v>42</v>
      </c>
      <c r="R599" s="37">
        <v>16</v>
      </c>
      <c r="S599" s="37">
        <v>31</v>
      </c>
      <c r="T599" t="s">
        <v>53</v>
      </c>
      <c r="U599" t="s">
        <v>138</v>
      </c>
      <c r="V599" t="s">
        <v>45</v>
      </c>
      <c r="W599" t="str">
        <f t="shared" si="45"/>
        <v>22-30</v>
      </c>
      <c r="X599" t="str">
        <f t="shared" si="46"/>
        <v>21-30 yrs</v>
      </c>
      <c r="Y599" t="str">
        <f t="shared" si="47"/>
        <v>Feb</v>
      </c>
      <c r="Z599">
        <f t="shared" si="48"/>
        <v>2025</v>
      </c>
      <c r="AA599">
        <f t="shared" si="49"/>
        <v>0</v>
      </c>
    </row>
    <row r="600" spans="1:27" ht="15" customHeight="1" x14ac:dyDescent="0.3">
      <c r="A600" t="s">
        <v>1112</v>
      </c>
      <c r="B600" s="20">
        <v>45734</v>
      </c>
      <c r="C600" t="s">
        <v>1113</v>
      </c>
      <c r="D600" t="s">
        <v>35</v>
      </c>
      <c r="E600" s="37">
        <v>49</v>
      </c>
      <c r="F600" t="s">
        <v>91</v>
      </c>
      <c r="G600" t="s">
        <v>92</v>
      </c>
      <c r="H600" t="s">
        <v>38</v>
      </c>
      <c r="I600" t="s">
        <v>39</v>
      </c>
      <c r="J600" t="s">
        <v>134</v>
      </c>
      <c r="K600" s="37">
        <v>25</v>
      </c>
      <c r="L600" t="s">
        <v>52</v>
      </c>
      <c r="M600" s="21">
        <v>43700</v>
      </c>
      <c r="N600" s="21">
        <v>629280</v>
      </c>
      <c r="O600" s="21">
        <v>104880</v>
      </c>
      <c r="P600" s="37">
        <v>4</v>
      </c>
      <c r="Q600" t="s">
        <v>42</v>
      </c>
      <c r="R600" s="37">
        <v>2</v>
      </c>
      <c r="S600" s="37">
        <v>18</v>
      </c>
      <c r="T600" t="s">
        <v>105</v>
      </c>
      <c r="U600" t="s">
        <v>44</v>
      </c>
      <c r="V600" t="s">
        <v>45</v>
      </c>
      <c r="W600" t="str">
        <f t="shared" si="45"/>
        <v>41-50</v>
      </c>
      <c r="X600" t="str">
        <f t="shared" si="46"/>
        <v>21-30 yrs</v>
      </c>
      <c r="Y600" t="str">
        <f t="shared" si="47"/>
        <v>Mar</v>
      </c>
      <c r="Z600">
        <f t="shared" si="48"/>
        <v>2025</v>
      </c>
      <c r="AA600">
        <f t="shared" si="49"/>
        <v>0</v>
      </c>
    </row>
    <row r="601" spans="1:27" ht="15" customHeight="1" x14ac:dyDescent="0.3">
      <c r="A601" t="s">
        <v>1114</v>
      </c>
      <c r="B601" s="20">
        <v>45707</v>
      </c>
      <c r="C601" t="s">
        <v>823</v>
      </c>
      <c r="D601" t="s">
        <v>35</v>
      </c>
      <c r="E601" s="37">
        <v>37</v>
      </c>
      <c r="F601" t="s">
        <v>123</v>
      </c>
      <c r="G601" t="s">
        <v>124</v>
      </c>
      <c r="H601" t="s">
        <v>66</v>
      </c>
      <c r="I601" t="s">
        <v>75</v>
      </c>
      <c r="J601" t="s">
        <v>170</v>
      </c>
      <c r="K601" s="37">
        <v>23</v>
      </c>
      <c r="L601" t="s">
        <v>52</v>
      </c>
      <c r="M601" s="21">
        <v>115100</v>
      </c>
      <c r="N601" s="21">
        <v>1464072</v>
      </c>
      <c r="O601" s="21">
        <v>82872</v>
      </c>
      <c r="P601" s="37">
        <v>5</v>
      </c>
      <c r="Q601" t="s">
        <v>126</v>
      </c>
      <c r="R601" s="37">
        <v>18</v>
      </c>
      <c r="S601" s="37">
        <v>23</v>
      </c>
      <c r="T601" t="s">
        <v>68</v>
      </c>
      <c r="U601" t="s">
        <v>44</v>
      </c>
      <c r="V601" t="s">
        <v>45</v>
      </c>
      <c r="W601" t="str">
        <f t="shared" si="45"/>
        <v>31-40</v>
      </c>
      <c r="X601" t="str">
        <f t="shared" si="46"/>
        <v>21-30 yrs</v>
      </c>
      <c r="Y601" t="str">
        <f t="shared" si="47"/>
        <v>Feb</v>
      </c>
      <c r="Z601">
        <f t="shared" si="48"/>
        <v>2025</v>
      </c>
      <c r="AA601">
        <f t="shared" si="49"/>
        <v>1</v>
      </c>
    </row>
    <row r="602" spans="1:27" ht="15" customHeight="1" x14ac:dyDescent="0.3">
      <c r="A602" t="s">
        <v>1115</v>
      </c>
      <c r="B602" s="20">
        <v>46003</v>
      </c>
      <c r="C602" t="s">
        <v>909</v>
      </c>
      <c r="D602" t="s">
        <v>48</v>
      </c>
      <c r="E602" s="37">
        <v>44</v>
      </c>
      <c r="F602" t="s">
        <v>123</v>
      </c>
      <c r="G602" t="s">
        <v>124</v>
      </c>
      <c r="H602" t="s">
        <v>59</v>
      </c>
      <c r="I602" t="s">
        <v>75</v>
      </c>
      <c r="J602" t="s">
        <v>88</v>
      </c>
      <c r="K602" s="37">
        <v>8</v>
      </c>
      <c r="L602" t="s">
        <v>52</v>
      </c>
      <c r="M602" s="21">
        <v>79400</v>
      </c>
      <c r="N602" s="21">
        <v>1124304</v>
      </c>
      <c r="O602" s="21">
        <v>171504</v>
      </c>
      <c r="P602" s="37">
        <v>3</v>
      </c>
      <c r="Q602" t="s">
        <v>126</v>
      </c>
      <c r="R602" s="37">
        <v>13</v>
      </c>
      <c r="S602" s="37">
        <v>7</v>
      </c>
      <c r="T602" t="s">
        <v>175</v>
      </c>
      <c r="U602" t="s">
        <v>54</v>
      </c>
      <c r="V602" t="s">
        <v>45</v>
      </c>
      <c r="W602" t="str">
        <f t="shared" si="45"/>
        <v>41-50</v>
      </c>
      <c r="X602" t="str">
        <f t="shared" si="46"/>
        <v>6-10 yrs</v>
      </c>
      <c r="Y602" t="str">
        <f t="shared" si="47"/>
        <v>Dec</v>
      </c>
      <c r="Z602">
        <f t="shared" si="48"/>
        <v>2025</v>
      </c>
      <c r="AA602">
        <f t="shared" si="49"/>
        <v>1</v>
      </c>
    </row>
    <row r="603" spans="1:27" ht="15" customHeight="1" x14ac:dyDescent="0.3">
      <c r="A603" t="s">
        <v>1116</v>
      </c>
      <c r="B603" s="20">
        <v>45968</v>
      </c>
      <c r="C603" t="s">
        <v>1051</v>
      </c>
      <c r="D603" t="s">
        <v>35</v>
      </c>
      <c r="E603" s="37">
        <v>35</v>
      </c>
      <c r="F603" t="s">
        <v>86</v>
      </c>
      <c r="G603" t="s">
        <v>87</v>
      </c>
      <c r="H603" t="s">
        <v>59</v>
      </c>
      <c r="I603" t="s">
        <v>82</v>
      </c>
      <c r="J603" t="s">
        <v>125</v>
      </c>
      <c r="K603" s="37">
        <v>15</v>
      </c>
      <c r="L603" t="s">
        <v>52</v>
      </c>
      <c r="M603" s="21">
        <v>47300</v>
      </c>
      <c r="N603" s="21">
        <v>669768</v>
      </c>
      <c r="O603" s="21">
        <v>102168</v>
      </c>
      <c r="P603" s="37">
        <v>3</v>
      </c>
      <c r="Q603" t="s">
        <v>42</v>
      </c>
      <c r="R603" s="37">
        <v>18</v>
      </c>
      <c r="S603" s="37">
        <v>35</v>
      </c>
      <c r="T603" t="s">
        <v>53</v>
      </c>
      <c r="U603" t="s">
        <v>44</v>
      </c>
      <c r="V603" t="s">
        <v>69</v>
      </c>
      <c r="W603" t="str">
        <f t="shared" si="45"/>
        <v>31-40</v>
      </c>
      <c r="X603" t="str">
        <f t="shared" si="46"/>
        <v>11-20 yrs</v>
      </c>
      <c r="Y603" t="str">
        <f t="shared" si="47"/>
        <v>Nov</v>
      </c>
      <c r="Z603">
        <f t="shared" si="48"/>
        <v>2025</v>
      </c>
      <c r="AA603">
        <f t="shared" si="49"/>
        <v>0</v>
      </c>
    </row>
    <row r="604" spans="1:27" ht="15" customHeight="1" x14ac:dyDescent="0.3">
      <c r="A604" t="s">
        <v>1117</v>
      </c>
      <c r="B604" s="20">
        <v>45717</v>
      </c>
      <c r="C604" t="s">
        <v>1118</v>
      </c>
      <c r="D604" t="s">
        <v>35</v>
      </c>
      <c r="E604" s="37">
        <v>57</v>
      </c>
      <c r="F604" t="s">
        <v>49</v>
      </c>
      <c r="G604" t="s">
        <v>50</v>
      </c>
      <c r="H604" t="s">
        <v>38</v>
      </c>
      <c r="I604" t="s">
        <v>82</v>
      </c>
      <c r="J604" t="s">
        <v>134</v>
      </c>
      <c r="K604" s="37">
        <v>10</v>
      </c>
      <c r="L604" t="s">
        <v>52</v>
      </c>
      <c r="M604" s="21">
        <v>61700</v>
      </c>
      <c r="N604" s="21">
        <v>784824</v>
      </c>
      <c r="O604" s="21">
        <v>44424</v>
      </c>
      <c r="P604" s="37">
        <v>5</v>
      </c>
      <c r="Q604" t="s">
        <v>42</v>
      </c>
      <c r="R604" s="37">
        <v>10</v>
      </c>
      <c r="S604" s="37">
        <v>30</v>
      </c>
      <c r="T604" t="s">
        <v>175</v>
      </c>
      <c r="U604" t="s">
        <v>44</v>
      </c>
      <c r="V604" t="s">
        <v>69</v>
      </c>
      <c r="W604" t="str">
        <f t="shared" si="45"/>
        <v>51-58</v>
      </c>
      <c r="X604" t="str">
        <f t="shared" si="46"/>
        <v>6-10 yrs</v>
      </c>
      <c r="Y604" t="str">
        <f t="shared" si="47"/>
        <v>Mar</v>
      </c>
      <c r="Z604">
        <f t="shared" si="48"/>
        <v>2025</v>
      </c>
      <c r="AA604">
        <f t="shared" si="49"/>
        <v>0</v>
      </c>
    </row>
    <row r="605" spans="1:27" ht="15" customHeight="1" x14ac:dyDescent="0.3">
      <c r="A605" t="s">
        <v>1119</v>
      </c>
      <c r="B605" s="20">
        <v>45980</v>
      </c>
      <c r="C605" t="s">
        <v>380</v>
      </c>
      <c r="D605" t="s">
        <v>35</v>
      </c>
      <c r="E605" s="37">
        <v>55</v>
      </c>
      <c r="F605" t="s">
        <v>123</v>
      </c>
      <c r="G605" t="s">
        <v>124</v>
      </c>
      <c r="H605" t="s">
        <v>59</v>
      </c>
      <c r="I605" t="s">
        <v>82</v>
      </c>
      <c r="J605" t="s">
        <v>88</v>
      </c>
      <c r="K605" s="37">
        <v>19</v>
      </c>
      <c r="L605" t="s">
        <v>41</v>
      </c>
      <c r="M605" s="21">
        <v>61700</v>
      </c>
      <c r="N605" s="21">
        <v>821844</v>
      </c>
      <c r="O605" s="21">
        <v>81444</v>
      </c>
      <c r="P605" s="37">
        <v>3</v>
      </c>
      <c r="Q605" t="s">
        <v>42</v>
      </c>
      <c r="R605" s="37">
        <v>5</v>
      </c>
      <c r="S605" s="37">
        <v>27</v>
      </c>
      <c r="T605" t="s">
        <v>129</v>
      </c>
      <c r="U605" t="s">
        <v>44</v>
      </c>
      <c r="V605" t="s">
        <v>69</v>
      </c>
      <c r="W605" t="str">
        <f t="shared" si="45"/>
        <v>51-58</v>
      </c>
      <c r="X605" t="str">
        <f t="shared" si="46"/>
        <v>11-20 yrs</v>
      </c>
      <c r="Y605" t="str">
        <f t="shared" si="47"/>
        <v>Nov</v>
      </c>
      <c r="Z605">
        <f t="shared" si="48"/>
        <v>2025</v>
      </c>
      <c r="AA605">
        <f t="shared" si="49"/>
        <v>0</v>
      </c>
    </row>
    <row r="606" spans="1:27" ht="15" customHeight="1" x14ac:dyDescent="0.3">
      <c r="A606" t="s">
        <v>1120</v>
      </c>
      <c r="B606" s="20">
        <v>45772</v>
      </c>
      <c r="C606" t="s">
        <v>688</v>
      </c>
      <c r="D606" t="s">
        <v>35</v>
      </c>
      <c r="E606" s="37">
        <v>57</v>
      </c>
      <c r="F606" t="s">
        <v>49</v>
      </c>
      <c r="G606" t="s">
        <v>50</v>
      </c>
      <c r="H606" t="s">
        <v>38</v>
      </c>
      <c r="I606" t="s">
        <v>75</v>
      </c>
      <c r="J606" t="s">
        <v>190</v>
      </c>
      <c r="K606" s="37">
        <v>11</v>
      </c>
      <c r="L606" t="s">
        <v>52</v>
      </c>
      <c r="M606" s="21">
        <v>82400</v>
      </c>
      <c r="N606" s="21">
        <v>1067904</v>
      </c>
      <c r="O606" s="21">
        <v>79104</v>
      </c>
      <c r="P606" s="37">
        <v>2</v>
      </c>
      <c r="Q606" t="s">
        <v>126</v>
      </c>
      <c r="R606" s="37">
        <v>4</v>
      </c>
      <c r="S606" s="37">
        <v>5</v>
      </c>
      <c r="T606" t="s">
        <v>146</v>
      </c>
      <c r="U606" t="s">
        <v>44</v>
      </c>
      <c r="V606" t="s">
        <v>45</v>
      </c>
      <c r="W606" t="str">
        <f t="shared" si="45"/>
        <v>51-58</v>
      </c>
      <c r="X606" t="str">
        <f t="shared" si="46"/>
        <v>11-20 yrs</v>
      </c>
      <c r="Y606" t="str">
        <f t="shared" si="47"/>
        <v>Apr</v>
      </c>
      <c r="Z606">
        <f t="shared" si="48"/>
        <v>2025</v>
      </c>
      <c r="AA606">
        <f t="shared" si="49"/>
        <v>1</v>
      </c>
    </row>
    <row r="607" spans="1:27" ht="15" customHeight="1" x14ac:dyDescent="0.3">
      <c r="A607" t="s">
        <v>1121</v>
      </c>
      <c r="B607" s="20">
        <v>45981</v>
      </c>
      <c r="C607" t="s">
        <v>1084</v>
      </c>
      <c r="D607" t="s">
        <v>48</v>
      </c>
      <c r="E607" s="37">
        <v>36</v>
      </c>
      <c r="F607" t="s">
        <v>36</v>
      </c>
      <c r="G607" t="s">
        <v>37</v>
      </c>
      <c r="H607" t="s">
        <v>38</v>
      </c>
      <c r="I607" t="s">
        <v>82</v>
      </c>
      <c r="J607" t="s">
        <v>40</v>
      </c>
      <c r="K607" s="37">
        <v>24</v>
      </c>
      <c r="L607" t="s">
        <v>52</v>
      </c>
      <c r="M607" s="21">
        <v>59700</v>
      </c>
      <c r="N607" s="21">
        <v>788040</v>
      </c>
      <c r="O607" s="21">
        <v>71640</v>
      </c>
      <c r="P607" s="37">
        <v>2</v>
      </c>
      <c r="Q607" t="s">
        <v>42</v>
      </c>
      <c r="R607" s="37">
        <v>10</v>
      </c>
      <c r="S607" s="37">
        <v>22</v>
      </c>
      <c r="T607" t="s">
        <v>105</v>
      </c>
      <c r="U607" t="s">
        <v>63</v>
      </c>
      <c r="V607" t="s">
        <v>45</v>
      </c>
      <c r="W607" t="str">
        <f t="shared" si="45"/>
        <v>31-40</v>
      </c>
      <c r="X607" t="str">
        <f t="shared" si="46"/>
        <v>21-30 yrs</v>
      </c>
      <c r="Y607" t="str">
        <f t="shared" si="47"/>
        <v>Nov</v>
      </c>
      <c r="Z607">
        <f t="shared" si="48"/>
        <v>2025</v>
      </c>
      <c r="AA607">
        <f t="shared" si="49"/>
        <v>0</v>
      </c>
    </row>
    <row r="608" spans="1:27" ht="15" customHeight="1" x14ac:dyDescent="0.3">
      <c r="A608" t="s">
        <v>1122</v>
      </c>
      <c r="B608" s="20">
        <v>45815</v>
      </c>
      <c r="C608" t="s">
        <v>1123</v>
      </c>
      <c r="D608" t="s">
        <v>35</v>
      </c>
      <c r="E608" s="37">
        <v>31</v>
      </c>
      <c r="F608" t="s">
        <v>36</v>
      </c>
      <c r="G608" t="s">
        <v>37</v>
      </c>
      <c r="H608" t="s">
        <v>118</v>
      </c>
      <c r="I608" t="s">
        <v>75</v>
      </c>
      <c r="J608" t="s">
        <v>119</v>
      </c>
      <c r="K608" s="37">
        <v>12</v>
      </c>
      <c r="L608" t="s">
        <v>120</v>
      </c>
      <c r="M608" s="21">
        <v>91300</v>
      </c>
      <c r="N608" s="21">
        <v>1161336</v>
      </c>
      <c r="O608" s="21">
        <v>65736</v>
      </c>
      <c r="P608" s="37">
        <v>5</v>
      </c>
      <c r="Q608" t="s">
        <v>42</v>
      </c>
      <c r="R608" s="37">
        <v>20</v>
      </c>
      <c r="S608" s="37">
        <v>1</v>
      </c>
      <c r="T608" t="s">
        <v>53</v>
      </c>
      <c r="U608" t="s">
        <v>44</v>
      </c>
      <c r="V608" t="s">
        <v>69</v>
      </c>
      <c r="W608" t="str">
        <f t="shared" si="45"/>
        <v>31-40</v>
      </c>
      <c r="X608" t="str">
        <f t="shared" si="46"/>
        <v>11-20 yrs</v>
      </c>
      <c r="Y608" t="str">
        <f t="shared" si="47"/>
        <v>Jun</v>
      </c>
      <c r="Z608">
        <f t="shared" si="48"/>
        <v>2025</v>
      </c>
      <c r="AA608">
        <f t="shared" si="49"/>
        <v>0</v>
      </c>
    </row>
    <row r="609" spans="1:27" ht="15" customHeight="1" x14ac:dyDescent="0.3">
      <c r="A609" t="s">
        <v>1124</v>
      </c>
      <c r="B609" s="20">
        <v>45778</v>
      </c>
      <c r="C609" t="s">
        <v>1125</v>
      </c>
      <c r="D609" t="s">
        <v>35</v>
      </c>
      <c r="E609" s="37">
        <v>40</v>
      </c>
      <c r="F609" t="s">
        <v>49</v>
      </c>
      <c r="G609" t="s">
        <v>50</v>
      </c>
      <c r="H609" t="s">
        <v>74</v>
      </c>
      <c r="I609" t="s">
        <v>75</v>
      </c>
      <c r="J609" t="s">
        <v>115</v>
      </c>
      <c r="K609" s="37">
        <v>13</v>
      </c>
      <c r="L609" t="s">
        <v>52</v>
      </c>
      <c r="M609" s="21">
        <v>87300</v>
      </c>
      <c r="N609" s="21">
        <v>1246644</v>
      </c>
      <c r="O609" s="21">
        <v>199044</v>
      </c>
      <c r="P609" s="37">
        <v>4</v>
      </c>
      <c r="Q609" t="s">
        <v>42</v>
      </c>
      <c r="R609" s="37">
        <v>19</v>
      </c>
      <c r="S609" s="37">
        <v>40</v>
      </c>
      <c r="T609" t="s">
        <v>62</v>
      </c>
      <c r="U609" t="s">
        <v>63</v>
      </c>
      <c r="V609" t="s">
        <v>69</v>
      </c>
      <c r="W609" t="str">
        <f t="shared" si="45"/>
        <v>31-40</v>
      </c>
      <c r="X609" t="str">
        <f t="shared" si="46"/>
        <v>11-20 yrs</v>
      </c>
      <c r="Y609" t="str">
        <f t="shared" si="47"/>
        <v>May</v>
      </c>
      <c r="Z609">
        <f t="shared" si="48"/>
        <v>2025</v>
      </c>
      <c r="AA609">
        <f t="shared" si="49"/>
        <v>0</v>
      </c>
    </row>
    <row r="610" spans="1:27" ht="15" customHeight="1" x14ac:dyDescent="0.3">
      <c r="A610" t="s">
        <v>1126</v>
      </c>
      <c r="B610" s="20">
        <v>45706</v>
      </c>
      <c r="C610" t="s">
        <v>1127</v>
      </c>
      <c r="D610" t="s">
        <v>48</v>
      </c>
      <c r="E610" s="37">
        <v>39</v>
      </c>
      <c r="F610" t="s">
        <v>108</v>
      </c>
      <c r="G610" t="s">
        <v>109</v>
      </c>
      <c r="H610" t="s">
        <v>118</v>
      </c>
      <c r="I610" t="s">
        <v>39</v>
      </c>
      <c r="J610" t="s">
        <v>119</v>
      </c>
      <c r="K610" s="37">
        <v>9</v>
      </c>
      <c r="L610" t="s">
        <v>52</v>
      </c>
      <c r="M610" s="21">
        <v>33800</v>
      </c>
      <c r="N610" s="21">
        <v>442104</v>
      </c>
      <c r="O610" s="21">
        <v>36504</v>
      </c>
      <c r="P610" s="37">
        <v>3</v>
      </c>
      <c r="Q610" t="s">
        <v>126</v>
      </c>
      <c r="R610" s="37">
        <v>6</v>
      </c>
      <c r="S610" s="37">
        <v>16</v>
      </c>
      <c r="T610" t="s">
        <v>43</v>
      </c>
      <c r="U610" t="s">
        <v>63</v>
      </c>
      <c r="V610" t="s">
        <v>69</v>
      </c>
      <c r="W610" t="str">
        <f t="shared" si="45"/>
        <v>31-40</v>
      </c>
      <c r="X610" t="str">
        <f t="shared" si="46"/>
        <v>6-10 yrs</v>
      </c>
      <c r="Y610" t="str">
        <f t="shared" si="47"/>
        <v>Feb</v>
      </c>
      <c r="Z610">
        <f t="shared" si="48"/>
        <v>2025</v>
      </c>
      <c r="AA610">
        <f t="shared" si="49"/>
        <v>1</v>
      </c>
    </row>
    <row r="611" spans="1:27" ht="15" customHeight="1" x14ac:dyDescent="0.3">
      <c r="A611" t="s">
        <v>1128</v>
      </c>
      <c r="B611" s="20">
        <v>45913</v>
      </c>
      <c r="C611" t="s">
        <v>1129</v>
      </c>
      <c r="D611" t="s">
        <v>35</v>
      </c>
      <c r="E611" s="37">
        <v>48</v>
      </c>
      <c r="F611" t="s">
        <v>108</v>
      </c>
      <c r="G611" t="s">
        <v>109</v>
      </c>
      <c r="H611" t="s">
        <v>38</v>
      </c>
      <c r="I611" t="s">
        <v>60</v>
      </c>
      <c r="J611" t="s">
        <v>40</v>
      </c>
      <c r="K611" s="37">
        <v>1</v>
      </c>
      <c r="L611" t="s">
        <v>52</v>
      </c>
      <c r="M611" s="21">
        <v>126100</v>
      </c>
      <c r="N611" s="21">
        <v>1709915</v>
      </c>
      <c r="O611" s="21">
        <v>196716</v>
      </c>
      <c r="P611" s="37">
        <v>3</v>
      </c>
      <c r="Q611" t="s">
        <v>42</v>
      </c>
      <c r="R611" s="37">
        <v>12</v>
      </c>
      <c r="S611" s="37">
        <v>26</v>
      </c>
      <c r="T611" t="s">
        <v>105</v>
      </c>
      <c r="U611" t="s">
        <v>44</v>
      </c>
      <c r="V611" t="s">
        <v>69</v>
      </c>
      <c r="W611" t="str">
        <f t="shared" si="45"/>
        <v>41-50</v>
      </c>
      <c r="X611" t="str">
        <f t="shared" si="46"/>
        <v>0-5 yrs</v>
      </c>
      <c r="Y611" t="str">
        <f t="shared" si="47"/>
        <v>Sep</v>
      </c>
      <c r="Z611">
        <f t="shared" si="48"/>
        <v>2025</v>
      </c>
      <c r="AA611">
        <f t="shared" si="49"/>
        <v>0</v>
      </c>
    </row>
    <row r="612" spans="1:27" ht="15" customHeight="1" x14ac:dyDescent="0.3">
      <c r="A612" t="s">
        <v>1130</v>
      </c>
      <c r="B612" s="20">
        <v>45771</v>
      </c>
      <c r="C612" t="s">
        <v>169</v>
      </c>
      <c r="D612" t="s">
        <v>48</v>
      </c>
      <c r="E612" s="37">
        <v>24</v>
      </c>
      <c r="F612" t="s">
        <v>86</v>
      </c>
      <c r="G612" t="s">
        <v>87</v>
      </c>
      <c r="H612" t="s">
        <v>38</v>
      </c>
      <c r="I612" t="s">
        <v>75</v>
      </c>
      <c r="J612" t="s">
        <v>99</v>
      </c>
      <c r="K612" s="37">
        <v>12</v>
      </c>
      <c r="L612" t="s">
        <v>52</v>
      </c>
      <c r="M612" s="21">
        <v>97200</v>
      </c>
      <c r="N612" s="21">
        <v>1306368</v>
      </c>
      <c r="O612" s="21">
        <v>139968</v>
      </c>
      <c r="P612" s="37">
        <v>3</v>
      </c>
      <c r="Q612" t="s">
        <v>42</v>
      </c>
      <c r="R612" s="37">
        <v>19</v>
      </c>
      <c r="S612" s="37">
        <v>7</v>
      </c>
      <c r="T612" t="s">
        <v>146</v>
      </c>
      <c r="U612" t="s">
        <v>63</v>
      </c>
      <c r="V612" t="s">
        <v>45</v>
      </c>
      <c r="W612" t="str">
        <f t="shared" si="45"/>
        <v>22-30</v>
      </c>
      <c r="X612" t="str">
        <f t="shared" si="46"/>
        <v>11-20 yrs</v>
      </c>
      <c r="Y612" t="str">
        <f t="shared" si="47"/>
        <v>Apr</v>
      </c>
      <c r="Z612">
        <f t="shared" si="48"/>
        <v>2025</v>
      </c>
      <c r="AA612">
        <f t="shared" si="49"/>
        <v>0</v>
      </c>
    </row>
    <row r="613" spans="1:27" ht="15" customHeight="1" x14ac:dyDescent="0.3">
      <c r="A613" t="s">
        <v>1131</v>
      </c>
      <c r="B613" s="20">
        <v>45801</v>
      </c>
      <c r="C613" t="s">
        <v>467</v>
      </c>
      <c r="D613" t="s">
        <v>48</v>
      </c>
      <c r="E613" s="37">
        <v>36</v>
      </c>
      <c r="F613" t="s">
        <v>80</v>
      </c>
      <c r="G613" t="s">
        <v>81</v>
      </c>
      <c r="H613" t="s">
        <v>59</v>
      </c>
      <c r="I613" t="s">
        <v>39</v>
      </c>
      <c r="J613" t="s">
        <v>141</v>
      </c>
      <c r="K613" s="37">
        <v>0</v>
      </c>
      <c r="L613" t="s">
        <v>52</v>
      </c>
      <c r="M613" s="21">
        <v>33300</v>
      </c>
      <c r="N613" s="21">
        <v>471528</v>
      </c>
      <c r="O613" s="21">
        <v>71928</v>
      </c>
      <c r="P613" s="37">
        <v>5</v>
      </c>
      <c r="Q613" t="s">
        <v>42</v>
      </c>
      <c r="R613" s="37">
        <v>11</v>
      </c>
      <c r="S613" s="37">
        <v>12</v>
      </c>
      <c r="T613" t="s">
        <v>77</v>
      </c>
      <c r="U613" t="s">
        <v>54</v>
      </c>
      <c r="V613" t="s">
        <v>45</v>
      </c>
      <c r="W613" t="str">
        <f t="shared" si="45"/>
        <v>31-40</v>
      </c>
      <c r="X613" t="str">
        <f t="shared" si="46"/>
        <v>0-5 yrs</v>
      </c>
      <c r="Y613" t="str">
        <f t="shared" si="47"/>
        <v>May</v>
      </c>
      <c r="Z613">
        <f t="shared" si="48"/>
        <v>2025</v>
      </c>
      <c r="AA613">
        <f t="shared" si="49"/>
        <v>0</v>
      </c>
    </row>
    <row r="614" spans="1:27" ht="15" customHeight="1" x14ac:dyDescent="0.3">
      <c r="A614" t="s">
        <v>1132</v>
      </c>
      <c r="B614" s="20">
        <v>45956</v>
      </c>
      <c r="C614" t="s">
        <v>653</v>
      </c>
      <c r="D614" t="s">
        <v>48</v>
      </c>
      <c r="E614" s="37">
        <v>42</v>
      </c>
      <c r="F614" t="s">
        <v>80</v>
      </c>
      <c r="G614" t="s">
        <v>81</v>
      </c>
      <c r="H614" t="s">
        <v>38</v>
      </c>
      <c r="I614" t="s">
        <v>75</v>
      </c>
      <c r="J614" t="s">
        <v>99</v>
      </c>
      <c r="K614" s="37">
        <v>0</v>
      </c>
      <c r="L614" t="s">
        <v>41</v>
      </c>
      <c r="M614" s="21">
        <v>89500</v>
      </c>
      <c r="N614" s="21">
        <v>1192140</v>
      </c>
      <c r="O614" s="21">
        <v>118140</v>
      </c>
      <c r="P614" s="37">
        <v>5</v>
      </c>
      <c r="Q614" t="s">
        <v>42</v>
      </c>
      <c r="R614" s="37">
        <v>9</v>
      </c>
      <c r="S614" s="37">
        <v>5</v>
      </c>
      <c r="T614" t="s">
        <v>43</v>
      </c>
      <c r="U614" t="s">
        <v>44</v>
      </c>
      <c r="V614" t="s">
        <v>69</v>
      </c>
      <c r="W614" t="str">
        <f t="shared" si="45"/>
        <v>41-50</v>
      </c>
      <c r="X614" t="str">
        <f t="shared" si="46"/>
        <v>0-5 yrs</v>
      </c>
      <c r="Y614" t="str">
        <f t="shared" si="47"/>
        <v>Oct</v>
      </c>
      <c r="Z614">
        <f t="shared" si="48"/>
        <v>2025</v>
      </c>
      <c r="AA614">
        <f t="shared" si="49"/>
        <v>0</v>
      </c>
    </row>
    <row r="615" spans="1:27" ht="15" customHeight="1" x14ac:dyDescent="0.3">
      <c r="A615" t="s">
        <v>1133</v>
      </c>
      <c r="B615" s="20">
        <v>45764</v>
      </c>
      <c r="C615" t="s">
        <v>1134</v>
      </c>
      <c r="D615" t="s">
        <v>48</v>
      </c>
      <c r="E615" s="37">
        <v>44</v>
      </c>
      <c r="F615" t="s">
        <v>108</v>
      </c>
      <c r="G615" t="s">
        <v>109</v>
      </c>
      <c r="H615" t="s">
        <v>38</v>
      </c>
      <c r="I615" t="s">
        <v>39</v>
      </c>
      <c r="J615" t="s">
        <v>99</v>
      </c>
      <c r="K615" s="37">
        <v>1</v>
      </c>
      <c r="L615" t="s">
        <v>52</v>
      </c>
      <c r="M615" s="21">
        <v>29900</v>
      </c>
      <c r="N615" s="21">
        <v>419796</v>
      </c>
      <c r="O615" s="21">
        <v>60996</v>
      </c>
      <c r="P615" s="37">
        <v>4</v>
      </c>
      <c r="Q615" t="s">
        <v>42</v>
      </c>
      <c r="R615" s="37">
        <v>10</v>
      </c>
      <c r="S615" s="37">
        <v>18</v>
      </c>
      <c r="T615" t="s">
        <v>146</v>
      </c>
      <c r="U615" t="s">
        <v>54</v>
      </c>
      <c r="V615" t="s">
        <v>69</v>
      </c>
      <c r="W615" t="str">
        <f t="shared" si="45"/>
        <v>41-50</v>
      </c>
      <c r="X615" t="str">
        <f t="shared" si="46"/>
        <v>0-5 yrs</v>
      </c>
      <c r="Y615" t="str">
        <f t="shared" si="47"/>
        <v>Apr</v>
      </c>
      <c r="Z615">
        <f t="shared" si="48"/>
        <v>2025</v>
      </c>
      <c r="AA615">
        <f t="shared" si="49"/>
        <v>0</v>
      </c>
    </row>
    <row r="616" spans="1:27" ht="15" customHeight="1" x14ac:dyDescent="0.3">
      <c r="A616" t="s">
        <v>1135</v>
      </c>
      <c r="B616" s="20">
        <v>45983</v>
      </c>
      <c r="C616" t="s">
        <v>1136</v>
      </c>
      <c r="D616" t="s">
        <v>35</v>
      </c>
      <c r="E616" s="37">
        <v>24</v>
      </c>
      <c r="F616" t="s">
        <v>49</v>
      </c>
      <c r="G616" t="s">
        <v>50</v>
      </c>
      <c r="H616" t="s">
        <v>66</v>
      </c>
      <c r="I616" t="s">
        <v>82</v>
      </c>
      <c r="J616" t="s">
        <v>161</v>
      </c>
      <c r="K616" s="37">
        <v>20</v>
      </c>
      <c r="L616" t="s">
        <v>52</v>
      </c>
      <c r="M616" s="21">
        <v>69500</v>
      </c>
      <c r="N616" s="21">
        <v>925740</v>
      </c>
      <c r="O616" s="21">
        <v>91740</v>
      </c>
      <c r="P616" s="37">
        <v>4</v>
      </c>
      <c r="Q616" t="s">
        <v>42</v>
      </c>
      <c r="R616" s="37">
        <v>11</v>
      </c>
      <c r="S616" s="37">
        <v>9</v>
      </c>
      <c r="T616" t="s">
        <v>129</v>
      </c>
      <c r="U616" t="s">
        <v>63</v>
      </c>
      <c r="V616" t="s">
        <v>69</v>
      </c>
      <c r="W616" t="str">
        <f t="shared" si="45"/>
        <v>22-30</v>
      </c>
      <c r="X616" t="str">
        <f t="shared" si="46"/>
        <v>11-20 yrs</v>
      </c>
      <c r="Y616" t="str">
        <f t="shared" si="47"/>
        <v>Nov</v>
      </c>
      <c r="Z616">
        <f t="shared" si="48"/>
        <v>2025</v>
      </c>
      <c r="AA616">
        <f t="shared" si="49"/>
        <v>0</v>
      </c>
    </row>
    <row r="617" spans="1:27" ht="15" customHeight="1" x14ac:dyDescent="0.3">
      <c r="A617" t="s">
        <v>1137</v>
      </c>
      <c r="B617" s="20">
        <v>45768</v>
      </c>
      <c r="C617" t="s">
        <v>327</v>
      </c>
      <c r="D617" t="s">
        <v>35</v>
      </c>
      <c r="E617" s="37">
        <v>35</v>
      </c>
      <c r="F617" t="s">
        <v>80</v>
      </c>
      <c r="G617" t="s">
        <v>81</v>
      </c>
      <c r="H617" t="s">
        <v>38</v>
      </c>
      <c r="I617" t="s">
        <v>75</v>
      </c>
      <c r="J617" t="s">
        <v>134</v>
      </c>
      <c r="K617" s="37">
        <v>7</v>
      </c>
      <c r="L617" t="s">
        <v>52</v>
      </c>
      <c r="M617" s="21">
        <v>80300</v>
      </c>
      <c r="N617" s="21">
        <v>1088868</v>
      </c>
      <c r="O617" s="21">
        <v>125268</v>
      </c>
      <c r="P617" s="37">
        <v>5</v>
      </c>
      <c r="Q617" t="s">
        <v>42</v>
      </c>
      <c r="R617" s="37">
        <v>11</v>
      </c>
      <c r="S617" s="37">
        <v>3</v>
      </c>
      <c r="T617" t="s">
        <v>146</v>
      </c>
      <c r="U617" t="s">
        <v>63</v>
      </c>
      <c r="V617" t="s">
        <v>69</v>
      </c>
      <c r="W617" t="str">
        <f t="shared" si="45"/>
        <v>31-40</v>
      </c>
      <c r="X617" t="str">
        <f t="shared" si="46"/>
        <v>6-10 yrs</v>
      </c>
      <c r="Y617" t="str">
        <f t="shared" si="47"/>
        <v>Apr</v>
      </c>
      <c r="Z617">
        <f t="shared" si="48"/>
        <v>2025</v>
      </c>
      <c r="AA617">
        <f t="shared" si="49"/>
        <v>0</v>
      </c>
    </row>
    <row r="618" spans="1:27" ht="15" customHeight="1" x14ac:dyDescent="0.3">
      <c r="A618" t="s">
        <v>1138</v>
      </c>
      <c r="B618" s="20">
        <v>45851</v>
      </c>
      <c r="C618" t="s">
        <v>1123</v>
      </c>
      <c r="D618" t="s">
        <v>35</v>
      </c>
      <c r="E618" s="37">
        <v>39</v>
      </c>
      <c r="F618" t="s">
        <v>123</v>
      </c>
      <c r="G618" t="s">
        <v>124</v>
      </c>
      <c r="H618" t="s">
        <v>59</v>
      </c>
      <c r="I618" t="s">
        <v>75</v>
      </c>
      <c r="J618" t="s">
        <v>104</v>
      </c>
      <c r="K618" s="37">
        <v>21</v>
      </c>
      <c r="L618" t="s">
        <v>120</v>
      </c>
      <c r="M618" s="21">
        <v>66700</v>
      </c>
      <c r="N618" s="21">
        <v>896448</v>
      </c>
      <c r="O618" s="21">
        <v>96048</v>
      </c>
      <c r="P618" s="37">
        <v>3</v>
      </c>
      <c r="Q618" t="s">
        <v>126</v>
      </c>
      <c r="R618" s="37">
        <v>15</v>
      </c>
      <c r="S618" s="37">
        <v>11</v>
      </c>
      <c r="T618" t="s">
        <v>53</v>
      </c>
      <c r="U618" t="s">
        <v>44</v>
      </c>
      <c r="V618" t="s">
        <v>69</v>
      </c>
      <c r="W618" t="str">
        <f t="shared" si="45"/>
        <v>31-40</v>
      </c>
      <c r="X618" t="str">
        <f t="shared" si="46"/>
        <v>21-30 yrs</v>
      </c>
      <c r="Y618" t="str">
        <f t="shared" si="47"/>
        <v>Jul</v>
      </c>
      <c r="Z618">
        <f t="shared" si="48"/>
        <v>2025</v>
      </c>
      <c r="AA618">
        <f t="shared" si="49"/>
        <v>1</v>
      </c>
    </row>
    <row r="619" spans="1:27" ht="15" customHeight="1" x14ac:dyDescent="0.3">
      <c r="A619" t="s">
        <v>1139</v>
      </c>
      <c r="B619" s="20">
        <v>45957</v>
      </c>
      <c r="C619" t="s">
        <v>981</v>
      </c>
      <c r="D619" t="s">
        <v>35</v>
      </c>
      <c r="E619" s="37">
        <v>42</v>
      </c>
      <c r="F619" t="s">
        <v>86</v>
      </c>
      <c r="G619" t="s">
        <v>87</v>
      </c>
      <c r="H619" t="s">
        <v>66</v>
      </c>
      <c r="I619" t="s">
        <v>82</v>
      </c>
      <c r="J619" t="s">
        <v>161</v>
      </c>
      <c r="K619" s="37">
        <v>28</v>
      </c>
      <c r="L619" t="s">
        <v>52</v>
      </c>
      <c r="M619" s="21">
        <v>73100</v>
      </c>
      <c r="N619" s="21">
        <v>1043868</v>
      </c>
      <c r="O619" s="21">
        <v>166668</v>
      </c>
      <c r="P619" s="37">
        <v>3</v>
      </c>
      <c r="Q619" t="s">
        <v>42</v>
      </c>
      <c r="R619" s="37">
        <v>12</v>
      </c>
      <c r="S619" s="37">
        <v>7</v>
      </c>
      <c r="T619" t="s">
        <v>105</v>
      </c>
      <c r="U619" t="s">
        <v>44</v>
      </c>
      <c r="V619" t="s">
        <v>45</v>
      </c>
      <c r="W619" t="str">
        <f t="shared" si="45"/>
        <v>41-50</v>
      </c>
      <c r="X619" t="str">
        <f t="shared" si="46"/>
        <v>21-30 yrs</v>
      </c>
      <c r="Y619" t="str">
        <f t="shared" si="47"/>
        <v>Oct</v>
      </c>
      <c r="Z619">
        <f t="shared" si="48"/>
        <v>2025</v>
      </c>
      <c r="AA619">
        <f t="shared" si="49"/>
        <v>0</v>
      </c>
    </row>
    <row r="620" spans="1:27" ht="15" customHeight="1" x14ac:dyDescent="0.3">
      <c r="A620" t="s">
        <v>1140</v>
      </c>
      <c r="B620" s="20">
        <v>45814</v>
      </c>
      <c r="C620" t="s">
        <v>1141</v>
      </c>
      <c r="D620" t="s">
        <v>48</v>
      </c>
      <c r="E620" s="37">
        <v>24</v>
      </c>
      <c r="F620" t="s">
        <v>80</v>
      </c>
      <c r="G620" t="s">
        <v>81</v>
      </c>
      <c r="H620" t="s">
        <v>66</v>
      </c>
      <c r="I620" t="s">
        <v>82</v>
      </c>
      <c r="J620" t="s">
        <v>170</v>
      </c>
      <c r="K620" s="37">
        <v>21</v>
      </c>
      <c r="L620" t="s">
        <v>52</v>
      </c>
      <c r="M620" s="21">
        <v>60800</v>
      </c>
      <c r="N620" s="21">
        <v>787968</v>
      </c>
      <c r="O620" s="21">
        <v>58368</v>
      </c>
      <c r="P620" s="37">
        <v>5</v>
      </c>
      <c r="Q620" t="s">
        <v>42</v>
      </c>
      <c r="R620" s="37">
        <v>18</v>
      </c>
      <c r="S620" s="37">
        <v>27</v>
      </c>
      <c r="T620" t="s">
        <v>43</v>
      </c>
      <c r="U620" t="s">
        <v>63</v>
      </c>
      <c r="V620" t="s">
        <v>69</v>
      </c>
      <c r="W620" t="str">
        <f t="shared" si="45"/>
        <v>22-30</v>
      </c>
      <c r="X620" t="str">
        <f t="shared" si="46"/>
        <v>21-30 yrs</v>
      </c>
      <c r="Y620" t="str">
        <f t="shared" si="47"/>
        <v>Jun</v>
      </c>
      <c r="Z620">
        <f t="shared" si="48"/>
        <v>2025</v>
      </c>
      <c r="AA620">
        <f t="shared" si="49"/>
        <v>0</v>
      </c>
    </row>
    <row r="621" spans="1:27" ht="15" customHeight="1" x14ac:dyDescent="0.3">
      <c r="A621" t="s">
        <v>1142</v>
      </c>
      <c r="B621" s="20">
        <v>45799</v>
      </c>
      <c r="C621" t="s">
        <v>229</v>
      </c>
      <c r="D621" t="s">
        <v>35</v>
      </c>
      <c r="E621" s="37">
        <v>38</v>
      </c>
      <c r="F621" t="s">
        <v>72</v>
      </c>
      <c r="G621" t="s">
        <v>73</v>
      </c>
      <c r="H621" t="s">
        <v>38</v>
      </c>
      <c r="I621" t="s">
        <v>60</v>
      </c>
      <c r="J621" t="s">
        <v>190</v>
      </c>
      <c r="K621" s="37">
        <v>0</v>
      </c>
      <c r="L621" t="s">
        <v>52</v>
      </c>
      <c r="M621" s="21">
        <v>153600</v>
      </c>
      <c r="N621" s="21">
        <v>2045952</v>
      </c>
      <c r="O621" s="21">
        <v>202752</v>
      </c>
      <c r="P621" s="37">
        <v>2</v>
      </c>
      <c r="Q621" t="s">
        <v>42</v>
      </c>
      <c r="R621" s="37">
        <v>18</v>
      </c>
      <c r="S621" s="37">
        <v>29</v>
      </c>
      <c r="T621" t="s">
        <v>53</v>
      </c>
      <c r="U621" t="s">
        <v>54</v>
      </c>
      <c r="V621" t="s">
        <v>45</v>
      </c>
      <c r="W621" t="str">
        <f t="shared" si="45"/>
        <v>31-40</v>
      </c>
      <c r="X621" t="str">
        <f t="shared" si="46"/>
        <v>0-5 yrs</v>
      </c>
      <c r="Y621" t="str">
        <f t="shared" si="47"/>
        <v>May</v>
      </c>
      <c r="Z621">
        <f t="shared" si="48"/>
        <v>2025</v>
      </c>
      <c r="AA621">
        <f t="shared" si="49"/>
        <v>0</v>
      </c>
    </row>
    <row r="622" spans="1:27" ht="15" customHeight="1" x14ac:dyDescent="0.3">
      <c r="A622" t="s">
        <v>1143</v>
      </c>
      <c r="B622" s="20">
        <v>45937</v>
      </c>
      <c r="C622" t="s">
        <v>897</v>
      </c>
      <c r="D622" t="s">
        <v>48</v>
      </c>
      <c r="E622" s="37">
        <v>34</v>
      </c>
      <c r="F622" t="s">
        <v>49</v>
      </c>
      <c r="G622" t="s">
        <v>50</v>
      </c>
      <c r="H622" t="s">
        <v>74</v>
      </c>
      <c r="I622" t="s">
        <v>75</v>
      </c>
      <c r="J622" t="s">
        <v>83</v>
      </c>
      <c r="K622" s="37">
        <v>12</v>
      </c>
      <c r="L622" t="s">
        <v>52</v>
      </c>
      <c r="M622" s="21">
        <v>79600</v>
      </c>
      <c r="N622" s="21">
        <v>1041168</v>
      </c>
      <c r="O622" s="21">
        <v>85968</v>
      </c>
      <c r="P622" s="37">
        <v>4</v>
      </c>
      <c r="Q622" t="s">
        <v>126</v>
      </c>
      <c r="R622" s="37">
        <v>17</v>
      </c>
      <c r="S622" s="37">
        <v>19</v>
      </c>
      <c r="T622" t="s">
        <v>43</v>
      </c>
      <c r="U622" t="s">
        <v>63</v>
      </c>
      <c r="V622" t="s">
        <v>69</v>
      </c>
      <c r="W622" t="str">
        <f t="shared" si="45"/>
        <v>31-40</v>
      </c>
      <c r="X622" t="str">
        <f t="shared" si="46"/>
        <v>11-20 yrs</v>
      </c>
      <c r="Y622" t="str">
        <f t="shared" si="47"/>
        <v>Oct</v>
      </c>
      <c r="Z622">
        <f t="shared" si="48"/>
        <v>2025</v>
      </c>
      <c r="AA622">
        <f t="shared" si="49"/>
        <v>1</v>
      </c>
    </row>
    <row r="623" spans="1:27" ht="15" customHeight="1" x14ac:dyDescent="0.3">
      <c r="A623" t="s">
        <v>1144</v>
      </c>
      <c r="B623" s="20">
        <v>45887</v>
      </c>
      <c r="C623" t="s">
        <v>156</v>
      </c>
      <c r="D623" t="s">
        <v>48</v>
      </c>
      <c r="E623" s="37">
        <v>43</v>
      </c>
      <c r="F623" t="s">
        <v>80</v>
      </c>
      <c r="G623" t="s">
        <v>81</v>
      </c>
      <c r="H623" t="s">
        <v>59</v>
      </c>
      <c r="I623" t="s">
        <v>39</v>
      </c>
      <c r="J623" t="s">
        <v>88</v>
      </c>
      <c r="K623" s="37">
        <v>10</v>
      </c>
      <c r="L623" t="s">
        <v>41</v>
      </c>
      <c r="M623" s="21">
        <v>30600</v>
      </c>
      <c r="N623" s="21">
        <v>403920</v>
      </c>
      <c r="O623" s="21">
        <v>36720</v>
      </c>
      <c r="P623" s="37">
        <v>5</v>
      </c>
      <c r="Q623" t="s">
        <v>42</v>
      </c>
      <c r="R623" s="37">
        <v>0</v>
      </c>
      <c r="S623" s="37">
        <v>1</v>
      </c>
      <c r="T623" t="s">
        <v>53</v>
      </c>
      <c r="U623" t="s">
        <v>44</v>
      </c>
      <c r="V623" t="s">
        <v>69</v>
      </c>
      <c r="W623" t="str">
        <f t="shared" si="45"/>
        <v>41-50</v>
      </c>
      <c r="X623" t="str">
        <f t="shared" si="46"/>
        <v>6-10 yrs</v>
      </c>
      <c r="Y623" t="str">
        <f t="shared" si="47"/>
        <v>Aug</v>
      </c>
      <c r="Z623">
        <f t="shared" si="48"/>
        <v>2025</v>
      </c>
      <c r="AA623">
        <f t="shared" si="49"/>
        <v>0</v>
      </c>
    </row>
    <row r="624" spans="1:27" ht="15" customHeight="1" x14ac:dyDescent="0.3">
      <c r="A624" t="s">
        <v>1145</v>
      </c>
      <c r="B624" s="20">
        <v>45978</v>
      </c>
      <c r="C624" t="s">
        <v>1146</v>
      </c>
      <c r="D624" t="s">
        <v>48</v>
      </c>
      <c r="E624" s="37">
        <v>46</v>
      </c>
      <c r="F624" t="s">
        <v>49</v>
      </c>
      <c r="G624" t="s">
        <v>50</v>
      </c>
      <c r="H624" t="s">
        <v>118</v>
      </c>
      <c r="I624" t="s">
        <v>51</v>
      </c>
      <c r="J624" t="s">
        <v>219</v>
      </c>
      <c r="K624" s="37">
        <v>22</v>
      </c>
      <c r="L624" t="s">
        <v>52</v>
      </c>
      <c r="M624" s="21">
        <v>210100</v>
      </c>
      <c r="N624" s="21">
        <v>2823744</v>
      </c>
      <c r="O624" s="21">
        <v>302544</v>
      </c>
      <c r="P624" s="37">
        <v>5</v>
      </c>
      <c r="Q624" t="s">
        <v>42</v>
      </c>
      <c r="R624" s="37">
        <v>17</v>
      </c>
      <c r="S624" s="37">
        <v>34</v>
      </c>
      <c r="T624" t="s">
        <v>68</v>
      </c>
      <c r="U624" t="s">
        <v>63</v>
      </c>
      <c r="V624" t="s">
        <v>69</v>
      </c>
      <c r="W624" t="str">
        <f t="shared" si="45"/>
        <v>41-50</v>
      </c>
      <c r="X624" t="str">
        <f t="shared" si="46"/>
        <v>21-30 yrs</v>
      </c>
      <c r="Y624" t="str">
        <f t="shared" si="47"/>
        <v>Nov</v>
      </c>
      <c r="Z624">
        <f t="shared" si="48"/>
        <v>2025</v>
      </c>
      <c r="AA624">
        <f t="shared" si="49"/>
        <v>0</v>
      </c>
    </row>
    <row r="625" spans="1:27" ht="15" customHeight="1" x14ac:dyDescent="0.3">
      <c r="A625" t="s">
        <v>1147</v>
      </c>
      <c r="B625" s="20">
        <v>45714</v>
      </c>
      <c r="C625" t="s">
        <v>649</v>
      </c>
      <c r="D625" t="s">
        <v>48</v>
      </c>
      <c r="E625" s="37">
        <v>52</v>
      </c>
      <c r="F625" t="s">
        <v>36</v>
      </c>
      <c r="G625" t="s">
        <v>37</v>
      </c>
      <c r="H625" t="s">
        <v>38</v>
      </c>
      <c r="I625" t="s">
        <v>75</v>
      </c>
      <c r="J625" t="s">
        <v>40</v>
      </c>
      <c r="K625" s="37">
        <v>22</v>
      </c>
      <c r="L625" t="s">
        <v>52</v>
      </c>
      <c r="M625" s="21">
        <v>98200</v>
      </c>
      <c r="N625" s="21">
        <v>1249104</v>
      </c>
      <c r="O625" s="21">
        <v>70704</v>
      </c>
      <c r="P625" s="37">
        <v>4</v>
      </c>
      <c r="Q625" t="s">
        <v>42</v>
      </c>
      <c r="R625" s="37">
        <v>15</v>
      </c>
      <c r="S625" s="37">
        <v>28</v>
      </c>
      <c r="T625" t="s">
        <v>53</v>
      </c>
      <c r="U625" t="s">
        <v>63</v>
      </c>
      <c r="V625" t="s">
        <v>69</v>
      </c>
      <c r="W625" t="str">
        <f t="shared" si="45"/>
        <v>51-58</v>
      </c>
      <c r="X625" t="str">
        <f t="shared" si="46"/>
        <v>21-30 yrs</v>
      </c>
      <c r="Y625" t="str">
        <f t="shared" si="47"/>
        <v>Feb</v>
      </c>
      <c r="Z625">
        <f t="shared" si="48"/>
        <v>2025</v>
      </c>
      <c r="AA625">
        <f t="shared" si="49"/>
        <v>0</v>
      </c>
    </row>
    <row r="626" spans="1:27" ht="15" customHeight="1" x14ac:dyDescent="0.3">
      <c r="A626" t="s">
        <v>1148</v>
      </c>
      <c r="B626" s="20">
        <v>45743</v>
      </c>
      <c r="C626" t="s">
        <v>1149</v>
      </c>
      <c r="D626" t="s">
        <v>35</v>
      </c>
      <c r="E626" s="37">
        <v>31</v>
      </c>
      <c r="F626" t="s">
        <v>72</v>
      </c>
      <c r="G626" t="s">
        <v>73</v>
      </c>
      <c r="H626" t="s">
        <v>66</v>
      </c>
      <c r="I626" t="s">
        <v>75</v>
      </c>
      <c r="J626" t="s">
        <v>170</v>
      </c>
      <c r="K626" s="37">
        <v>19</v>
      </c>
      <c r="L626" t="s">
        <v>52</v>
      </c>
      <c r="M626" s="21">
        <v>87600</v>
      </c>
      <c r="N626" s="21">
        <v>1177344</v>
      </c>
      <c r="O626" s="21">
        <v>126144</v>
      </c>
      <c r="P626" s="37">
        <v>5</v>
      </c>
      <c r="Q626" t="s">
        <v>42</v>
      </c>
      <c r="R626" s="37">
        <v>4</v>
      </c>
      <c r="S626" s="37">
        <v>0</v>
      </c>
      <c r="T626" t="s">
        <v>129</v>
      </c>
      <c r="U626" t="s">
        <v>44</v>
      </c>
      <c r="V626" t="s">
        <v>69</v>
      </c>
      <c r="W626" t="str">
        <f t="shared" si="45"/>
        <v>31-40</v>
      </c>
      <c r="X626" t="str">
        <f t="shared" si="46"/>
        <v>11-20 yrs</v>
      </c>
      <c r="Y626" t="str">
        <f t="shared" si="47"/>
        <v>Mar</v>
      </c>
      <c r="Z626">
        <f t="shared" si="48"/>
        <v>2025</v>
      </c>
      <c r="AA626">
        <f t="shared" si="49"/>
        <v>0</v>
      </c>
    </row>
    <row r="627" spans="1:27" ht="15" customHeight="1" x14ac:dyDescent="0.3">
      <c r="A627" t="s">
        <v>1150</v>
      </c>
      <c r="B627" s="20">
        <v>45935</v>
      </c>
      <c r="C627" t="s">
        <v>1151</v>
      </c>
      <c r="D627" t="s">
        <v>48</v>
      </c>
      <c r="E627" s="37">
        <v>29</v>
      </c>
      <c r="F627" t="s">
        <v>49</v>
      </c>
      <c r="G627" t="s">
        <v>50</v>
      </c>
      <c r="H627" t="s">
        <v>74</v>
      </c>
      <c r="I627" t="s">
        <v>82</v>
      </c>
      <c r="J627" t="s">
        <v>83</v>
      </c>
      <c r="K627" s="37">
        <v>21</v>
      </c>
      <c r="L627" t="s">
        <v>52</v>
      </c>
      <c r="M627" s="21">
        <v>72700</v>
      </c>
      <c r="N627" s="21">
        <v>924744</v>
      </c>
      <c r="O627" s="21">
        <v>52344</v>
      </c>
      <c r="P627" s="37">
        <v>4</v>
      </c>
      <c r="Q627" t="s">
        <v>42</v>
      </c>
      <c r="R627" s="37">
        <v>16</v>
      </c>
      <c r="S627" s="37">
        <v>25</v>
      </c>
      <c r="T627" t="s">
        <v>77</v>
      </c>
      <c r="U627" t="s">
        <v>54</v>
      </c>
      <c r="V627" t="s">
        <v>69</v>
      </c>
      <c r="W627" t="str">
        <f t="shared" si="45"/>
        <v>22-30</v>
      </c>
      <c r="X627" t="str">
        <f t="shared" si="46"/>
        <v>21-30 yrs</v>
      </c>
      <c r="Y627" t="str">
        <f t="shared" si="47"/>
        <v>Oct</v>
      </c>
      <c r="Z627">
        <f t="shared" si="48"/>
        <v>2025</v>
      </c>
      <c r="AA627">
        <f t="shared" si="49"/>
        <v>0</v>
      </c>
    </row>
    <row r="628" spans="1:27" ht="15" customHeight="1" x14ac:dyDescent="0.3">
      <c r="A628" t="s">
        <v>1152</v>
      </c>
      <c r="B628" s="20">
        <v>45707</v>
      </c>
      <c r="C628" t="s">
        <v>768</v>
      </c>
      <c r="D628" t="s">
        <v>35</v>
      </c>
      <c r="E628" s="37">
        <v>35</v>
      </c>
      <c r="F628" t="s">
        <v>80</v>
      </c>
      <c r="G628" t="s">
        <v>81</v>
      </c>
      <c r="H628" t="s">
        <v>66</v>
      </c>
      <c r="I628" t="s">
        <v>39</v>
      </c>
      <c r="J628" t="s">
        <v>149</v>
      </c>
      <c r="K628" s="37">
        <v>1</v>
      </c>
      <c r="L628" t="s">
        <v>52</v>
      </c>
      <c r="M628" s="21">
        <v>46300</v>
      </c>
      <c r="N628" s="21">
        <v>633384</v>
      </c>
      <c r="O628" s="21">
        <v>77784</v>
      </c>
      <c r="P628" s="37">
        <v>4</v>
      </c>
      <c r="Q628" t="s">
        <v>42</v>
      </c>
      <c r="R628" s="37">
        <v>3</v>
      </c>
      <c r="S628" s="37">
        <v>24</v>
      </c>
      <c r="T628" t="s">
        <v>53</v>
      </c>
      <c r="U628" t="s">
        <v>44</v>
      </c>
      <c r="V628" t="s">
        <v>45</v>
      </c>
      <c r="W628" t="str">
        <f t="shared" si="45"/>
        <v>31-40</v>
      </c>
      <c r="X628" t="str">
        <f t="shared" si="46"/>
        <v>0-5 yrs</v>
      </c>
      <c r="Y628" t="str">
        <f t="shared" si="47"/>
        <v>Feb</v>
      </c>
      <c r="Z628">
        <f t="shared" si="48"/>
        <v>2025</v>
      </c>
      <c r="AA628">
        <f t="shared" si="49"/>
        <v>0</v>
      </c>
    </row>
    <row r="629" spans="1:27" ht="15" customHeight="1" x14ac:dyDescent="0.3">
      <c r="A629" t="s">
        <v>1153</v>
      </c>
      <c r="B629" s="20">
        <v>45847</v>
      </c>
      <c r="C629" t="s">
        <v>1154</v>
      </c>
      <c r="D629" t="s">
        <v>48</v>
      </c>
      <c r="E629" s="37">
        <v>43</v>
      </c>
      <c r="F629" t="s">
        <v>57</v>
      </c>
      <c r="G629" t="s">
        <v>58</v>
      </c>
      <c r="H629" t="s">
        <v>38</v>
      </c>
      <c r="I629" t="s">
        <v>75</v>
      </c>
      <c r="J629" t="s">
        <v>40</v>
      </c>
      <c r="K629" s="37">
        <v>22</v>
      </c>
      <c r="L629" t="s">
        <v>52</v>
      </c>
      <c r="M629" s="21">
        <v>90700</v>
      </c>
      <c r="N629" s="21">
        <v>1164588</v>
      </c>
      <c r="O629" s="21">
        <v>76188</v>
      </c>
      <c r="P629" s="37">
        <v>4</v>
      </c>
      <c r="Q629" t="s">
        <v>42</v>
      </c>
      <c r="R629" s="37">
        <v>5</v>
      </c>
      <c r="S629" s="37">
        <v>26</v>
      </c>
      <c r="T629" t="s">
        <v>53</v>
      </c>
      <c r="U629" t="s">
        <v>138</v>
      </c>
      <c r="V629" t="s">
        <v>45</v>
      </c>
      <c r="W629" t="str">
        <f t="shared" si="45"/>
        <v>41-50</v>
      </c>
      <c r="X629" t="str">
        <f t="shared" si="46"/>
        <v>21-30 yrs</v>
      </c>
      <c r="Y629" t="str">
        <f t="shared" si="47"/>
        <v>Jul</v>
      </c>
      <c r="Z629">
        <f t="shared" si="48"/>
        <v>2025</v>
      </c>
      <c r="AA629">
        <f t="shared" si="49"/>
        <v>0</v>
      </c>
    </row>
    <row r="630" spans="1:27" ht="15" customHeight="1" x14ac:dyDescent="0.3">
      <c r="A630" t="s">
        <v>1155</v>
      </c>
      <c r="B630" s="20">
        <v>45753</v>
      </c>
      <c r="C630" t="s">
        <v>1156</v>
      </c>
      <c r="D630" t="s">
        <v>35</v>
      </c>
      <c r="E630" s="37">
        <v>47</v>
      </c>
      <c r="F630" t="s">
        <v>123</v>
      </c>
      <c r="G630" t="s">
        <v>124</v>
      </c>
      <c r="H630" t="s">
        <v>38</v>
      </c>
      <c r="I630" t="s">
        <v>60</v>
      </c>
      <c r="J630" t="s">
        <v>99</v>
      </c>
      <c r="K630" s="37">
        <v>16</v>
      </c>
      <c r="L630" t="s">
        <v>52</v>
      </c>
      <c r="M630" s="21">
        <v>146000</v>
      </c>
      <c r="N630" s="21">
        <v>1997280</v>
      </c>
      <c r="O630" s="21">
        <v>245280</v>
      </c>
      <c r="P630" s="37">
        <v>4</v>
      </c>
      <c r="Q630" t="s">
        <v>42</v>
      </c>
      <c r="R630" s="37">
        <v>2</v>
      </c>
      <c r="S630" s="37">
        <v>14</v>
      </c>
      <c r="T630" t="s">
        <v>146</v>
      </c>
      <c r="U630" t="s">
        <v>44</v>
      </c>
      <c r="V630" t="s">
        <v>45</v>
      </c>
      <c r="W630" t="str">
        <f t="shared" si="45"/>
        <v>41-50</v>
      </c>
      <c r="X630" t="str">
        <f t="shared" si="46"/>
        <v>11-20 yrs</v>
      </c>
      <c r="Y630" t="str">
        <f t="shared" si="47"/>
        <v>Apr</v>
      </c>
      <c r="Z630">
        <f t="shared" si="48"/>
        <v>2025</v>
      </c>
      <c r="AA630">
        <f t="shared" si="49"/>
        <v>0</v>
      </c>
    </row>
    <row r="631" spans="1:27" ht="15" customHeight="1" x14ac:dyDescent="0.3">
      <c r="A631" t="s">
        <v>1157</v>
      </c>
      <c r="B631" s="20">
        <v>45721</v>
      </c>
      <c r="C631" t="s">
        <v>1127</v>
      </c>
      <c r="D631" t="s">
        <v>48</v>
      </c>
      <c r="E631" s="37">
        <v>25</v>
      </c>
      <c r="F631" t="s">
        <v>123</v>
      </c>
      <c r="G631" t="s">
        <v>124</v>
      </c>
      <c r="H631" t="s">
        <v>66</v>
      </c>
      <c r="I631" t="s">
        <v>82</v>
      </c>
      <c r="J631" t="s">
        <v>149</v>
      </c>
      <c r="K631" s="37">
        <v>19</v>
      </c>
      <c r="L631" t="s">
        <v>52</v>
      </c>
      <c r="M631" s="21">
        <v>57000</v>
      </c>
      <c r="N631" s="21">
        <v>813960</v>
      </c>
      <c r="O631" s="21">
        <v>129960</v>
      </c>
      <c r="P631" s="37">
        <v>4</v>
      </c>
      <c r="Q631" t="s">
        <v>42</v>
      </c>
      <c r="R631" s="37">
        <v>1</v>
      </c>
      <c r="S631" s="37">
        <v>19</v>
      </c>
      <c r="T631" t="s">
        <v>43</v>
      </c>
      <c r="U631" t="s">
        <v>63</v>
      </c>
      <c r="V631" t="s">
        <v>69</v>
      </c>
      <c r="W631" t="str">
        <f t="shared" si="45"/>
        <v>22-30</v>
      </c>
      <c r="X631" t="str">
        <f t="shared" si="46"/>
        <v>11-20 yrs</v>
      </c>
      <c r="Y631" t="str">
        <f t="shared" si="47"/>
        <v>Mar</v>
      </c>
      <c r="Z631">
        <f t="shared" si="48"/>
        <v>2025</v>
      </c>
      <c r="AA631">
        <f t="shared" si="49"/>
        <v>0</v>
      </c>
    </row>
    <row r="632" spans="1:27" ht="15" customHeight="1" x14ac:dyDescent="0.3">
      <c r="A632" t="s">
        <v>1158</v>
      </c>
      <c r="B632" s="20">
        <v>45993</v>
      </c>
      <c r="C632" t="s">
        <v>988</v>
      </c>
      <c r="D632" t="s">
        <v>35</v>
      </c>
      <c r="E632" s="37">
        <v>45</v>
      </c>
      <c r="F632" t="s">
        <v>72</v>
      </c>
      <c r="G632" t="s">
        <v>73</v>
      </c>
      <c r="H632" t="s">
        <v>74</v>
      </c>
      <c r="I632" t="s">
        <v>82</v>
      </c>
      <c r="J632" t="s">
        <v>83</v>
      </c>
      <c r="K632" s="37">
        <v>14</v>
      </c>
      <c r="L632" t="s">
        <v>41</v>
      </c>
      <c r="M632" s="21">
        <v>54600</v>
      </c>
      <c r="N632" s="21">
        <v>746928</v>
      </c>
      <c r="O632" s="21">
        <v>91728</v>
      </c>
      <c r="P632" s="37">
        <v>1</v>
      </c>
      <c r="Q632" t="s">
        <v>42</v>
      </c>
      <c r="R632" s="37">
        <v>7</v>
      </c>
      <c r="S632" s="37">
        <v>13</v>
      </c>
      <c r="T632" t="s">
        <v>53</v>
      </c>
      <c r="U632" t="s">
        <v>44</v>
      </c>
      <c r="V632" t="s">
        <v>69</v>
      </c>
      <c r="W632" t="str">
        <f t="shared" si="45"/>
        <v>41-50</v>
      </c>
      <c r="X632" t="str">
        <f t="shared" si="46"/>
        <v>11-20 yrs</v>
      </c>
      <c r="Y632" t="str">
        <f t="shared" si="47"/>
        <v>Dec</v>
      </c>
      <c r="Z632">
        <f t="shared" si="48"/>
        <v>2025</v>
      </c>
      <c r="AA632">
        <f t="shared" si="49"/>
        <v>0</v>
      </c>
    </row>
    <row r="633" spans="1:27" ht="15" customHeight="1" x14ac:dyDescent="0.3">
      <c r="A633" t="s">
        <v>1159</v>
      </c>
      <c r="B633" s="20">
        <v>45771</v>
      </c>
      <c r="C633" t="s">
        <v>1041</v>
      </c>
      <c r="D633" t="s">
        <v>48</v>
      </c>
      <c r="E633" s="37">
        <v>49</v>
      </c>
      <c r="F633" t="s">
        <v>91</v>
      </c>
      <c r="G633" t="s">
        <v>92</v>
      </c>
      <c r="H633" t="s">
        <v>66</v>
      </c>
      <c r="I633" t="s">
        <v>39</v>
      </c>
      <c r="J633" t="s">
        <v>161</v>
      </c>
      <c r="K633" s="37">
        <v>20</v>
      </c>
      <c r="L633" t="s">
        <v>52</v>
      </c>
      <c r="M633" s="21">
        <v>45200</v>
      </c>
      <c r="N633" s="21">
        <v>585792</v>
      </c>
      <c r="O633" s="21">
        <v>43392</v>
      </c>
      <c r="P633" s="37">
        <v>5</v>
      </c>
      <c r="Q633" t="s">
        <v>126</v>
      </c>
      <c r="R633" s="37">
        <v>2</v>
      </c>
      <c r="S633" s="37">
        <v>27</v>
      </c>
      <c r="T633" t="s">
        <v>175</v>
      </c>
      <c r="U633" t="s">
        <v>44</v>
      </c>
      <c r="V633" t="s">
        <v>45</v>
      </c>
      <c r="W633" t="str">
        <f t="shared" si="45"/>
        <v>41-50</v>
      </c>
      <c r="X633" t="str">
        <f t="shared" si="46"/>
        <v>11-20 yrs</v>
      </c>
      <c r="Y633" t="str">
        <f t="shared" si="47"/>
        <v>Apr</v>
      </c>
      <c r="Z633">
        <f t="shared" si="48"/>
        <v>2025</v>
      </c>
      <c r="AA633">
        <f t="shared" si="49"/>
        <v>1</v>
      </c>
    </row>
    <row r="634" spans="1:27" ht="15" customHeight="1" x14ac:dyDescent="0.3">
      <c r="A634" t="s">
        <v>1160</v>
      </c>
      <c r="B634" s="20">
        <v>45709</v>
      </c>
      <c r="C634" t="s">
        <v>90</v>
      </c>
      <c r="D634" t="s">
        <v>48</v>
      </c>
      <c r="E634" s="37">
        <v>34</v>
      </c>
      <c r="F634" t="s">
        <v>108</v>
      </c>
      <c r="G634" t="s">
        <v>109</v>
      </c>
      <c r="H634" t="s">
        <v>59</v>
      </c>
      <c r="I634" t="s">
        <v>82</v>
      </c>
      <c r="J634" t="s">
        <v>88</v>
      </c>
      <c r="K634" s="37">
        <v>10</v>
      </c>
      <c r="L634" t="s">
        <v>52</v>
      </c>
      <c r="M634" s="21">
        <v>61000</v>
      </c>
      <c r="N634" s="21">
        <v>841799</v>
      </c>
      <c r="O634" s="21">
        <v>109800</v>
      </c>
      <c r="P634" s="37">
        <v>3</v>
      </c>
      <c r="Q634" t="s">
        <v>42</v>
      </c>
      <c r="R634" s="37">
        <v>19</v>
      </c>
      <c r="S634" s="37">
        <v>28</v>
      </c>
      <c r="T634" t="s">
        <v>129</v>
      </c>
      <c r="U634" t="s">
        <v>54</v>
      </c>
      <c r="V634" t="s">
        <v>69</v>
      </c>
      <c r="W634" t="str">
        <f t="shared" si="45"/>
        <v>31-40</v>
      </c>
      <c r="X634" t="str">
        <f t="shared" si="46"/>
        <v>6-10 yrs</v>
      </c>
      <c r="Y634" t="str">
        <f t="shared" si="47"/>
        <v>Feb</v>
      </c>
      <c r="Z634">
        <f t="shared" si="48"/>
        <v>2025</v>
      </c>
      <c r="AA634">
        <f t="shared" si="49"/>
        <v>0</v>
      </c>
    </row>
    <row r="635" spans="1:27" ht="15" customHeight="1" x14ac:dyDescent="0.3">
      <c r="A635" t="s">
        <v>1161</v>
      </c>
      <c r="B635" s="20">
        <v>45984</v>
      </c>
      <c r="C635" t="s">
        <v>1162</v>
      </c>
      <c r="D635" t="s">
        <v>48</v>
      </c>
      <c r="E635" s="37">
        <v>33</v>
      </c>
      <c r="F635" t="s">
        <v>80</v>
      </c>
      <c r="G635" t="s">
        <v>81</v>
      </c>
      <c r="H635" t="s">
        <v>66</v>
      </c>
      <c r="I635" t="s">
        <v>39</v>
      </c>
      <c r="J635" t="s">
        <v>67</v>
      </c>
      <c r="K635" s="37">
        <v>0</v>
      </c>
      <c r="L635" t="s">
        <v>120</v>
      </c>
      <c r="M635" s="21">
        <v>39400</v>
      </c>
      <c r="N635" s="21">
        <v>534264</v>
      </c>
      <c r="O635" s="21">
        <v>61464</v>
      </c>
      <c r="P635" s="37">
        <v>5</v>
      </c>
      <c r="Q635" t="s">
        <v>42</v>
      </c>
      <c r="R635" s="37">
        <v>13</v>
      </c>
      <c r="S635" s="37">
        <v>32</v>
      </c>
      <c r="T635" t="s">
        <v>129</v>
      </c>
      <c r="U635" t="s">
        <v>44</v>
      </c>
      <c r="V635" t="s">
        <v>69</v>
      </c>
      <c r="W635" t="str">
        <f t="shared" si="45"/>
        <v>31-40</v>
      </c>
      <c r="X635" t="str">
        <f t="shared" si="46"/>
        <v>0-5 yrs</v>
      </c>
      <c r="Y635" t="str">
        <f t="shared" si="47"/>
        <v>Nov</v>
      </c>
      <c r="Z635">
        <f t="shared" si="48"/>
        <v>2025</v>
      </c>
      <c r="AA635">
        <f t="shared" si="49"/>
        <v>0</v>
      </c>
    </row>
    <row r="636" spans="1:27" ht="15" customHeight="1" x14ac:dyDescent="0.3">
      <c r="A636" t="s">
        <v>1163</v>
      </c>
      <c r="B636" s="20">
        <v>45893</v>
      </c>
      <c r="C636" t="s">
        <v>1164</v>
      </c>
      <c r="D636" t="s">
        <v>48</v>
      </c>
      <c r="E636" s="37">
        <v>50</v>
      </c>
      <c r="F636" t="s">
        <v>123</v>
      </c>
      <c r="G636" t="s">
        <v>124</v>
      </c>
      <c r="H636" t="s">
        <v>38</v>
      </c>
      <c r="I636" t="s">
        <v>82</v>
      </c>
      <c r="J636" t="s">
        <v>110</v>
      </c>
      <c r="K636" s="37">
        <v>28</v>
      </c>
      <c r="L636" t="s">
        <v>52</v>
      </c>
      <c r="M636" s="21">
        <v>65500</v>
      </c>
      <c r="N636" s="21">
        <v>903899</v>
      </c>
      <c r="O636" s="21">
        <v>117900</v>
      </c>
      <c r="P636" s="37">
        <v>1</v>
      </c>
      <c r="Q636" t="s">
        <v>42</v>
      </c>
      <c r="R636" s="37">
        <v>1</v>
      </c>
      <c r="S636" s="37">
        <v>0</v>
      </c>
      <c r="T636" t="s">
        <v>62</v>
      </c>
      <c r="U636" t="s">
        <v>63</v>
      </c>
      <c r="V636" t="s">
        <v>69</v>
      </c>
      <c r="W636" t="str">
        <f t="shared" si="45"/>
        <v>41-50</v>
      </c>
      <c r="X636" t="str">
        <f t="shared" si="46"/>
        <v>21-30 yrs</v>
      </c>
      <c r="Y636" t="str">
        <f t="shared" si="47"/>
        <v>Aug</v>
      </c>
      <c r="Z636">
        <f t="shared" si="48"/>
        <v>2025</v>
      </c>
      <c r="AA636">
        <f t="shared" si="49"/>
        <v>0</v>
      </c>
    </row>
    <row r="637" spans="1:27" ht="15" customHeight="1" x14ac:dyDescent="0.3">
      <c r="A637" t="s">
        <v>1165</v>
      </c>
      <c r="B637" s="20">
        <v>45765</v>
      </c>
      <c r="C637" t="s">
        <v>1097</v>
      </c>
      <c r="D637" t="s">
        <v>35</v>
      </c>
      <c r="E637" s="37">
        <v>31</v>
      </c>
      <c r="F637" t="s">
        <v>123</v>
      </c>
      <c r="G637" t="s">
        <v>124</v>
      </c>
      <c r="H637" t="s">
        <v>38</v>
      </c>
      <c r="I637" t="s">
        <v>75</v>
      </c>
      <c r="J637" t="s">
        <v>190</v>
      </c>
      <c r="K637" s="37">
        <v>18</v>
      </c>
      <c r="L637" t="s">
        <v>41</v>
      </c>
      <c r="M637" s="21">
        <v>103000</v>
      </c>
      <c r="N637" s="21">
        <v>1396679</v>
      </c>
      <c r="O637" s="21">
        <v>160680</v>
      </c>
      <c r="P637" s="37">
        <v>4</v>
      </c>
      <c r="Q637" t="s">
        <v>42</v>
      </c>
      <c r="R637" s="37">
        <v>3</v>
      </c>
      <c r="S637" s="37">
        <v>6</v>
      </c>
      <c r="T637" t="s">
        <v>129</v>
      </c>
      <c r="U637" t="s">
        <v>44</v>
      </c>
      <c r="V637" t="s">
        <v>69</v>
      </c>
      <c r="W637" t="str">
        <f t="shared" si="45"/>
        <v>31-40</v>
      </c>
      <c r="X637" t="str">
        <f t="shared" si="46"/>
        <v>11-20 yrs</v>
      </c>
      <c r="Y637" t="str">
        <f t="shared" si="47"/>
        <v>Apr</v>
      </c>
      <c r="Z637">
        <f t="shared" si="48"/>
        <v>2025</v>
      </c>
      <c r="AA637">
        <f t="shared" si="49"/>
        <v>0</v>
      </c>
    </row>
    <row r="638" spans="1:27" ht="15" customHeight="1" x14ac:dyDescent="0.3">
      <c r="A638" t="s">
        <v>1166</v>
      </c>
      <c r="B638" s="20">
        <v>45952</v>
      </c>
      <c r="C638" t="s">
        <v>463</v>
      </c>
      <c r="D638" t="s">
        <v>48</v>
      </c>
      <c r="E638" s="37">
        <v>25</v>
      </c>
      <c r="F638" t="s">
        <v>97</v>
      </c>
      <c r="G638" t="s">
        <v>98</v>
      </c>
      <c r="H638" t="s">
        <v>118</v>
      </c>
      <c r="I638" t="s">
        <v>82</v>
      </c>
      <c r="J638" t="s">
        <v>250</v>
      </c>
      <c r="K638" s="37">
        <v>12</v>
      </c>
      <c r="L638" t="s">
        <v>52</v>
      </c>
      <c r="M638" s="21">
        <v>60300</v>
      </c>
      <c r="N638" s="21">
        <v>817667</v>
      </c>
      <c r="O638" s="21">
        <v>94068</v>
      </c>
      <c r="P638" s="37">
        <v>3</v>
      </c>
      <c r="Q638" t="s">
        <v>42</v>
      </c>
      <c r="R638" s="37">
        <v>19</v>
      </c>
      <c r="S638" s="37">
        <v>7</v>
      </c>
      <c r="T638" t="s">
        <v>146</v>
      </c>
      <c r="U638" t="s">
        <v>44</v>
      </c>
      <c r="V638" t="s">
        <v>69</v>
      </c>
      <c r="W638" t="str">
        <f t="shared" si="45"/>
        <v>22-30</v>
      </c>
      <c r="X638" t="str">
        <f t="shared" si="46"/>
        <v>11-20 yrs</v>
      </c>
      <c r="Y638" t="str">
        <f t="shared" si="47"/>
        <v>Oct</v>
      </c>
      <c r="Z638">
        <f t="shared" si="48"/>
        <v>2025</v>
      </c>
      <c r="AA638">
        <f t="shared" si="49"/>
        <v>0</v>
      </c>
    </row>
    <row r="639" spans="1:27" ht="15" customHeight="1" x14ac:dyDescent="0.3">
      <c r="A639" t="s">
        <v>1167</v>
      </c>
      <c r="B639" s="20">
        <v>45742</v>
      </c>
      <c r="C639" t="s">
        <v>362</v>
      </c>
      <c r="D639" t="s">
        <v>35</v>
      </c>
      <c r="E639" s="37">
        <v>24</v>
      </c>
      <c r="F639" t="s">
        <v>108</v>
      </c>
      <c r="G639" t="s">
        <v>109</v>
      </c>
      <c r="H639" t="s">
        <v>66</v>
      </c>
      <c r="I639" t="s">
        <v>39</v>
      </c>
      <c r="J639" t="s">
        <v>67</v>
      </c>
      <c r="K639" s="37">
        <v>13</v>
      </c>
      <c r="L639" t="s">
        <v>52</v>
      </c>
      <c r="M639" s="21">
        <v>41300</v>
      </c>
      <c r="N639" s="21">
        <v>525336</v>
      </c>
      <c r="O639" s="21">
        <v>29736</v>
      </c>
      <c r="P639" s="37">
        <v>3</v>
      </c>
      <c r="Q639" t="s">
        <v>42</v>
      </c>
      <c r="R639" s="37">
        <v>2</v>
      </c>
      <c r="S639" s="37">
        <v>28</v>
      </c>
      <c r="T639" t="s">
        <v>62</v>
      </c>
      <c r="U639" t="s">
        <v>63</v>
      </c>
      <c r="V639" t="s">
        <v>69</v>
      </c>
      <c r="W639" t="str">
        <f t="shared" si="45"/>
        <v>22-30</v>
      </c>
      <c r="X639" t="str">
        <f t="shared" si="46"/>
        <v>11-20 yrs</v>
      </c>
      <c r="Y639" t="str">
        <f t="shared" si="47"/>
        <v>Mar</v>
      </c>
      <c r="Z639">
        <f t="shared" si="48"/>
        <v>2025</v>
      </c>
      <c r="AA639">
        <f t="shared" si="49"/>
        <v>0</v>
      </c>
    </row>
    <row r="640" spans="1:27" ht="15" customHeight="1" x14ac:dyDescent="0.3">
      <c r="A640" t="s">
        <v>1168</v>
      </c>
      <c r="B640" s="20">
        <v>45979</v>
      </c>
      <c r="C640" t="s">
        <v>1169</v>
      </c>
      <c r="D640" t="s">
        <v>35</v>
      </c>
      <c r="E640" s="37">
        <v>52</v>
      </c>
      <c r="F640" t="s">
        <v>36</v>
      </c>
      <c r="G640" t="s">
        <v>37</v>
      </c>
      <c r="H640" t="s">
        <v>59</v>
      </c>
      <c r="I640" t="s">
        <v>75</v>
      </c>
      <c r="J640" t="s">
        <v>125</v>
      </c>
      <c r="K640" s="37">
        <v>13</v>
      </c>
      <c r="L640" t="s">
        <v>52</v>
      </c>
      <c r="M640" s="21">
        <v>91000</v>
      </c>
      <c r="N640" s="21">
        <v>1255800</v>
      </c>
      <c r="O640" s="21">
        <v>163800</v>
      </c>
      <c r="P640" s="37">
        <v>4</v>
      </c>
      <c r="Q640" t="s">
        <v>42</v>
      </c>
      <c r="R640" s="37">
        <v>7</v>
      </c>
      <c r="S640" s="37">
        <v>14</v>
      </c>
      <c r="T640" t="s">
        <v>68</v>
      </c>
      <c r="U640" t="s">
        <v>138</v>
      </c>
      <c r="V640" t="s">
        <v>45</v>
      </c>
      <c r="W640" t="str">
        <f t="shared" si="45"/>
        <v>51-58</v>
      </c>
      <c r="X640" t="str">
        <f t="shared" si="46"/>
        <v>11-20 yrs</v>
      </c>
      <c r="Y640" t="str">
        <f t="shared" si="47"/>
        <v>Nov</v>
      </c>
      <c r="Z640">
        <f t="shared" si="48"/>
        <v>2025</v>
      </c>
      <c r="AA640">
        <f t="shared" si="49"/>
        <v>0</v>
      </c>
    </row>
    <row r="641" spans="1:27" ht="15" customHeight="1" x14ac:dyDescent="0.3">
      <c r="A641" t="s">
        <v>1170</v>
      </c>
      <c r="B641" s="20">
        <v>45738</v>
      </c>
      <c r="C641" t="s">
        <v>1171</v>
      </c>
      <c r="D641" t="s">
        <v>35</v>
      </c>
      <c r="E641" s="37">
        <v>37</v>
      </c>
      <c r="F641" t="s">
        <v>72</v>
      </c>
      <c r="G641" t="s">
        <v>73</v>
      </c>
      <c r="H641" t="s">
        <v>66</v>
      </c>
      <c r="I641" t="s">
        <v>39</v>
      </c>
      <c r="J641" t="s">
        <v>170</v>
      </c>
      <c r="K641" s="37">
        <v>12</v>
      </c>
      <c r="L641" t="s">
        <v>41</v>
      </c>
      <c r="M641" s="21">
        <v>44400</v>
      </c>
      <c r="N641" s="21">
        <v>634032</v>
      </c>
      <c r="O641" s="21">
        <v>101232</v>
      </c>
      <c r="P641" s="37">
        <v>2</v>
      </c>
      <c r="Q641" t="s">
        <v>126</v>
      </c>
      <c r="R641" s="37">
        <v>2</v>
      </c>
      <c r="S641" s="37">
        <v>5</v>
      </c>
      <c r="T641" t="s">
        <v>129</v>
      </c>
      <c r="U641" t="s">
        <v>44</v>
      </c>
      <c r="V641" t="s">
        <v>45</v>
      </c>
      <c r="W641" t="str">
        <f t="shared" si="45"/>
        <v>31-40</v>
      </c>
      <c r="X641" t="str">
        <f t="shared" si="46"/>
        <v>11-20 yrs</v>
      </c>
      <c r="Y641" t="str">
        <f t="shared" si="47"/>
        <v>Mar</v>
      </c>
      <c r="Z641">
        <f t="shared" si="48"/>
        <v>2025</v>
      </c>
      <c r="AA641">
        <f t="shared" si="49"/>
        <v>1</v>
      </c>
    </row>
    <row r="642" spans="1:27" ht="15" customHeight="1" x14ac:dyDescent="0.3">
      <c r="A642" t="s">
        <v>1172</v>
      </c>
      <c r="B642" s="20">
        <v>46016</v>
      </c>
      <c r="C642" t="s">
        <v>374</v>
      </c>
      <c r="D642" t="s">
        <v>48</v>
      </c>
      <c r="E642" s="37">
        <v>54</v>
      </c>
      <c r="F642" t="s">
        <v>91</v>
      </c>
      <c r="G642" t="s">
        <v>92</v>
      </c>
      <c r="H642" t="s">
        <v>38</v>
      </c>
      <c r="I642" t="s">
        <v>39</v>
      </c>
      <c r="J642" t="s">
        <v>190</v>
      </c>
      <c r="K642" s="37">
        <v>9</v>
      </c>
      <c r="L642" t="s">
        <v>52</v>
      </c>
      <c r="M642" s="21">
        <v>36500</v>
      </c>
      <c r="N642" s="21">
        <v>481800</v>
      </c>
      <c r="O642" s="21">
        <v>43800</v>
      </c>
      <c r="P642" s="37">
        <v>3</v>
      </c>
      <c r="Q642" t="s">
        <v>42</v>
      </c>
      <c r="R642" s="37">
        <v>9</v>
      </c>
      <c r="S642" s="37">
        <v>15</v>
      </c>
      <c r="T642" t="s">
        <v>94</v>
      </c>
      <c r="U642" t="s">
        <v>44</v>
      </c>
      <c r="V642" t="s">
        <v>45</v>
      </c>
      <c r="W642" t="str">
        <f t="shared" ref="W642:W705" si="50">IF(E642&lt;=30,"22-30",IF(E642&lt;=40,"31-40",IF(E642&lt;=50,"41-50","51-58")))</f>
        <v>51-58</v>
      </c>
      <c r="X642" t="str">
        <f t="shared" ref="X642:X705" si="51">IF(K642&lt;=5,"0-5 yrs",IF(K642&lt;=10,"6-10 yrs",IF(K642&lt;=20,"11-20 yrs","21-30 yrs")))</f>
        <v>6-10 yrs</v>
      </c>
      <c r="Y642" t="str">
        <f t="shared" ref="Y642:Y705" si="52">TEXT(B642,"mmm")</f>
        <v>Dec</v>
      </c>
      <c r="Z642">
        <f t="shared" ref="Z642:Z705" si="53">YEAR(B642)</f>
        <v>2025</v>
      </c>
      <c r="AA642">
        <f t="shared" ref="AA642:AA705" si="54">IF(Q642="Yes",1,0)</f>
        <v>0</v>
      </c>
    </row>
    <row r="643" spans="1:27" ht="15" customHeight="1" x14ac:dyDescent="0.3">
      <c r="A643" t="s">
        <v>1173</v>
      </c>
      <c r="B643" s="20">
        <v>45667</v>
      </c>
      <c r="C643" t="s">
        <v>1174</v>
      </c>
      <c r="D643" t="s">
        <v>48</v>
      </c>
      <c r="E643" s="37">
        <v>22</v>
      </c>
      <c r="F643" t="s">
        <v>72</v>
      </c>
      <c r="G643" t="s">
        <v>73</v>
      </c>
      <c r="H643" t="s">
        <v>74</v>
      </c>
      <c r="I643" t="s">
        <v>82</v>
      </c>
      <c r="J643" t="s">
        <v>83</v>
      </c>
      <c r="K643" s="37">
        <v>13</v>
      </c>
      <c r="L643" t="s">
        <v>52</v>
      </c>
      <c r="M643" s="21">
        <v>52800</v>
      </c>
      <c r="N643" s="21">
        <v>696960</v>
      </c>
      <c r="O643" s="21">
        <v>63360</v>
      </c>
      <c r="P643" s="37">
        <v>3</v>
      </c>
      <c r="Q643" t="s">
        <v>126</v>
      </c>
      <c r="R643" s="37">
        <v>9</v>
      </c>
      <c r="S643" s="37">
        <v>18</v>
      </c>
      <c r="T643" t="s">
        <v>62</v>
      </c>
      <c r="U643" t="s">
        <v>63</v>
      </c>
      <c r="V643" t="s">
        <v>69</v>
      </c>
      <c r="W643" t="str">
        <f t="shared" si="50"/>
        <v>22-30</v>
      </c>
      <c r="X643" t="str">
        <f t="shared" si="51"/>
        <v>11-20 yrs</v>
      </c>
      <c r="Y643" t="str">
        <f t="shared" si="52"/>
        <v>Jan</v>
      </c>
      <c r="Z643">
        <f t="shared" si="53"/>
        <v>2025</v>
      </c>
      <c r="AA643">
        <f t="shared" si="54"/>
        <v>1</v>
      </c>
    </row>
    <row r="644" spans="1:27" ht="15" customHeight="1" x14ac:dyDescent="0.3">
      <c r="A644" t="s">
        <v>1175</v>
      </c>
      <c r="B644" s="20">
        <v>45690</v>
      </c>
      <c r="C644" t="s">
        <v>327</v>
      </c>
      <c r="D644" t="s">
        <v>35</v>
      </c>
      <c r="E644" s="37">
        <v>52</v>
      </c>
      <c r="F644" t="s">
        <v>36</v>
      </c>
      <c r="G644" t="s">
        <v>37</v>
      </c>
      <c r="H644" t="s">
        <v>118</v>
      </c>
      <c r="I644" t="s">
        <v>60</v>
      </c>
      <c r="J644" t="s">
        <v>219</v>
      </c>
      <c r="K644" s="37">
        <v>27</v>
      </c>
      <c r="L644" t="s">
        <v>52</v>
      </c>
      <c r="M644" s="21">
        <v>133300</v>
      </c>
      <c r="N644" s="21">
        <v>1871532</v>
      </c>
      <c r="O644" s="21">
        <v>271932</v>
      </c>
      <c r="P644" s="37">
        <v>4</v>
      </c>
      <c r="Q644" t="s">
        <v>126</v>
      </c>
      <c r="R644" s="37">
        <v>16</v>
      </c>
      <c r="S644" s="37">
        <v>12</v>
      </c>
      <c r="T644" t="s">
        <v>175</v>
      </c>
      <c r="U644" t="s">
        <v>63</v>
      </c>
      <c r="V644" t="s">
        <v>45</v>
      </c>
      <c r="W644" t="str">
        <f t="shared" si="50"/>
        <v>51-58</v>
      </c>
      <c r="X644" t="str">
        <f t="shared" si="51"/>
        <v>21-30 yrs</v>
      </c>
      <c r="Y644" t="str">
        <f t="shared" si="52"/>
        <v>Feb</v>
      </c>
      <c r="Z644">
        <f t="shared" si="53"/>
        <v>2025</v>
      </c>
      <c r="AA644">
        <f t="shared" si="54"/>
        <v>1</v>
      </c>
    </row>
    <row r="645" spans="1:27" ht="15" customHeight="1" x14ac:dyDescent="0.3">
      <c r="A645" t="s">
        <v>1176</v>
      </c>
      <c r="B645" s="20">
        <v>46015</v>
      </c>
      <c r="C645" t="s">
        <v>761</v>
      </c>
      <c r="D645" t="s">
        <v>35</v>
      </c>
      <c r="E645" s="37">
        <v>55</v>
      </c>
      <c r="F645" t="s">
        <v>72</v>
      </c>
      <c r="G645" t="s">
        <v>73</v>
      </c>
      <c r="H645" t="s">
        <v>38</v>
      </c>
      <c r="I645" t="s">
        <v>39</v>
      </c>
      <c r="J645" t="s">
        <v>134</v>
      </c>
      <c r="K645" s="37">
        <v>30</v>
      </c>
      <c r="L645" t="s">
        <v>52</v>
      </c>
      <c r="M645" s="21">
        <v>33500</v>
      </c>
      <c r="N645" s="21">
        <v>478380</v>
      </c>
      <c r="O645" s="21">
        <v>76380</v>
      </c>
      <c r="P645" s="37">
        <v>4</v>
      </c>
      <c r="Q645" t="s">
        <v>126</v>
      </c>
      <c r="R645" s="37">
        <v>8</v>
      </c>
      <c r="S645" s="37">
        <v>38</v>
      </c>
      <c r="T645" t="s">
        <v>129</v>
      </c>
      <c r="U645" t="s">
        <v>44</v>
      </c>
      <c r="V645" t="s">
        <v>45</v>
      </c>
      <c r="W645" t="str">
        <f t="shared" si="50"/>
        <v>51-58</v>
      </c>
      <c r="X645" t="str">
        <f t="shared" si="51"/>
        <v>21-30 yrs</v>
      </c>
      <c r="Y645" t="str">
        <f t="shared" si="52"/>
        <v>Dec</v>
      </c>
      <c r="Z645">
        <f t="shared" si="53"/>
        <v>2025</v>
      </c>
      <c r="AA645">
        <f t="shared" si="54"/>
        <v>1</v>
      </c>
    </row>
    <row r="646" spans="1:27" ht="15" customHeight="1" x14ac:dyDescent="0.3">
      <c r="A646" t="s">
        <v>1177</v>
      </c>
      <c r="B646" s="20">
        <v>45692</v>
      </c>
      <c r="C646" t="s">
        <v>1095</v>
      </c>
      <c r="D646" t="s">
        <v>48</v>
      </c>
      <c r="E646" s="37">
        <v>50</v>
      </c>
      <c r="F646" t="s">
        <v>80</v>
      </c>
      <c r="G646" t="s">
        <v>81</v>
      </c>
      <c r="H646" t="s">
        <v>118</v>
      </c>
      <c r="I646" t="s">
        <v>60</v>
      </c>
      <c r="J646" t="s">
        <v>219</v>
      </c>
      <c r="K646" s="37">
        <v>11</v>
      </c>
      <c r="L646" t="s">
        <v>52</v>
      </c>
      <c r="M646" s="21">
        <v>153600</v>
      </c>
      <c r="N646" s="21">
        <v>2082815</v>
      </c>
      <c r="O646" s="21">
        <v>239616</v>
      </c>
      <c r="P646" s="37">
        <v>4</v>
      </c>
      <c r="Q646" t="s">
        <v>42</v>
      </c>
      <c r="R646" s="37">
        <v>12</v>
      </c>
      <c r="S646" s="37">
        <v>3</v>
      </c>
      <c r="T646" t="s">
        <v>62</v>
      </c>
      <c r="U646" t="s">
        <v>44</v>
      </c>
      <c r="V646" t="s">
        <v>69</v>
      </c>
      <c r="W646" t="str">
        <f t="shared" si="50"/>
        <v>41-50</v>
      </c>
      <c r="X646" t="str">
        <f t="shared" si="51"/>
        <v>11-20 yrs</v>
      </c>
      <c r="Y646" t="str">
        <f t="shared" si="52"/>
        <v>Feb</v>
      </c>
      <c r="Z646">
        <f t="shared" si="53"/>
        <v>2025</v>
      </c>
      <c r="AA646">
        <f t="shared" si="54"/>
        <v>0</v>
      </c>
    </row>
    <row r="647" spans="1:27" ht="15" customHeight="1" x14ac:dyDescent="0.3">
      <c r="A647" t="s">
        <v>1178</v>
      </c>
      <c r="B647" s="20">
        <v>45804</v>
      </c>
      <c r="C647" t="s">
        <v>257</v>
      </c>
      <c r="D647" t="s">
        <v>35</v>
      </c>
      <c r="E647" s="37">
        <v>32</v>
      </c>
      <c r="F647" t="s">
        <v>91</v>
      </c>
      <c r="G647" t="s">
        <v>92</v>
      </c>
      <c r="H647" t="s">
        <v>38</v>
      </c>
      <c r="I647" t="s">
        <v>75</v>
      </c>
      <c r="J647" t="s">
        <v>134</v>
      </c>
      <c r="K647" s="37">
        <v>1</v>
      </c>
      <c r="L647" t="s">
        <v>52</v>
      </c>
      <c r="M647" s="21">
        <v>98300</v>
      </c>
      <c r="N647" s="21">
        <v>1262172</v>
      </c>
      <c r="O647" s="21">
        <v>82572</v>
      </c>
      <c r="P647" s="37">
        <v>4</v>
      </c>
      <c r="Q647" t="s">
        <v>42</v>
      </c>
      <c r="R647" s="37">
        <v>19</v>
      </c>
      <c r="S647" s="37">
        <v>9</v>
      </c>
      <c r="T647" t="s">
        <v>53</v>
      </c>
      <c r="U647" t="s">
        <v>63</v>
      </c>
      <c r="V647" t="s">
        <v>69</v>
      </c>
      <c r="W647" t="str">
        <f t="shared" si="50"/>
        <v>31-40</v>
      </c>
      <c r="X647" t="str">
        <f t="shared" si="51"/>
        <v>0-5 yrs</v>
      </c>
      <c r="Y647" t="str">
        <f t="shared" si="52"/>
        <v>May</v>
      </c>
      <c r="Z647">
        <f t="shared" si="53"/>
        <v>2025</v>
      </c>
      <c r="AA647">
        <f t="shared" si="54"/>
        <v>0</v>
      </c>
    </row>
    <row r="648" spans="1:27" ht="15" customHeight="1" x14ac:dyDescent="0.3">
      <c r="A648" t="s">
        <v>1179</v>
      </c>
      <c r="B648" s="20">
        <v>45748</v>
      </c>
      <c r="C648" t="s">
        <v>1180</v>
      </c>
      <c r="D648" t="s">
        <v>48</v>
      </c>
      <c r="E648" s="37">
        <v>27</v>
      </c>
      <c r="F648" t="s">
        <v>86</v>
      </c>
      <c r="G648" t="s">
        <v>87</v>
      </c>
      <c r="H648" t="s">
        <v>66</v>
      </c>
      <c r="I648" t="s">
        <v>82</v>
      </c>
      <c r="J648" t="s">
        <v>67</v>
      </c>
      <c r="K648" s="37">
        <v>20</v>
      </c>
      <c r="L648" t="s">
        <v>41</v>
      </c>
      <c r="M648" s="21">
        <v>74100</v>
      </c>
      <c r="N648" s="21">
        <v>969228</v>
      </c>
      <c r="O648" s="21">
        <v>80028</v>
      </c>
      <c r="P648" s="37">
        <v>5</v>
      </c>
      <c r="Q648" t="s">
        <v>42</v>
      </c>
      <c r="R648" s="37">
        <v>12</v>
      </c>
      <c r="S648" s="37">
        <v>26</v>
      </c>
      <c r="T648" t="s">
        <v>105</v>
      </c>
      <c r="U648" t="s">
        <v>63</v>
      </c>
      <c r="V648" t="s">
        <v>69</v>
      </c>
      <c r="W648" t="str">
        <f t="shared" si="50"/>
        <v>22-30</v>
      </c>
      <c r="X648" t="str">
        <f t="shared" si="51"/>
        <v>11-20 yrs</v>
      </c>
      <c r="Y648" t="str">
        <f t="shared" si="52"/>
        <v>Apr</v>
      </c>
      <c r="Z648">
        <f t="shared" si="53"/>
        <v>2025</v>
      </c>
      <c r="AA648">
        <f t="shared" si="54"/>
        <v>0</v>
      </c>
    </row>
    <row r="649" spans="1:27" ht="15" customHeight="1" x14ac:dyDescent="0.3">
      <c r="A649" t="s">
        <v>1181</v>
      </c>
      <c r="B649" s="20">
        <v>45974</v>
      </c>
      <c r="C649" t="s">
        <v>766</v>
      </c>
      <c r="D649" t="s">
        <v>35</v>
      </c>
      <c r="E649" s="37">
        <v>53</v>
      </c>
      <c r="F649" t="s">
        <v>108</v>
      </c>
      <c r="G649" t="s">
        <v>109</v>
      </c>
      <c r="H649" t="s">
        <v>66</v>
      </c>
      <c r="I649" t="s">
        <v>60</v>
      </c>
      <c r="J649" t="s">
        <v>149</v>
      </c>
      <c r="K649" s="37">
        <v>20</v>
      </c>
      <c r="L649" t="s">
        <v>52</v>
      </c>
      <c r="M649" s="21">
        <v>150900</v>
      </c>
      <c r="N649" s="21">
        <v>2046203</v>
      </c>
      <c r="O649" s="21">
        <v>235404</v>
      </c>
      <c r="P649" s="37">
        <v>4</v>
      </c>
      <c r="Q649" t="s">
        <v>42</v>
      </c>
      <c r="R649" s="37">
        <v>5</v>
      </c>
      <c r="S649" s="37">
        <v>1</v>
      </c>
      <c r="T649" t="s">
        <v>175</v>
      </c>
      <c r="U649" t="s">
        <v>63</v>
      </c>
      <c r="V649" t="s">
        <v>69</v>
      </c>
      <c r="W649" t="str">
        <f t="shared" si="50"/>
        <v>51-58</v>
      </c>
      <c r="X649" t="str">
        <f t="shared" si="51"/>
        <v>11-20 yrs</v>
      </c>
      <c r="Y649" t="str">
        <f t="shared" si="52"/>
        <v>Nov</v>
      </c>
      <c r="Z649">
        <f t="shared" si="53"/>
        <v>2025</v>
      </c>
      <c r="AA649">
        <f t="shared" si="54"/>
        <v>0</v>
      </c>
    </row>
    <row r="650" spans="1:27" ht="15" customHeight="1" x14ac:dyDescent="0.3">
      <c r="A650" t="s">
        <v>1182</v>
      </c>
      <c r="B650" s="20">
        <v>45820</v>
      </c>
      <c r="C650" t="s">
        <v>516</v>
      </c>
      <c r="D650" t="s">
        <v>48</v>
      </c>
      <c r="E650" s="37">
        <v>46</v>
      </c>
      <c r="F650" t="s">
        <v>80</v>
      </c>
      <c r="G650" t="s">
        <v>81</v>
      </c>
      <c r="H650" t="s">
        <v>38</v>
      </c>
      <c r="I650" t="s">
        <v>39</v>
      </c>
      <c r="J650" t="s">
        <v>110</v>
      </c>
      <c r="K650" s="37">
        <v>16</v>
      </c>
      <c r="L650" t="s">
        <v>52</v>
      </c>
      <c r="M650" s="21">
        <v>40900</v>
      </c>
      <c r="N650" s="21">
        <v>584052</v>
      </c>
      <c r="O650" s="21">
        <v>93252</v>
      </c>
      <c r="P650" s="37">
        <v>3</v>
      </c>
      <c r="Q650" t="s">
        <v>126</v>
      </c>
      <c r="R650" s="37">
        <v>14</v>
      </c>
      <c r="S650" s="37">
        <v>9</v>
      </c>
      <c r="T650" t="s">
        <v>146</v>
      </c>
      <c r="U650" t="s">
        <v>44</v>
      </c>
      <c r="V650" t="s">
        <v>69</v>
      </c>
      <c r="W650" t="str">
        <f t="shared" si="50"/>
        <v>41-50</v>
      </c>
      <c r="X650" t="str">
        <f t="shared" si="51"/>
        <v>11-20 yrs</v>
      </c>
      <c r="Y650" t="str">
        <f t="shared" si="52"/>
        <v>Jun</v>
      </c>
      <c r="Z650">
        <f t="shared" si="53"/>
        <v>2025</v>
      </c>
      <c r="AA650">
        <f t="shared" si="54"/>
        <v>1</v>
      </c>
    </row>
    <row r="651" spans="1:27" ht="15" customHeight="1" x14ac:dyDescent="0.3">
      <c r="A651" t="s">
        <v>1183</v>
      </c>
      <c r="B651" s="20">
        <v>45971</v>
      </c>
      <c r="C651" t="s">
        <v>1184</v>
      </c>
      <c r="D651" t="s">
        <v>35</v>
      </c>
      <c r="E651" s="37">
        <v>41</v>
      </c>
      <c r="F651" t="s">
        <v>91</v>
      </c>
      <c r="G651" t="s">
        <v>92</v>
      </c>
      <c r="H651" t="s">
        <v>38</v>
      </c>
      <c r="I651" t="s">
        <v>75</v>
      </c>
      <c r="J651" t="s">
        <v>110</v>
      </c>
      <c r="K651" s="37">
        <v>27</v>
      </c>
      <c r="L651" t="s">
        <v>52</v>
      </c>
      <c r="M651" s="21">
        <v>80000</v>
      </c>
      <c r="N651" s="21">
        <v>1065600</v>
      </c>
      <c r="O651" s="21">
        <v>105600</v>
      </c>
      <c r="P651" s="37">
        <v>5</v>
      </c>
      <c r="Q651" t="s">
        <v>42</v>
      </c>
      <c r="R651" s="37">
        <v>18</v>
      </c>
      <c r="S651" s="37">
        <v>6</v>
      </c>
      <c r="T651" t="s">
        <v>105</v>
      </c>
      <c r="U651" t="s">
        <v>44</v>
      </c>
      <c r="V651" t="s">
        <v>45</v>
      </c>
      <c r="W651" t="str">
        <f t="shared" si="50"/>
        <v>41-50</v>
      </c>
      <c r="X651" t="str">
        <f t="shared" si="51"/>
        <v>21-30 yrs</v>
      </c>
      <c r="Y651" t="str">
        <f t="shared" si="52"/>
        <v>Nov</v>
      </c>
      <c r="Z651">
        <f t="shared" si="53"/>
        <v>2025</v>
      </c>
      <c r="AA651">
        <f t="shared" si="54"/>
        <v>0</v>
      </c>
    </row>
    <row r="652" spans="1:27" ht="15" customHeight="1" x14ac:dyDescent="0.3">
      <c r="A652" t="s">
        <v>1185</v>
      </c>
      <c r="B652" s="20">
        <v>45797</v>
      </c>
      <c r="C652" t="s">
        <v>1186</v>
      </c>
      <c r="D652" t="s">
        <v>48</v>
      </c>
      <c r="E652" s="37">
        <v>38</v>
      </c>
      <c r="F652" t="s">
        <v>72</v>
      </c>
      <c r="G652" t="s">
        <v>73</v>
      </c>
      <c r="H652" t="s">
        <v>66</v>
      </c>
      <c r="I652" t="s">
        <v>51</v>
      </c>
      <c r="J652" t="s">
        <v>149</v>
      </c>
      <c r="K652" s="37">
        <v>5</v>
      </c>
      <c r="L652" t="s">
        <v>52</v>
      </c>
      <c r="M652" s="21">
        <v>275400</v>
      </c>
      <c r="N652" s="21">
        <v>3503088</v>
      </c>
      <c r="O652" s="21">
        <v>198288</v>
      </c>
      <c r="P652" s="37">
        <v>2</v>
      </c>
      <c r="Q652" t="s">
        <v>126</v>
      </c>
      <c r="R652" s="37">
        <v>6</v>
      </c>
      <c r="S652" s="37">
        <v>7</v>
      </c>
      <c r="T652" t="s">
        <v>94</v>
      </c>
      <c r="U652" t="s">
        <v>63</v>
      </c>
      <c r="V652" t="s">
        <v>45</v>
      </c>
      <c r="W652" t="str">
        <f t="shared" si="50"/>
        <v>31-40</v>
      </c>
      <c r="X652" t="str">
        <f t="shared" si="51"/>
        <v>0-5 yrs</v>
      </c>
      <c r="Y652" t="str">
        <f t="shared" si="52"/>
        <v>May</v>
      </c>
      <c r="Z652">
        <f t="shared" si="53"/>
        <v>2025</v>
      </c>
      <c r="AA652">
        <f t="shared" si="54"/>
        <v>1</v>
      </c>
    </row>
    <row r="653" spans="1:27" ht="15" customHeight="1" x14ac:dyDescent="0.3">
      <c r="A653" t="s">
        <v>1187</v>
      </c>
      <c r="B653" s="20">
        <v>45843</v>
      </c>
      <c r="C653" t="s">
        <v>759</v>
      </c>
      <c r="D653" t="s">
        <v>48</v>
      </c>
      <c r="E653" s="37">
        <v>48</v>
      </c>
      <c r="F653" t="s">
        <v>123</v>
      </c>
      <c r="G653" t="s">
        <v>124</v>
      </c>
      <c r="H653" t="s">
        <v>118</v>
      </c>
      <c r="I653" t="s">
        <v>39</v>
      </c>
      <c r="J653" t="s">
        <v>219</v>
      </c>
      <c r="K653" s="37">
        <v>4</v>
      </c>
      <c r="L653" t="s">
        <v>52</v>
      </c>
      <c r="M653" s="21">
        <v>31400</v>
      </c>
      <c r="N653" s="21">
        <v>410712</v>
      </c>
      <c r="O653" s="21">
        <v>33912</v>
      </c>
      <c r="P653" s="37">
        <v>5</v>
      </c>
      <c r="Q653" t="s">
        <v>42</v>
      </c>
      <c r="R653" s="37">
        <v>17</v>
      </c>
      <c r="S653" s="37">
        <v>17</v>
      </c>
      <c r="T653" t="s">
        <v>129</v>
      </c>
      <c r="U653" t="s">
        <v>63</v>
      </c>
      <c r="V653" t="s">
        <v>69</v>
      </c>
      <c r="W653" t="str">
        <f t="shared" si="50"/>
        <v>41-50</v>
      </c>
      <c r="X653" t="str">
        <f t="shared" si="51"/>
        <v>0-5 yrs</v>
      </c>
      <c r="Y653" t="str">
        <f t="shared" si="52"/>
        <v>Jul</v>
      </c>
      <c r="Z653">
        <f t="shared" si="53"/>
        <v>2025</v>
      </c>
      <c r="AA653">
        <f t="shared" si="54"/>
        <v>0</v>
      </c>
    </row>
    <row r="654" spans="1:27" ht="15" customHeight="1" x14ac:dyDescent="0.3">
      <c r="A654" t="s">
        <v>1188</v>
      </c>
      <c r="B654" s="20">
        <v>45877</v>
      </c>
      <c r="C654" t="s">
        <v>895</v>
      </c>
      <c r="D654" t="s">
        <v>48</v>
      </c>
      <c r="E654" s="37">
        <v>46</v>
      </c>
      <c r="F654" t="s">
        <v>72</v>
      </c>
      <c r="G654" t="s">
        <v>73</v>
      </c>
      <c r="H654" t="s">
        <v>38</v>
      </c>
      <c r="I654" t="s">
        <v>82</v>
      </c>
      <c r="J654" t="s">
        <v>99</v>
      </c>
      <c r="K654" s="37">
        <v>15</v>
      </c>
      <c r="L654" t="s">
        <v>52</v>
      </c>
      <c r="M654" s="21">
        <v>60500</v>
      </c>
      <c r="N654" s="21">
        <v>762300</v>
      </c>
      <c r="O654" s="21">
        <v>36300</v>
      </c>
      <c r="P654" s="37">
        <v>5</v>
      </c>
      <c r="Q654" t="s">
        <v>42</v>
      </c>
      <c r="R654" s="37">
        <v>7</v>
      </c>
      <c r="S654" s="37">
        <v>30</v>
      </c>
      <c r="T654" t="s">
        <v>129</v>
      </c>
      <c r="U654" t="s">
        <v>54</v>
      </c>
      <c r="V654" t="s">
        <v>45</v>
      </c>
      <c r="W654" t="str">
        <f t="shared" si="50"/>
        <v>41-50</v>
      </c>
      <c r="X654" t="str">
        <f t="shared" si="51"/>
        <v>11-20 yrs</v>
      </c>
      <c r="Y654" t="str">
        <f t="shared" si="52"/>
        <v>Aug</v>
      </c>
      <c r="Z654">
        <f t="shared" si="53"/>
        <v>2025</v>
      </c>
      <c r="AA654">
        <f t="shared" si="54"/>
        <v>0</v>
      </c>
    </row>
    <row r="655" spans="1:27" ht="15" customHeight="1" x14ac:dyDescent="0.3">
      <c r="A655" t="s">
        <v>1189</v>
      </c>
      <c r="B655" s="20">
        <v>46016</v>
      </c>
      <c r="C655" t="s">
        <v>1190</v>
      </c>
      <c r="D655" t="s">
        <v>48</v>
      </c>
      <c r="E655" s="37">
        <v>46</v>
      </c>
      <c r="F655" t="s">
        <v>108</v>
      </c>
      <c r="G655" t="s">
        <v>109</v>
      </c>
      <c r="H655" t="s">
        <v>38</v>
      </c>
      <c r="I655" t="s">
        <v>75</v>
      </c>
      <c r="J655" t="s">
        <v>190</v>
      </c>
      <c r="K655" s="37">
        <v>0</v>
      </c>
      <c r="L655" t="s">
        <v>52</v>
      </c>
      <c r="M655" s="21">
        <v>76600</v>
      </c>
      <c r="N655" s="21">
        <v>974352</v>
      </c>
      <c r="O655" s="21">
        <v>55152</v>
      </c>
      <c r="P655" s="37">
        <v>1</v>
      </c>
      <c r="Q655" t="s">
        <v>42</v>
      </c>
      <c r="R655" s="37">
        <v>19</v>
      </c>
      <c r="S655" s="37">
        <v>15</v>
      </c>
      <c r="T655" t="s">
        <v>105</v>
      </c>
      <c r="U655" t="s">
        <v>63</v>
      </c>
      <c r="V655" t="s">
        <v>69</v>
      </c>
      <c r="W655" t="str">
        <f t="shared" si="50"/>
        <v>41-50</v>
      </c>
      <c r="X655" t="str">
        <f t="shared" si="51"/>
        <v>0-5 yrs</v>
      </c>
      <c r="Y655" t="str">
        <f t="shared" si="52"/>
        <v>Dec</v>
      </c>
      <c r="Z655">
        <f t="shared" si="53"/>
        <v>2025</v>
      </c>
      <c r="AA655">
        <f t="shared" si="54"/>
        <v>0</v>
      </c>
    </row>
    <row r="656" spans="1:27" ht="15" customHeight="1" x14ac:dyDescent="0.3">
      <c r="A656" t="s">
        <v>1191</v>
      </c>
      <c r="B656" s="20">
        <v>45801</v>
      </c>
      <c r="C656" t="s">
        <v>1192</v>
      </c>
      <c r="D656" t="s">
        <v>35</v>
      </c>
      <c r="E656" s="37">
        <v>36</v>
      </c>
      <c r="F656" t="s">
        <v>108</v>
      </c>
      <c r="G656" t="s">
        <v>109</v>
      </c>
      <c r="H656" t="s">
        <v>38</v>
      </c>
      <c r="I656" t="s">
        <v>39</v>
      </c>
      <c r="J656" t="s">
        <v>99</v>
      </c>
      <c r="K656" s="37">
        <v>11</v>
      </c>
      <c r="L656" t="s">
        <v>52</v>
      </c>
      <c r="M656" s="21">
        <v>36300</v>
      </c>
      <c r="N656" s="21">
        <v>466092</v>
      </c>
      <c r="O656" s="21">
        <v>30492</v>
      </c>
      <c r="P656" s="37">
        <v>5</v>
      </c>
      <c r="Q656" t="s">
        <v>42</v>
      </c>
      <c r="R656" s="37">
        <v>19</v>
      </c>
      <c r="S656" s="37">
        <v>3</v>
      </c>
      <c r="T656" t="s">
        <v>68</v>
      </c>
      <c r="U656" t="s">
        <v>63</v>
      </c>
      <c r="V656" t="s">
        <v>69</v>
      </c>
      <c r="W656" t="str">
        <f t="shared" si="50"/>
        <v>31-40</v>
      </c>
      <c r="X656" t="str">
        <f t="shared" si="51"/>
        <v>11-20 yrs</v>
      </c>
      <c r="Y656" t="str">
        <f t="shared" si="52"/>
        <v>May</v>
      </c>
      <c r="Z656">
        <f t="shared" si="53"/>
        <v>2025</v>
      </c>
      <c r="AA656">
        <f t="shared" si="54"/>
        <v>0</v>
      </c>
    </row>
    <row r="657" spans="1:27" ht="15" customHeight="1" x14ac:dyDescent="0.3">
      <c r="A657" t="s">
        <v>1193</v>
      </c>
      <c r="B657" s="20">
        <v>46012</v>
      </c>
      <c r="C657" t="s">
        <v>1194</v>
      </c>
      <c r="D657" t="s">
        <v>35</v>
      </c>
      <c r="E657" s="37">
        <v>42</v>
      </c>
      <c r="F657" t="s">
        <v>80</v>
      </c>
      <c r="G657" t="s">
        <v>81</v>
      </c>
      <c r="H657" t="s">
        <v>66</v>
      </c>
      <c r="I657" t="s">
        <v>82</v>
      </c>
      <c r="J657" t="s">
        <v>93</v>
      </c>
      <c r="K657" s="37">
        <v>10</v>
      </c>
      <c r="L657" t="s">
        <v>52</v>
      </c>
      <c r="M657" s="21">
        <v>78400</v>
      </c>
      <c r="N657" s="21">
        <v>1081920</v>
      </c>
      <c r="O657" s="21">
        <v>141120</v>
      </c>
      <c r="P657" s="37">
        <v>3</v>
      </c>
      <c r="Q657" t="s">
        <v>42</v>
      </c>
      <c r="R657" s="37">
        <v>18</v>
      </c>
      <c r="S657" s="37">
        <v>18</v>
      </c>
      <c r="T657" t="s">
        <v>53</v>
      </c>
      <c r="U657" t="s">
        <v>63</v>
      </c>
      <c r="V657" t="s">
        <v>69</v>
      </c>
      <c r="W657" t="str">
        <f t="shared" si="50"/>
        <v>41-50</v>
      </c>
      <c r="X657" t="str">
        <f t="shared" si="51"/>
        <v>6-10 yrs</v>
      </c>
      <c r="Y657" t="str">
        <f t="shared" si="52"/>
        <v>Dec</v>
      </c>
      <c r="Z657">
        <f t="shared" si="53"/>
        <v>2025</v>
      </c>
      <c r="AA657">
        <f t="shared" si="54"/>
        <v>0</v>
      </c>
    </row>
    <row r="658" spans="1:27" ht="15" customHeight="1" x14ac:dyDescent="0.3">
      <c r="A658" t="s">
        <v>1195</v>
      </c>
      <c r="B658" s="20">
        <v>45691</v>
      </c>
      <c r="C658" t="s">
        <v>342</v>
      </c>
      <c r="D658" t="s">
        <v>48</v>
      </c>
      <c r="E658" s="37">
        <v>39</v>
      </c>
      <c r="F658" t="s">
        <v>36</v>
      </c>
      <c r="G658" t="s">
        <v>37</v>
      </c>
      <c r="H658" t="s">
        <v>118</v>
      </c>
      <c r="I658" t="s">
        <v>39</v>
      </c>
      <c r="J658" t="s">
        <v>119</v>
      </c>
      <c r="K658" s="37">
        <v>29</v>
      </c>
      <c r="L658" t="s">
        <v>41</v>
      </c>
      <c r="M658" s="21">
        <v>31300</v>
      </c>
      <c r="N658" s="21">
        <v>398136</v>
      </c>
      <c r="O658" s="21">
        <v>22536</v>
      </c>
      <c r="P658" s="37">
        <v>5</v>
      </c>
      <c r="Q658" t="s">
        <v>42</v>
      </c>
      <c r="R658" s="37">
        <v>9</v>
      </c>
      <c r="S658" s="37">
        <v>13</v>
      </c>
      <c r="T658" t="s">
        <v>77</v>
      </c>
      <c r="U658" t="s">
        <v>54</v>
      </c>
      <c r="V658" t="s">
        <v>45</v>
      </c>
      <c r="W658" t="str">
        <f t="shared" si="50"/>
        <v>31-40</v>
      </c>
      <c r="X658" t="str">
        <f t="shared" si="51"/>
        <v>21-30 yrs</v>
      </c>
      <c r="Y658" t="str">
        <f t="shared" si="52"/>
        <v>Feb</v>
      </c>
      <c r="Z658">
        <f t="shared" si="53"/>
        <v>2025</v>
      </c>
      <c r="AA658">
        <f t="shared" si="54"/>
        <v>0</v>
      </c>
    </row>
    <row r="659" spans="1:27" ht="15" customHeight="1" x14ac:dyDescent="0.3">
      <c r="A659" t="s">
        <v>1196</v>
      </c>
      <c r="B659" s="20">
        <v>45999</v>
      </c>
      <c r="C659" t="s">
        <v>1141</v>
      </c>
      <c r="D659" t="s">
        <v>48</v>
      </c>
      <c r="E659" s="37">
        <v>48</v>
      </c>
      <c r="F659" t="s">
        <v>36</v>
      </c>
      <c r="G659" t="s">
        <v>37</v>
      </c>
      <c r="H659" t="s">
        <v>74</v>
      </c>
      <c r="I659" t="s">
        <v>82</v>
      </c>
      <c r="J659" t="s">
        <v>367</v>
      </c>
      <c r="K659" s="37">
        <v>13</v>
      </c>
      <c r="L659" t="s">
        <v>41</v>
      </c>
      <c r="M659" s="21">
        <v>57000</v>
      </c>
      <c r="N659" s="21">
        <v>738720</v>
      </c>
      <c r="O659" s="21">
        <v>54720</v>
      </c>
      <c r="P659" s="37">
        <v>3</v>
      </c>
      <c r="Q659" t="s">
        <v>42</v>
      </c>
      <c r="R659" s="37">
        <v>19</v>
      </c>
      <c r="S659" s="37">
        <v>38</v>
      </c>
      <c r="T659" t="s">
        <v>175</v>
      </c>
      <c r="U659" t="s">
        <v>44</v>
      </c>
      <c r="V659" t="s">
        <v>69</v>
      </c>
      <c r="W659" t="str">
        <f t="shared" si="50"/>
        <v>41-50</v>
      </c>
      <c r="X659" t="str">
        <f t="shared" si="51"/>
        <v>11-20 yrs</v>
      </c>
      <c r="Y659" t="str">
        <f t="shared" si="52"/>
        <v>Dec</v>
      </c>
      <c r="Z659">
        <f t="shared" si="53"/>
        <v>2025</v>
      </c>
      <c r="AA659">
        <f t="shared" si="54"/>
        <v>0</v>
      </c>
    </row>
    <row r="660" spans="1:27" ht="15" customHeight="1" x14ac:dyDescent="0.3">
      <c r="A660" t="s">
        <v>1197</v>
      </c>
      <c r="B660" s="20">
        <v>45886</v>
      </c>
      <c r="C660" t="s">
        <v>579</v>
      </c>
      <c r="D660" t="s">
        <v>48</v>
      </c>
      <c r="E660" s="37">
        <v>50</v>
      </c>
      <c r="F660" t="s">
        <v>80</v>
      </c>
      <c r="G660" t="s">
        <v>81</v>
      </c>
      <c r="H660" t="s">
        <v>74</v>
      </c>
      <c r="I660" t="s">
        <v>60</v>
      </c>
      <c r="J660" t="s">
        <v>76</v>
      </c>
      <c r="K660" s="37">
        <v>9</v>
      </c>
      <c r="L660" t="s">
        <v>120</v>
      </c>
      <c r="M660" s="21">
        <v>148000</v>
      </c>
      <c r="N660" s="21">
        <v>2113440</v>
      </c>
      <c r="O660" s="21">
        <v>337440</v>
      </c>
      <c r="P660" s="37">
        <v>5</v>
      </c>
      <c r="Q660" t="s">
        <v>42</v>
      </c>
      <c r="R660" s="37">
        <v>0</v>
      </c>
      <c r="S660" s="37">
        <v>3</v>
      </c>
      <c r="T660" t="s">
        <v>146</v>
      </c>
      <c r="U660" t="s">
        <v>63</v>
      </c>
      <c r="V660" t="s">
        <v>45</v>
      </c>
      <c r="W660" t="str">
        <f t="shared" si="50"/>
        <v>41-50</v>
      </c>
      <c r="X660" t="str">
        <f t="shared" si="51"/>
        <v>6-10 yrs</v>
      </c>
      <c r="Y660" t="str">
        <f t="shared" si="52"/>
        <v>Aug</v>
      </c>
      <c r="Z660">
        <f t="shared" si="53"/>
        <v>2025</v>
      </c>
      <c r="AA660">
        <f t="shared" si="54"/>
        <v>0</v>
      </c>
    </row>
    <row r="661" spans="1:27" ht="15" customHeight="1" x14ac:dyDescent="0.3">
      <c r="A661" t="s">
        <v>1198</v>
      </c>
      <c r="B661" s="20">
        <v>46014</v>
      </c>
      <c r="C661" t="s">
        <v>1097</v>
      </c>
      <c r="D661" t="s">
        <v>35</v>
      </c>
      <c r="E661" s="37">
        <v>23</v>
      </c>
      <c r="F661" t="s">
        <v>91</v>
      </c>
      <c r="G661" t="s">
        <v>92</v>
      </c>
      <c r="H661" t="s">
        <v>59</v>
      </c>
      <c r="I661" t="s">
        <v>39</v>
      </c>
      <c r="J661" t="s">
        <v>125</v>
      </c>
      <c r="K661" s="37">
        <v>1</v>
      </c>
      <c r="L661" t="s">
        <v>52</v>
      </c>
      <c r="M661" s="21">
        <v>39100</v>
      </c>
      <c r="N661" s="21">
        <v>525504</v>
      </c>
      <c r="O661" s="21">
        <v>56304</v>
      </c>
      <c r="P661" s="37">
        <v>3</v>
      </c>
      <c r="Q661" t="s">
        <v>126</v>
      </c>
      <c r="R661" s="37">
        <v>7</v>
      </c>
      <c r="S661" s="37">
        <v>30</v>
      </c>
      <c r="T661" t="s">
        <v>53</v>
      </c>
      <c r="U661" t="s">
        <v>63</v>
      </c>
      <c r="V661" t="s">
        <v>69</v>
      </c>
      <c r="W661" t="str">
        <f t="shared" si="50"/>
        <v>22-30</v>
      </c>
      <c r="X661" t="str">
        <f t="shared" si="51"/>
        <v>0-5 yrs</v>
      </c>
      <c r="Y661" t="str">
        <f t="shared" si="52"/>
        <v>Dec</v>
      </c>
      <c r="Z661">
        <f t="shared" si="53"/>
        <v>2025</v>
      </c>
      <c r="AA661">
        <f t="shared" si="54"/>
        <v>1</v>
      </c>
    </row>
    <row r="662" spans="1:27" ht="15" customHeight="1" x14ac:dyDescent="0.3">
      <c r="A662" t="s">
        <v>1199</v>
      </c>
      <c r="B662" s="20">
        <v>45724</v>
      </c>
      <c r="C662" t="s">
        <v>1200</v>
      </c>
      <c r="D662" t="s">
        <v>35</v>
      </c>
      <c r="E662" s="37">
        <v>28</v>
      </c>
      <c r="F662" t="s">
        <v>123</v>
      </c>
      <c r="G662" t="s">
        <v>124</v>
      </c>
      <c r="H662" t="s">
        <v>38</v>
      </c>
      <c r="I662" t="s">
        <v>75</v>
      </c>
      <c r="J662" t="s">
        <v>134</v>
      </c>
      <c r="K662" s="37">
        <v>12</v>
      </c>
      <c r="L662" t="s">
        <v>52</v>
      </c>
      <c r="M662" s="21">
        <v>73300</v>
      </c>
      <c r="N662" s="21">
        <v>1055520</v>
      </c>
      <c r="O662" s="21">
        <v>175920</v>
      </c>
      <c r="P662" s="37">
        <v>5</v>
      </c>
      <c r="Q662" t="s">
        <v>42</v>
      </c>
      <c r="R662" s="37">
        <v>19</v>
      </c>
      <c r="S662" s="37">
        <v>38</v>
      </c>
      <c r="T662" t="s">
        <v>105</v>
      </c>
      <c r="U662" t="s">
        <v>44</v>
      </c>
      <c r="V662" t="s">
        <v>45</v>
      </c>
      <c r="W662" t="str">
        <f t="shared" si="50"/>
        <v>22-30</v>
      </c>
      <c r="X662" t="str">
        <f t="shared" si="51"/>
        <v>11-20 yrs</v>
      </c>
      <c r="Y662" t="str">
        <f t="shared" si="52"/>
        <v>Mar</v>
      </c>
      <c r="Z662">
        <f t="shared" si="53"/>
        <v>2025</v>
      </c>
      <c r="AA662">
        <f t="shared" si="54"/>
        <v>0</v>
      </c>
    </row>
    <row r="663" spans="1:27" ht="15" customHeight="1" x14ac:dyDescent="0.3">
      <c r="A663" t="s">
        <v>1201</v>
      </c>
      <c r="B663" s="20">
        <v>45789</v>
      </c>
      <c r="C663" t="s">
        <v>274</v>
      </c>
      <c r="D663" t="s">
        <v>48</v>
      </c>
      <c r="E663" s="37">
        <v>55</v>
      </c>
      <c r="F663" t="s">
        <v>123</v>
      </c>
      <c r="G663" t="s">
        <v>124</v>
      </c>
      <c r="H663" t="s">
        <v>66</v>
      </c>
      <c r="I663" t="s">
        <v>51</v>
      </c>
      <c r="J663" t="s">
        <v>170</v>
      </c>
      <c r="K663" s="37">
        <v>0</v>
      </c>
      <c r="L663" t="s">
        <v>52</v>
      </c>
      <c r="M663" s="21">
        <v>290800</v>
      </c>
      <c r="N663" s="21">
        <v>4117728</v>
      </c>
      <c r="O663" s="21">
        <v>628128</v>
      </c>
      <c r="P663" s="37">
        <v>3</v>
      </c>
      <c r="Q663" t="s">
        <v>42</v>
      </c>
      <c r="R663" s="37">
        <v>10</v>
      </c>
      <c r="S663" s="37">
        <v>1</v>
      </c>
      <c r="T663" t="s">
        <v>43</v>
      </c>
      <c r="U663" t="s">
        <v>44</v>
      </c>
      <c r="V663" t="s">
        <v>45</v>
      </c>
      <c r="W663" t="str">
        <f t="shared" si="50"/>
        <v>51-58</v>
      </c>
      <c r="X663" t="str">
        <f t="shared" si="51"/>
        <v>0-5 yrs</v>
      </c>
      <c r="Y663" t="str">
        <f t="shared" si="52"/>
        <v>May</v>
      </c>
      <c r="Z663">
        <f t="shared" si="53"/>
        <v>2025</v>
      </c>
      <c r="AA663">
        <f t="shared" si="54"/>
        <v>0</v>
      </c>
    </row>
    <row r="664" spans="1:27" ht="15" customHeight="1" x14ac:dyDescent="0.3">
      <c r="A664" t="s">
        <v>1202</v>
      </c>
      <c r="B664" s="20">
        <v>45972</v>
      </c>
      <c r="C664" t="s">
        <v>690</v>
      </c>
      <c r="D664" t="s">
        <v>35</v>
      </c>
      <c r="E664" s="37">
        <v>23</v>
      </c>
      <c r="F664" t="s">
        <v>97</v>
      </c>
      <c r="G664" t="s">
        <v>98</v>
      </c>
      <c r="H664" t="s">
        <v>66</v>
      </c>
      <c r="I664" t="s">
        <v>82</v>
      </c>
      <c r="J664" t="s">
        <v>161</v>
      </c>
      <c r="K664" s="37">
        <v>11</v>
      </c>
      <c r="L664" t="s">
        <v>52</v>
      </c>
      <c r="M664" s="21">
        <v>75900</v>
      </c>
      <c r="N664" s="21">
        <v>1029203</v>
      </c>
      <c r="O664" s="21">
        <v>118404</v>
      </c>
      <c r="P664" s="37">
        <v>3</v>
      </c>
      <c r="Q664" t="s">
        <v>42</v>
      </c>
      <c r="R664" s="37">
        <v>1</v>
      </c>
      <c r="S664" s="37">
        <v>6</v>
      </c>
      <c r="T664" t="s">
        <v>62</v>
      </c>
      <c r="U664" t="s">
        <v>63</v>
      </c>
      <c r="V664" t="s">
        <v>69</v>
      </c>
      <c r="W664" t="str">
        <f t="shared" si="50"/>
        <v>22-30</v>
      </c>
      <c r="X664" t="str">
        <f t="shared" si="51"/>
        <v>11-20 yrs</v>
      </c>
      <c r="Y664" t="str">
        <f t="shared" si="52"/>
        <v>Nov</v>
      </c>
      <c r="Z664">
        <f t="shared" si="53"/>
        <v>2025</v>
      </c>
      <c r="AA664">
        <f t="shared" si="54"/>
        <v>0</v>
      </c>
    </row>
    <row r="665" spans="1:27" ht="15" customHeight="1" x14ac:dyDescent="0.3">
      <c r="A665" t="s">
        <v>1203</v>
      </c>
      <c r="B665" s="20">
        <v>45834</v>
      </c>
      <c r="C665" t="s">
        <v>340</v>
      </c>
      <c r="D665" t="s">
        <v>35</v>
      </c>
      <c r="E665" s="37">
        <v>57</v>
      </c>
      <c r="F665" t="s">
        <v>108</v>
      </c>
      <c r="G665" t="s">
        <v>109</v>
      </c>
      <c r="H665" t="s">
        <v>118</v>
      </c>
      <c r="I665" t="s">
        <v>75</v>
      </c>
      <c r="J665" t="s">
        <v>219</v>
      </c>
      <c r="K665" s="37">
        <v>30</v>
      </c>
      <c r="L665" t="s">
        <v>52</v>
      </c>
      <c r="M665" s="21">
        <v>79200</v>
      </c>
      <c r="N665" s="21">
        <v>1092960</v>
      </c>
      <c r="O665" s="21">
        <v>142560</v>
      </c>
      <c r="P665" s="37">
        <v>4</v>
      </c>
      <c r="Q665" t="s">
        <v>42</v>
      </c>
      <c r="R665" s="37">
        <v>13</v>
      </c>
      <c r="S665" s="37">
        <v>10</v>
      </c>
      <c r="T665" t="s">
        <v>68</v>
      </c>
      <c r="U665" t="s">
        <v>44</v>
      </c>
      <c r="V665" t="s">
        <v>69</v>
      </c>
      <c r="W665" t="str">
        <f t="shared" si="50"/>
        <v>51-58</v>
      </c>
      <c r="X665" t="str">
        <f t="shared" si="51"/>
        <v>21-30 yrs</v>
      </c>
      <c r="Y665" t="str">
        <f t="shared" si="52"/>
        <v>Jun</v>
      </c>
      <c r="Z665">
        <f t="shared" si="53"/>
        <v>2025</v>
      </c>
      <c r="AA665">
        <f t="shared" si="54"/>
        <v>0</v>
      </c>
    </row>
    <row r="666" spans="1:27" ht="15" customHeight="1" x14ac:dyDescent="0.3">
      <c r="A666" t="s">
        <v>1204</v>
      </c>
      <c r="B666" s="20">
        <v>45771</v>
      </c>
      <c r="C666" t="s">
        <v>1010</v>
      </c>
      <c r="D666" t="s">
        <v>35</v>
      </c>
      <c r="E666" s="37">
        <v>56</v>
      </c>
      <c r="F666" t="s">
        <v>91</v>
      </c>
      <c r="G666" t="s">
        <v>92</v>
      </c>
      <c r="H666" t="s">
        <v>38</v>
      </c>
      <c r="I666" t="s">
        <v>39</v>
      </c>
      <c r="J666" t="s">
        <v>40</v>
      </c>
      <c r="K666" s="37">
        <v>11</v>
      </c>
      <c r="L666" t="s">
        <v>52</v>
      </c>
      <c r="M666" s="21">
        <v>37600</v>
      </c>
      <c r="N666" s="21">
        <v>518879</v>
      </c>
      <c r="O666" s="21">
        <v>67680</v>
      </c>
      <c r="P666" s="37">
        <v>5</v>
      </c>
      <c r="Q666" t="s">
        <v>126</v>
      </c>
      <c r="R666" s="37">
        <v>18</v>
      </c>
      <c r="S666" s="37">
        <v>38</v>
      </c>
      <c r="T666" t="s">
        <v>105</v>
      </c>
      <c r="U666" t="s">
        <v>63</v>
      </c>
      <c r="V666" t="s">
        <v>45</v>
      </c>
      <c r="W666" t="str">
        <f t="shared" si="50"/>
        <v>51-58</v>
      </c>
      <c r="X666" t="str">
        <f t="shared" si="51"/>
        <v>11-20 yrs</v>
      </c>
      <c r="Y666" t="str">
        <f t="shared" si="52"/>
        <v>Apr</v>
      </c>
      <c r="Z666">
        <f t="shared" si="53"/>
        <v>2025</v>
      </c>
      <c r="AA666">
        <f t="shared" si="54"/>
        <v>1</v>
      </c>
    </row>
    <row r="667" spans="1:27" ht="15" customHeight="1" x14ac:dyDescent="0.3">
      <c r="A667" t="s">
        <v>1205</v>
      </c>
      <c r="B667" s="20">
        <v>45827</v>
      </c>
      <c r="C667" t="s">
        <v>154</v>
      </c>
      <c r="D667" t="s">
        <v>48</v>
      </c>
      <c r="E667" s="37">
        <v>34</v>
      </c>
      <c r="F667" t="s">
        <v>72</v>
      </c>
      <c r="G667" t="s">
        <v>73</v>
      </c>
      <c r="H667" t="s">
        <v>38</v>
      </c>
      <c r="I667" t="s">
        <v>82</v>
      </c>
      <c r="J667" t="s">
        <v>99</v>
      </c>
      <c r="K667" s="37">
        <v>22</v>
      </c>
      <c r="L667" t="s">
        <v>52</v>
      </c>
      <c r="M667" s="21">
        <v>51100</v>
      </c>
      <c r="N667" s="21">
        <v>717444</v>
      </c>
      <c r="O667" s="21">
        <v>104244</v>
      </c>
      <c r="P667" s="37">
        <v>2</v>
      </c>
      <c r="Q667" t="s">
        <v>126</v>
      </c>
      <c r="R667" s="37">
        <v>20</v>
      </c>
      <c r="S667" s="37">
        <v>9</v>
      </c>
      <c r="T667" t="s">
        <v>146</v>
      </c>
      <c r="U667" t="s">
        <v>63</v>
      </c>
      <c r="V667" t="s">
        <v>69</v>
      </c>
      <c r="W667" t="str">
        <f t="shared" si="50"/>
        <v>31-40</v>
      </c>
      <c r="X667" t="str">
        <f t="shared" si="51"/>
        <v>21-30 yrs</v>
      </c>
      <c r="Y667" t="str">
        <f t="shared" si="52"/>
        <v>Jun</v>
      </c>
      <c r="Z667">
        <f t="shared" si="53"/>
        <v>2025</v>
      </c>
      <c r="AA667">
        <f t="shared" si="54"/>
        <v>1</v>
      </c>
    </row>
    <row r="668" spans="1:27" ht="15" customHeight="1" x14ac:dyDescent="0.3">
      <c r="A668" t="s">
        <v>1206</v>
      </c>
      <c r="B668" s="20">
        <v>45787</v>
      </c>
      <c r="C668" t="s">
        <v>117</v>
      </c>
      <c r="D668" t="s">
        <v>35</v>
      </c>
      <c r="E668" s="37">
        <v>40</v>
      </c>
      <c r="F668" t="s">
        <v>36</v>
      </c>
      <c r="G668" t="s">
        <v>37</v>
      </c>
      <c r="H668" t="s">
        <v>38</v>
      </c>
      <c r="I668" t="s">
        <v>60</v>
      </c>
      <c r="J668" t="s">
        <v>110</v>
      </c>
      <c r="K668" s="37">
        <v>25</v>
      </c>
      <c r="L668" t="s">
        <v>52</v>
      </c>
      <c r="M668" s="21">
        <v>131600</v>
      </c>
      <c r="N668" s="21">
        <v>1721328</v>
      </c>
      <c r="O668" s="21">
        <v>142128</v>
      </c>
      <c r="P668" s="37">
        <v>5</v>
      </c>
      <c r="Q668" t="s">
        <v>42</v>
      </c>
      <c r="R668" s="37">
        <v>18</v>
      </c>
      <c r="S668" s="37">
        <v>14</v>
      </c>
      <c r="T668" t="s">
        <v>62</v>
      </c>
      <c r="U668" t="s">
        <v>63</v>
      </c>
      <c r="V668" t="s">
        <v>69</v>
      </c>
      <c r="W668" t="str">
        <f t="shared" si="50"/>
        <v>31-40</v>
      </c>
      <c r="X668" t="str">
        <f t="shared" si="51"/>
        <v>21-30 yrs</v>
      </c>
      <c r="Y668" t="str">
        <f t="shared" si="52"/>
        <v>May</v>
      </c>
      <c r="Z668">
        <f t="shared" si="53"/>
        <v>2025</v>
      </c>
      <c r="AA668">
        <f t="shared" si="54"/>
        <v>0</v>
      </c>
    </row>
    <row r="669" spans="1:27" ht="15" customHeight="1" x14ac:dyDescent="0.3">
      <c r="A669" t="s">
        <v>1207</v>
      </c>
      <c r="B669" s="20">
        <v>45887</v>
      </c>
      <c r="C669" t="s">
        <v>1208</v>
      </c>
      <c r="D669" t="s">
        <v>35</v>
      </c>
      <c r="E669" s="37">
        <v>57</v>
      </c>
      <c r="F669" t="s">
        <v>57</v>
      </c>
      <c r="G669" t="s">
        <v>58</v>
      </c>
      <c r="H669" t="s">
        <v>74</v>
      </c>
      <c r="I669" t="s">
        <v>60</v>
      </c>
      <c r="J669" t="s">
        <v>367</v>
      </c>
      <c r="K669" s="37">
        <v>12</v>
      </c>
      <c r="L669" t="s">
        <v>52</v>
      </c>
      <c r="M669" s="21">
        <v>161600</v>
      </c>
      <c r="N669" s="21">
        <v>2152512</v>
      </c>
      <c r="O669" s="21">
        <v>213312</v>
      </c>
      <c r="P669" s="37">
        <v>5</v>
      </c>
      <c r="Q669" t="s">
        <v>42</v>
      </c>
      <c r="R669" s="37">
        <v>10</v>
      </c>
      <c r="S669" s="37">
        <v>5</v>
      </c>
      <c r="T669" t="s">
        <v>146</v>
      </c>
      <c r="U669" t="s">
        <v>63</v>
      </c>
      <c r="V669" t="s">
        <v>45</v>
      </c>
      <c r="W669" t="str">
        <f t="shared" si="50"/>
        <v>51-58</v>
      </c>
      <c r="X669" t="str">
        <f t="shared" si="51"/>
        <v>11-20 yrs</v>
      </c>
      <c r="Y669" t="str">
        <f t="shared" si="52"/>
        <v>Aug</v>
      </c>
      <c r="Z669">
        <f t="shared" si="53"/>
        <v>2025</v>
      </c>
      <c r="AA669">
        <f t="shared" si="54"/>
        <v>0</v>
      </c>
    </row>
    <row r="670" spans="1:27" ht="15" customHeight="1" x14ac:dyDescent="0.3">
      <c r="A670" t="s">
        <v>1209</v>
      </c>
      <c r="B670" s="20">
        <v>45942</v>
      </c>
      <c r="C670" t="s">
        <v>1210</v>
      </c>
      <c r="D670" t="s">
        <v>48</v>
      </c>
      <c r="E670" s="37">
        <v>40</v>
      </c>
      <c r="F670" t="s">
        <v>36</v>
      </c>
      <c r="G670" t="s">
        <v>37</v>
      </c>
      <c r="H670" t="s">
        <v>38</v>
      </c>
      <c r="I670" t="s">
        <v>75</v>
      </c>
      <c r="J670" t="s">
        <v>110</v>
      </c>
      <c r="K670" s="37">
        <v>24</v>
      </c>
      <c r="L670" t="s">
        <v>52</v>
      </c>
      <c r="M670" s="21">
        <v>76100</v>
      </c>
      <c r="N670" s="21">
        <v>977124</v>
      </c>
      <c r="O670" s="21">
        <v>63924</v>
      </c>
      <c r="P670" s="37">
        <v>3</v>
      </c>
      <c r="Q670" t="s">
        <v>42</v>
      </c>
      <c r="R670" s="37">
        <v>9</v>
      </c>
      <c r="S670" s="37">
        <v>0</v>
      </c>
      <c r="T670" t="s">
        <v>62</v>
      </c>
      <c r="U670" t="s">
        <v>54</v>
      </c>
      <c r="V670" t="s">
        <v>45</v>
      </c>
      <c r="W670" t="str">
        <f t="shared" si="50"/>
        <v>31-40</v>
      </c>
      <c r="X670" t="str">
        <f t="shared" si="51"/>
        <v>21-30 yrs</v>
      </c>
      <c r="Y670" t="str">
        <f t="shared" si="52"/>
        <v>Oct</v>
      </c>
      <c r="Z670">
        <f t="shared" si="53"/>
        <v>2025</v>
      </c>
      <c r="AA670">
        <f t="shared" si="54"/>
        <v>0</v>
      </c>
    </row>
    <row r="671" spans="1:27" ht="15" customHeight="1" x14ac:dyDescent="0.3">
      <c r="A671" t="s">
        <v>1211</v>
      </c>
      <c r="B671" s="20">
        <v>45698</v>
      </c>
      <c r="C671" t="s">
        <v>203</v>
      </c>
      <c r="D671" t="s">
        <v>48</v>
      </c>
      <c r="E671" s="37">
        <v>26</v>
      </c>
      <c r="F671" t="s">
        <v>91</v>
      </c>
      <c r="G671" t="s">
        <v>92</v>
      </c>
      <c r="H671" t="s">
        <v>38</v>
      </c>
      <c r="I671" t="s">
        <v>39</v>
      </c>
      <c r="J671" t="s">
        <v>99</v>
      </c>
      <c r="K671" s="37">
        <v>8</v>
      </c>
      <c r="L671" t="s">
        <v>52</v>
      </c>
      <c r="M671" s="21">
        <v>35700</v>
      </c>
      <c r="N671" s="21">
        <v>479808</v>
      </c>
      <c r="O671" s="21">
        <v>51408</v>
      </c>
      <c r="P671" s="37">
        <v>3</v>
      </c>
      <c r="Q671" t="s">
        <v>42</v>
      </c>
      <c r="R671" s="37">
        <v>7</v>
      </c>
      <c r="S671" s="37">
        <v>8</v>
      </c>
      <c r="T671" t="s">
        <v>62</v>
      </c>
      <c r="U671" t="s">
        <v>44</v>
      </c>
      <c r="V671" t="s">
        <v>69</v>
      </c>
      <c r="W671" t="str">
        <f t="shared" si="50"/>
        <v>22-30</v>
      </c>
      <c r="X671" t="str">
        <f t="shared" si="51"/>
        <v>6-10 yrs</v>
      </c>
      <c r="Y671" t="str">
        <f t="shared" si="52"/>
        <v>Feb</v>
      </c>
      <c r="Z671">
        <f t="shared" si="53"/>
        <v>2025</v>
      </c>
      <c r="AA671">
        <f t="shared" si="54"/>
        <v>0</v>
      </c>
    </row>
    <row r="672" spans="1:27" ht="15" customHeight="1" x14ac:dyDescent="0.3">
      <c r="A672" t="s">
        <v>1212</v>
      </c>
      <c r="B672" s="20">
        <v>45953</v>
      </c>
      <c r="C672" t="s">
        <v>1125</v>
      </c>
      <c r="D672" t="s">
        <v>35</v>
      </c>
      <c r="E672" s="37">
        <v>24</v>
      </c>
      <c r="F672" t="s">
        <v>123</v>
      </c>
      <c r="G672" t="s">
        <v>124</v>
      </c>
      <c r="H672" t="s">
        <v>59</v>
      </c>
      <c r="I672" t="s">
        <v>60</v>
      </c>
      <c r="J672" t="s">
        <v>88</v>
      </c>
      <c r="K672" s="37">
        <v>19</v>
      </c>
      <c r="L672" t="s">
        <v>52</v>
      </c>
      <c r="M672" s="21">
        <v>118900</v>
      </c>
      <c r="N672" s="21">
        <v>1569480</v>
      </c>
      <c r="O672" s="21">
        <v>142680</v>
      </c>
      <c r="P672" s="37">
        <v>5</v>
      </c>
      <c r="Q672" t="s">
        <v>126</v>
      </c>
      <c r="R672" s="37">
        <v>15</v>
      </c>
      <c r="S672" s="37">
        <v>40</v>
      </c>
      <c r="T672" t="s">
        <v>129</v>
      </c>
      <c r="U672" t="s">
        <v>44</v>
      </c>
      <c r="V672" t="s">
        <v>69</v>
      </c>
      <c r="W672" t="str">
        <f t="shared" si="50"/>
        <v>22-30</v>
      </c>
      <c r="X672" t="str">
        <f t="shared" si="51"/>
        <v>11-20 yrs</v>
      </c>
      <c r="Y672" t="str">
        <f t="shared" si="52"/>
        <v>Oct</v>
      </c>
      <c r="Z672">
        <f t="shared" si="53"/>
        <v>2025</v>
      </c>
      <c r="AA672">
        <f t="shared" si="54"/>
        <v>1</v>
      </c>
    </row>
    <row r="673" spans="1:27" ht="15" customHeight="1" x14ac:dyDescent="0.3">
      <c r="A673" t="s">
        <v>1213</v>
      </c>
      <c r="B673" s="20">
        <v>45755</v>
      </c>
      <c r="C673" t="s">
        <v>1214</v>
      </c>
      <c r="D673" t="s">
        <v>35</v>
      </c>
      <c r="E673" s="37">
        <v>42</v>
      </c>
      <c r="F673" t="s">
        <v>97</v>
      </c>
      <c r="G673" t="s">
        <v>98</v>
      </c>
      <c r="H673" t="s">
        <v>66</v>
      </c>
      <c r="I673" t="s">
        <v>82</v>
      </c>
      <c r="J673" t="s">
        <v>161</v>
      </c>
      <c r="K673" s="37">
        <v>2</v>
      </c>
      <c r="L673" t="s">
        <v>52</v>
      </c>
      <c r="M673" s="21">
        <v>71500</v>
      </c>
      <c r="N673" s="21">
        <v>978120</v>
      </c>
      <c r="O673" s="21">
        <v>120120</v>
      </c>
      <c r="P673" s="37">
        <v>4</v>
      </c>
      <c r="Q673" t="s">
        <v>42</v>
      </c>
      <c r="R673" s="37">
        <v>6</v>
      </c>
      <c r="S673" s="37">
        <v>5</v>
      </c>
      <c r="T673" t="s">
        <v>68</v>
      </c>
      <c r="U673" t="s">
        <v>44</v>
      </c>
      <c r="V673" t="s">
        <v>45</v>
      </c>
      <c r="W673" t="str">
        <f t="shared" si="50"/>
        <v>41-50</v>
      </c>
      <c r="X673" t="str">
        <f t="shared" si="51"/>
        <v>0-5 yrs</v>
      </c>
      <c r="Y673" t="str">
        <f t="shared" si="52"/>
        <v>Apr</v>
      </c>
      <c r="Z673">
        <f t="shared" si="53"/>
        <v>2025</v>
      </c>
      <c r="AA673">
        <f t="shared" si="54"/>
        <v>0</v>
      </c>
    </row>
    <row r="674" spans="1:27" ht="15" customHeight="1" x14ac:dyDescent="0.3">
      <c r="A674" t="s">
        <v>1215</v>
      </c>
      <c r="B674" s="20">
        <v>45740</v>
      </c>
      <c r="C674" t="s">
        <v>1216</v>
      </c>
      <c r="D674" t="s">
        <v>48</v>
      </c>
      <c r="E674" s="37">
        <v>47</v>
      </c>
      <c r="F674" t="s">
        <v>72</v>
      </c>
      <c r="G674" t="s">
        <v>73</v>
      </c>
      <c r="H674" t="s">
        <v>66</v>
      </c>
      <c r="I674" t="s">
        <v>39</v>
      </c>
      <c r="J674" t="s">
        <v>67</v>
      </c>
      <c r="K674" s="37">
        <v>27</v>
      </c>
      <c r="L674" t="s">
        <v>120</v>
      </c>
      <c r="M674" s="21">
        <v>48200</v>
      </c>
      <c r="N674" s="21">
        <v>682512</v>
      </c>
      <c r="O674" s="21">
        <v>104112</v>
      </c>
      <c r="P674" s="37">
        <v>5</v>
      </c>
      <c r="Q674" t="s">
        <v>42</v>
      </c>
      <c r="R674" s="37">
        <v>18</v>
      </c>
      <c r="S674" s="37">
        <v>30</v>
      </c>
      <c r="T674" t="s">
        <v>94</v>
      </c>
      <c r="U674" t="s">
        <v>63</v>
      </c>
      <c r="V674" t="s">
        <v>45</v>
      </c>
      <c r="W674" t="str">
        <f t="shared" si="50"/>
        <v>41-50</v>
      </c>
      <c r="X674" t="str">
        <f t="shared" si="51"/>
        <v>21-30 yrs</v>
      </c>
      <c r="Y674" t="str">
        <f t="shared" si="52"/>
        <v>Mar</v>
      </c>
      <c r="Z674">
        <f t="shared" si="53"/>
        <v>2025</v>
      </c>
      <c r="AA674">
        <f t="shared" si="54"/>
        <v>0</v>
      </c>
    </row>
    <row r="675" spans="1:27" ht="15" customHeight="1" x14ac:dyDescent="0.3">
      <c r="A675" t="s">
        <v>1217</v>
      </c>
      <c r="B675" s="20">
        <v>45919</v>
      </c>
      <c r="C675" t="s">
        <v>458</v>
      </c>
      <c r="D675" t="s">
        <v>48</v>
      </c>
      <c r="E675" s="37">
        <v>47</v>
      </c>
      <c r="F675" t="s">
        <v>108</v>
      </c>
      <c r="G675" t="s">
        <v>109</v>
      </c>
      <c r="H675" t="s">
        <v>66</v>
      </c>
      <c r="I675" t="s">
        <v>82</v>
      </c>
      <c r="J675" t="s">
        <v>161</v>
      </c>
      <c r="K675" s="37">
        <v>5</v>
      </c>
      <c r="L675" t="s">
        <v>52</v>
      </c>
      <c r="M675" s="21">
        <v>66000</v>
      </c>
      <c r="N675" s="21">
        <v>926640</v>
      </c>
      <c r="O675" s="21">
        <v>134640</v>
      </c>
      <c r="P675" s="37">
        <v>4</v>
      </c>
      <c r="Q675" t="s">
        <v>42</v>
      </c>
      <c r="R675" s="37">
        <v>16</v>
      </c>
      <c r="S675" s="37">
        <v>39</v>
      </c>
      <c r="T675" t="s">
        <v>68</v>
      </c>
      <c r="U675" t="s">
        <v>54</v>
      </c>
      <c r="V675" t="s">
        <v>69</v>
      </c>
      <c r="W675" t="str">
        <f t="shared" si="50"/>
        <v>41-50</v>
      </c>
      <c r="X675" t="str">
        <f t="shared" si="51"/>
        <v>0-5 yrs</v>
      </c>
      <c r="Y675" t="str">
        <f t="shared" si="52"/>
        <v>Sep</v>
      </c>
      <c r="Z675">
        <f t="shared" si="53"/>
        <v>2025</v>
      </c>
      <c r="AA675">
        <f t="shared" si="54"/>
        <v>0</v>
      </c>
    </row>
    <row r="676" spans="1:27" ht="15" customHeight="1" x14ac:dyDescent="0.3">
      <c r="A676" t="s">
        <v>1218</v>
      </c>
      <c r="B676" s="20">
        <v>45903</v>
      </c>
      <c r="C676" t="s">
        <v>1219</v>
      </c>
      <c r="D676" t="s">
        <v>35</v>
      </c>
      <c r="E676" s="37">
        <v>35</v>
      </c>
      <c r="F676" t="s">
        <v>97</v>
      </c>
      <c r="G676" t="s">
        <v>98</v>
      </c>
      <c r="H676" t="s">
        <v>66</v>
      </c>
      <c r="I676" t="s">
        <v>75</v>
      </c>
      <c r="J676" t="s">
        <v>149</v>
      </c>
      <c r="K676" s="37">
        <v>9</v>
      </c>
      <c r="L676" t="s">
        <v>120</v>
      </c>
      <c r="M676" s="21">
        <v>86800</v>
      </c>
      <c r="N676" s="21">
        <v>1197840</v>
      </c>
      <c r="O676" s="21">
        <v>156240</v>
      </c>
      <c r="P676" s="37">
        <v>3</v>
      </c>
      <c r="Q676" t="s">
        <v>42</v>
      </c>
      <c r="R676" s="37">
        <v>5</v>
      </c>
      <c r="S676" s="37">
        <v>0</v>
      </c>
      <c r="T676" t="s">
        <v>94</v>
      </c>
      <c r="U676" t="s">
        <v>44</v>
      </c>
      <c r="V676" t="s">
        <v>45</v>
      </c>
      <c r="W676" t="str">
        <f t="shared" si="50"/>
        <v>31-40</v>
      </c>
      <c r="X676" t="str">
        <f t="shared" si="51"/>
        <v>6-10 yrs</v>
      </c>
      <c r="Y676" t="str">
        <f t="shared" si="52"/>
        <v>Sep</v>
      </c>
      <c r="Z676">
        <f t="shared" si="53"/>
        <v>2025</v>
      </c>
      <c r="AA676">
        <f t="shared" si="54"/>
        <v>0</v>
      </c>
    </row>
    <row r="677" spans="1:27" ht="15" customHeight="1" x14ac:dyDescent="0.3">
      <c r="A677" t="s">
        <v>1220</v>
      </c>
      <c r="B677" s="20">
        <v>45705</v>
      </c>
      <c r="C677" t="s">
        <v>1141</v>
      </c>
      <c r="D677" t="s">
        <v>48</v>
      </c>
      <c r="E677" s="37">
        <v>51</v>
      </c>
      <c r="F677" t="s">
        <v>108</v>
      </c>
      <c r="G677" t="s">
        <v>109</v>
      </c>
      <c r="H677" t="s">
        <v>59</v>
      </c>
      <c r="I677" t="s">
        <v>39</v>
      </c>
      <c r="J677" t="s">
        <v>125</v>
      </c>
      <c r="K677" s="37">
        <v>22</v>
      </c>
      <c r="L677" t="s">
        <v>52</v>
      </c>
      <c r="M677" s="21">
        <v>40100</v>
      </c>
      <c r="N677" s="21">
        <v>548568</v>
      </c>
      <c r="O677" s="21">
        <v>67368</v>
      </c>
      <c r="P677" s="37">
        <v>3</v>
      </c>
      <c r="Q677" t="s">
        <v>42</v>
      </c>
      <c r="R677" s="37">
        <v>19</v>
      </c>
      <c r="S677" s="37">
        <v>28</v>
      </c>
      <c r="T677" t="s">
        <v>68</v>
      </c>
      <c r="U677" t="s">
        <v>44</v>
      </c>
      <c r="V677" t="s">
        <v>69</v>
      </c>
      <c r="W677" t="str">
        <f t="shared" si="50"/>
        <v>51-58</v>
      </c>
      <c r="X677" t="str">
        <f t="shared" si="51"/>
        <v>21-30 yrs</v>
      </c>
      <c r="Y677" t="str">
        <f t="shared" si="52"/>
        <v>Feb</v>
      </c>
      <c r="Z677">
        <f t="shared" si="53"/>
        <v>2025</v>
      </c>
      <c r="AA677">
        <f t="shared" si="54"/>
        <v>0</v>
      </c>
    </row>
    <row r="678" spans="1:27" ht="15" customHeight="1" x14ac:dyDescent="0.3">
      <c r="A678" t="s">
        <v>1221</v>
      </c>
      <c r="B678" s="20">
        <v>45733</v>
      </c>
      <c r="C678" t="s">
        <v>1222</v>
      </c>
      <c r="D678" t="s">
        <v>35</v>
      </c>
      <c r="E678" s="37">
        <v>27</v>
      </c>
      <c r="F678" t="s">
        <v>72</v>
      </c>
      <c r="G678" t="s">
        <v>73</v>
      </c>
      <c r="H678" t="s">
        <v>118</v>
      </c>
      <c r="I678" t="s">
        <v>75</v>
      </c>
      <c r="J678" t="s">
        <v>250</v>
      </c>
      <c r="K678" s="37">
        <v>10</v>
      </c>
      <c r="L678" t="s">
        <v>120</v>
      </c>
      <c r="M678" s="21">
        <v>89500</v>
      </c>
      <c r="N678" s="21">
        <v>1159920</v>
      </c>
      <c r="O678" s="21">
        <v>85920</v>
      </c>
      <c r="P678" s="37">
        <v>4</v>
      </c>
      <c r="Q678" t="s">
        <v>42</v>
      </c>
      <c r="R678" s="37">
        <v>6</v>
      </c>
      <c r="S678" s="37">
        <v>3</v>
      </c>
      <c r="T678" t="s">
        <v>129</v>
      </c>
      <c r="U678" t="s">
        <v>63</v>
      </c>
      <c r="V678" t="s">
        <v>69</v>
      </c>
      <c r="W678" t="str">
        <f t="shared" si="50"/>
        <v>22-30</v>
      </c>
      <c r="X678" t="str">
        <f t="shared" si="51"/>
        <v>6-10 yrs</v>
      </c>
      <c r="Y678" t="str">
        <f t="shared" si="52"/>
        <v>Mar</v>
      </c>
      <c r="Z678">
        <f t="shared" si="53"/>
        <v>2025</v>
      </c>
      <c r="AA678">
        <f t="shared" si="54"/>
        <v>0</v>
      </c>
    </row>
    <row r="679" spans="1:27" ht="15" customHeight="1" x14ac:dyDescent="0.3">
      <c r="A679" t="s">
        <v>1223</v>
      </c>
      <c r="B679" s="20">
        <v>45798</v>
      </c>
      <c r="C679" t="s">
        <v>380</v>
      </c>
      <c r="D679" t="s">
        <v>35</v>
      </c>
      <c r="E679" s="37">
        <v>24</v>
      </c>
      <c r="F679" t="s">
        <v>72</v>
      </c>
      <c r="G679" t="s">
        <v>73</v>
      </c>
      <c r="H679" t="s">
        <v>118</v>
      </c>
      <c r="I679" t="s">
        <v>82</v>
      </c>
      <c r="J679" t="s">
        <v>119</v>
      </c>
      <c r="K679" s="37">
        <v>18</v>
      </c>
      <c r="L679" t="s">
        <v>52</v>
      </c>
      <c r="M679" s="21">
        <v>52400</v>
      </c>
      <c r="N679" s="21">
        <v>748272</v>
      </c>
      <c r="O679" s="21">
        <v>119472</v>
      </c>
      <c r="P679" s="37">
        <v>4</v>
      </c>
      <c r="Q679" t="s">
        <v>42</v>
      </c>
      <c r="R679" s="37">
        <v>5</v>
      </c>
      <c r="S679" s="37">
        <v>33</v>
      </c>
      <c r="T679" t="s">
        <v>53</v>
      </c>
      <c r="U679" t="s">
        <v>44</v>
      </c>
      <c r="V679" t="s">
        <v>69</v>
      </c>
      <c r="W679" t="str">
        <f t="shared" si="50"/>
        <v>22-30</v>
      </c>
      <c r="X679" t="str">
        <f t="shared" si="51"/>
        <v>11-20 yrs</v>
      </c>
      <c r="Y679" t="str">
        <f t="shared" si="52"/>
        <v>May</v>
      </c>
      <c r="Z679">
        <f t="shared" si="53"/>
        <v>2025</v>
      </c>
      <c r="AA679">
        <f t="shared" si="54"/>
        <v>0</v>
      </c>
    </row>
    <row r="680" spans="1:27" ht="15" customHeight="1" x14ac:dyDescent="0.3">
      <c r="A680" t="s">
        <v>1224</v>
      </c>
      <c r="B680" s="20">
        <v>45856</v>
      </c>
      <c r="C680" t="s">
        <v>1225</v>
      </c>
      <c r="D680" t="s">
        <v>35</v>
      </c>
      <c r="E680" s="37">
        <v>43</v>
      </c>
      <c r="F680" t="s">
        <v>36</v>
      </c>
      <c r="G680" t="s">
        <v>37</v>
      </c>
      <c r="H680" t="s">
        <v>66</v>
      </c>
      <c r="I680" t="s">
        <v>39</v>
      </c>
      <c r="J680" t="s">
        <v>67</v>
      </c>
      <c r="K680" s="37">
        <v>9</v>
      </c>
      <c r="L680" t="s">
        <v>52</v>
      </c>
      <c r="M680" s="21">
        <v>49800</v>
      </c>
      <c r="N680" s="21">
        <v>663336</v>
      </c>
      <c r="O680" s="21">
        <v>65736</v>
      </c>
      <c r="P680" s="37">
        <v>5</v>
      </c>
      <c r="Q680" t="s">
        <v>126</v>
      </c>
      <c r="R680" s="37">
        <v>7</v>
      </c>
      <c r="S680" s="37">
        <v>22</v>
      </c>
      <c r="T680" t="s">
        <v>77</v>
      </c>
      <c r="U680" t="s">
        <v>63</v>
      </c>
      <c r="V680" t="s">
        <v>45</v>
      </c>
      <c r="W680" t="str">
        <f t="shared" si="50"/>
        <v>41-50</v>
      </c>
      <c r="X680" t="str">
        <f t="shared" si="51"/>
        <v>6-10 yrs</v>
      </c>
      <c r="Y680" t="str">
        <f t="shared" si="52"/>
        <v>Jul</v>
      </c>
      <c r="Z680">
        <f t="shared" si="53"/>
        <v>2025</v>
      </c>
      <c r="AA680">
        <f t="shared" si="54"/>
        <v>1</v>
      </c>
    </row>
    <row r="681" spans="1:27" ht="15" customHeight="1" x14ac:dyDescent="0.3">
      <c r="A681" t="s">
        <v>1226</v>
      </c>
      <c r="B681" s="20">
        <v>45712</v>
      </c>
      <c r="C681" t="s">
        <v>1041</v>
      </c>
      <c r="D681" t="s">
        <v>48</v>
      </c>
      <c r="E681" s="37">
        <v>39</v>
      </c>
      <c r="F681" t="s">
        <v>97</v>
      </c>
      <c r="G681" t="s">
        <v>98</v>
      </c>
      <c r="H681" t="s">
        <v>118</v>
      </c>
      <c r="I681" t="s">
        <v>82</v>
      </c>
      <c r="J681" t="s">
        <v>137</v>
      </c>
      <c r="K681" s="37">
        <v>0</v>
      </c>
      <c r="L681" t="s">
        <v>52</v>
      </c>
      <c r="M681" s="21">
        <v>54800</v>
      </c>
      <c r="N681" s="21">
        <v>769392</v>
      </c>
      <c r="O681" s="21">
        <v>111792</v>
      </c>
      <c r="P681" s="37">
        <v>3</v>
      </c>
      <c r="Q681" t="s">
        <v>42</v>
      </c>
      <c r="R681" s="37">
        <v>4</v>
      </c>
      <c r="S681" s="37">
        <v>22</v>
      </c>
      <c r="T681" t="s">
        <v>105</v>
      </c>
      <c r="U681" t="s">
        <v>54</v>
      </c>
      <c r="V681" t="s">
        <v>45</v>
      </c>
      <c r="W681" t="str">
        <f t="shared" si="50"/>
        <v>31-40</v>
      </c>
      <c r="X681" t="str">
        <f t="shared" si="51"/>
        <v>0-5 yrs</v>
      </c>
      <c r="Y681" t="str">
        <f t="shared" si="52"/>
        <v>Feb</v>
      </c>
      <c r="Z681">
        <f t="shared" si="53"/>
        <v>2025</v>
      </c>
      <c r="AA681">
        <f t="shared" si="54"/>
        <v>0</v>
      </c>
    </row>
    <row r="682" spans="1:27" ht="15" customHeight="1" x14ac:dyDescent="0.3">
      <c r="A682" t="s">
        <v>1227</v>
      </c>
      <c r="B682" s="20">
        <v>45767</v>
      </c>
      <c r="C682" t="s">
        <v>1228</v>
      </c>
      <c r="D682" t="s">
        <v>48</v>
      </c>
      <c r="E682" s="37">
        <v>33</v>
      </c>
      <c r="F682" t="s">
        <v>91</v>
      </c>
      <c r="G682" t="s">
        <v>92</v>
      </c>
      <c r="H682" t="s">
        <v>118</v>
      </c>
      <c r="I682" t="s">
        <v>60</v>
      </c>
      <c r="J682" t="s">
        <v>182</v>
      </c>
      <c r="K682" s="37">
        <v>21</v>
      </c>
      <c r="L682" t="s">
        <v>52</v>
      </c>
      <c r="M682" s="21">
        <v>152100</v>
      </c>
      <c r="N682" s="21">
        <v>2044224</v>
      </c>
      <c r="O682" s="21">
        <v>219024</v>
      </c>
      <c r="P682" s="37">
        <v>3</v>
      </c>
      <c r="Q682" t="s">
        <v>42</v>
      </c>
      <c r="R682" s="37">
        <v>9</v>
      </c>
      <c r="S682" s="37">
        <v>40</v>
      </c>
      <c r="T682" t="s">
        <v>77</v>
      </c>
      <c r="U682" t="s">
        <v>63</v>
      </c>
      <c r="V682" t="s">
        <v>69</v>
      </c>
      <c r="W682" t="str">
        <f t="shared" si="50"/>
        <v>31-40</v>
      </c>
      <c r="X682" t="str">
        <f t="shared" si="51"/>
        <v>21-30 yrs</v>
      </c>
      <c r="Y682" t="str">
        <f t="shared" si="52"/>
        <v>Apr</v>
      </c>
      <c r="Z682">
        <f t="shared" si="53"/>
        <v>2025</v>
      </c>
      <c r="AA682">
        <f t="shared" si="54"/>
        <v>0</v>
      </c>
    </row>
    <row r="683" spans="1:27" ht="15" customHeight="1" x14ac:dyDescent="0.3">
      <c r="A683" t="s">
        <v>1229</v>
      </c>
      <c r="B683" s="20">
        <v>45840</v>
      </c>
      <c r="C683" t="s">
        <v>1230</v>
      </c>
      <c r="D683" t="s">
        <v>35</v>
      </c>
      <c r="E683" s="37">
        <v>55</v>
      </c>
      <c r="F683" t="s">
        <v>72</v>
      </c>
      <c r="G683" t="s">
        <v>73</v>
      </c>
      <c r="H683" t="s">
        <v>74</v>
      </c>
      <c r="I683" t="s">
        <v>82</v>
      </c>
      <c r="J683" t="s">
        <v>83</v>
      </c>
      <c r="K683" s="37">
        <v>20</v>
      </c>
      <c r="L683" t="s">
        <v>41</v>
      </c>
      <c r="M683" s="21">
        <v>73000</v>
      </c>
      <c r="N683" s="21">
        <v>998640</v>
      </c>
      <c r="O683" s="21">
        <v>122640</v>
      </c>
      <c r="P683" s="37">
        <v>3</v>
      </c>
      <c r="Q683" t="s">
        <v>42</v>
      </c>
      <c r="R683" s="37">
        <v>19</v>
      </c>
      <c r="S683" s="37">
        <v>34</v>
      </c>
      <c r="T683" t="s">
        <v>43</v>
      </c>
      <c r="U683" t="s">
        <v>63</v>
      </c>
      <c r="V683" t="s">
        <v>45</v>
      </c>
      <c r="W683" t="str">
        <f t="shared" si="50"/>
        <v>51-58</v>
      </c>
      <c r="X683" t="str">
        <f t="shared" si="51"/>
        <v>11-20 yrs</v>
      </c>
      <c r="Y683" t="str">
        <f t="shared" si="52"/>
        <v>Jul</v>
      </c>
      <c r="Z683">
        <f t="shared" si="53"/>
        <v>2025</v>
      </c>
      <c r="AA683">
        <f t="shared" si="54"/>
        <v>0</v>
      </c>
    </row>
    <row r="684" spans="1:27" ht="15" customHeight="1" x14ac:dyDescent="0.3">
      <c r="A684" t="s">
        <v>1231</v>
      </c>
      <c r="B684" s="20">
        <v>45886</v>
      </c>
      <c r="C684" t="s">
        <v>1028</v>
      </c>
      <c r="D684" t="s">
        <v>48</v>
      </c>
      <c r="E684" s="37">
        <v>23</v>
      </c>
      <c r="F684" t="s">
        <v>72</v>
      </c>
      <c r="G684" t="s">
        <v>73</v>
      </c>
      <c r="H684" t="s">
        <v>66</v>
      </c>
      <c r="I684" t="s">
        <v>39</v>
      </c>
      <c r="J684" t="s">
        <v>161</v>
      </c>
      <c r="K684" s="37">
        <v>27</v>
      </c>
      <c r="L684" t="s">
        <v>41</v>
      </c>
      <c r="M684" s="21">
        <v>45100</v>
      </c>
      <c r="N684" s="21">
        <v>611556</v>
      </c>
      <c r="O684" s="21">
        <v>70356</v>
      </c>
      <c r="P684" s="37">
        <v>5</v>
      </c>
      <c r="Q684" t="s">
        <v>126</v>
      </c>
      <c r="R684" s="37">
        <v>9</v>
      </c>
      <c r="S684" s="37">
        <v>11</v>
      </c>
      <c r="T684" t="s">
        <v>175</v>
      </c>
      <c r="U684" t="s">
        <v>138</v>
      </c>
      <c r="V684" t="s">
        <v>69</v>
      </c>
      <c r="W684" t="str">
        <f t="shared" si="50"/>
        <v>22-30</v>
      </c>
      <c r="X684" t="str">
        <f t="shared" si="51"/>
        <v>21-30 yrs</v>
      </c>
      <c r="Y684" t="str">
        <f t="shared" si="52"/>
        <v>Aug</v>
      </c>
      <c r="Z684">
        <f t="shared" si="53"/>
        <v>2025</v>
      </c>
      <c r="AA684">
        <f t="shared" si="54"/>
        <v>1</v>
      </c>
    </row>
    <row r="685" spans="1:27" ht="15" customHeight="1" x14ac:dyDescent="0.3">
      <c r="A685" t="s">
        <v>1232</v>
      </c>
      <c r="B685" s="20">
        <v>46009</v>
      </c>
      <c r="C685" t="s">
        <v>257</v>
      </c>
      <c r="D685" t="s">
        <v>35</v>
      </c>
      <c r="E685" s="37">
        <v>38</v>
      </c>
      <c r="F685" t="s">
        <v>80</v>
      </c>
      <c r="G685" t="s">
        <v>81</v>
      </c>
      <c r="H685" t="s">
        <v>59</v>
      </c>
      <c r="I685" t="s">
        <v>39</v>
      </c>
      <c r="J685" t="s">
        <v>141</v>
      </c>
      <c r="K685" s="37">
        <v>3</v>
      </c>
      <c r="L685" t="s">
        <v>52</v>
      </c>
      <c r="M685" s="21">
        <v>29700</v>
      </c>
      <c r="N685" s="21">
        <v>406296</v>
      </c>
      <c r="O685" s="21">
        <v>49896</v>
      </c>
      <c r="P685" s="37">
        <v>4</v>
      </c>
      <c r="Q685" t="s">
        <v>126</v>
      </c>
      <c r="R685" s="37">
        <v>19</v>
      </c>
      <c r="S685" s="37">
        <v>11</v>
      </c>
      <c r="T685" t="s">
        <v>105</v>
      </c>
      <c r="U685" t="s">
        <v>54</v>
      </c>
      <c r="V685" t="s">
        <v>69</v>
      </c>
      <c r="W685" t="str">
        <f t="shared" si="50"/>
        <v>31-40</v>
      </c>
      <c r="X685" t="str">
        <f t="shared" si="51"/>
        <v>0-5 yrs</v>
      </c>
      <c r="Y685" t="str">
        <f t="shared" si="52"/>
        <v>Dec</v>
      </c>
      <c r="Z685">
        <f t="shared" si="53"/>
        <v>2025</v>
      </c>
      <c r="AA685">
        <f t="shared" si="54"/>
        <v>1</v>
      </c>
    </row>
    <row r="686" spans="1:27" ht="15" customHeight="1" x14ac:dyDescent="0.3">
      <c r="A686" t="s">
        <v>1233</v>
      </c>
      <c r="B686" s="20">
        <v>45876</v>
      </c>
      <c r="C686" t="s">
        <v>1234</v>
      </c>
      <c r="D686" t="s">
        <v>35</v>
      </c>
      <c r="E686" s="37">
        <v>55</v>
      </c>
      <c r="F686" t="s">
        <v>108</v>
      </c>
      <c r="G686" t="s">
        <v>109</v>
      </c>
      <c r="H686" t="s">
        <v>74</v>
      </c>
      <c r="I686" t="s">
        <v>82</v>
      </c>
      <c r="J686" t="s">
        <v>152</v>
      </c>
      <c r="K686" s="37">
        <v>28</v>
      </c>
      <c r="L686" t="s">
        <v>52</v>
      </c>
      <c r="M686" s="21">
        <v>54000</v>
      </c>
      <c r="N686" s="21">
        <v>725760</v>
      </c>
      <c r="O686" s="21">
        <v>77760</v>
      </c>
      <c r="P686" s="37">
        <v>4</v>
      </c>
      <c r="Q686" t="s">
        <v>42</v>
      </c>
      <c r="R686" s="37">
        <v>4</v>
      </c>
      <c r="S686" s="37">
        <v>32</v>
      </c>
      <c r="T686" t="s">
        <v>94</v>
      </c>
      <c r="U686" t="s">
        <v>44</v>
      </c>
      <c r="V686" t="s">
        <v>45</v>
      </c>
      <c r="W686" t="str">
        <f t="shared" si="50"/>
        <v>51-58</v>
      </c>
      <c r="X686" t="str">
        <f t="shared" si="51"/>
        <v>21-30 yrs</v>
      </c>
      <c r="Y686" t="str">
        <f t="shared" si="52"/>
        <v>Aug</v>
      </c>
      <c r="Z686">
        <f t="shared" si="53"/>
        <v>2025</v>
      </c>
      <c r="AA686">
        <f t="shared" si="54"/>
        <v>0</v>
      </c>
    </row>
    <row r="687" spans="1:27" ht="15" customHeight="1" x14ac:dyDescent="0.3">
      <c r="A687" t="s">
        <v>1235</v>
      </c>
      <c r="B687" s="20">
        <v>45800</v>
      </c>
      <c r="C687" t="s">
        <v>1156</v>
      </c>
      <c r="D687" t="s">
        <v>35</v>
      </c>
      <c r="E687" s="37">
        <v>46</v>
      </c>
      <c r="F687" t="s">
        <v>123</v>
      </c>
      <c r="G687" t="s">
        <v>124</v>
      </c>
      <c r="H687" t="s">
        <v>118</v>
      </c>
      <c r="I687" t="s">
        <v>82</v>
      </c>
      <c r="J687" t="s">
        <v>119</v>
      </c>
      <c r="K687" s="37">
        <v>29</v>
      </c>
      <c r="L687" t="s">
        <v>52</v>
      </c>
      <c r="M687" s="21">
        <v>61800</v>
      </c>
      <c r="N687" s="21">
        <v>845424</v>
      </c>
      <c r="O687" s="21">
        <v>103824</v>
      </c>
      <c r="P687" s="37">
        <v>5</v>
      </c>
      <c r="Q687" t="s">
        <v>42</v>
      </c>
      <c r="R687" s="37">
        <v>15</v>
      </c>
      <c r="S687" s="37">
        <v>40</v>
      </c>
      <c r="T687" t="s">
        <v>129</v>
      </c>
      <c r="U687" t="s">
        <v>63</v>
      </c>
      <c r="V687" t="s">
        <v>45</v>
      </c>
      <c r="W687" t="str">
        <f t="shared" si="50"/>
        <v>41-50</v>
      </c>
      <c r="X687" t="str">
        <f t="shared" si="51"/>
        <v>21-30 yrs</v>
      </c>
      <c r="Y687" t="str">
        <f t="shared" si="52"/>
        <v>May</v>
      </c>
      <c r="Z687">
        <f t="shared" si="53"/>
        <v>2025</v>
      </c>
      <c r="AA687">
        <f t="shared" si="54"/>
        <v>0</v>
      </c>
    </row>
    <row r="688" spans="1:27" ht="15" customHeight="1" x14ac:dyDescent="0.3">
      <c r="A688" t="s">
        <v>1236</v>
      </c>
      <c r="B688" s="20">
        <v>45952</v>
      </c>
      <c r="C688" t="s">
        <v>1237</v>
      </c>
      <c r="D688" t="s">
        <v>35</v>
      </c>
      <c r="E688" s="37">
        <v>57</v>
      </c>
      <c r="F688" t="s">
        <v>97</v>
      </c>
      <c r="G688" t="s">
        <v>98</v>
      </c>
      <c r="H688" t="s">
        <v>38</v>
      </c>
      <c r="I688" t="s">
        <v>75</v>
      </c>
      <c r="J688" t="s">
        <v>40</v>
      </c>
      <c r="K688" s="37">
        <v>19</v>
      </c>
      <c r="L688" t="s">
        <v>52</v>
      </c>
      <c r="M688" s="21">
        <v>75100</v>
      </c>
      <c r="N688" s="21">
        <v>1045391</v>
      </c>
      <c r="O688" s="21">
        <v>144192</v>
      </c>
      <c r="P688" s="37">
        <v>5</v>
      </c>
      <c r="Q688" t="s">
        <v>42</v>
      </c>
      <c r="R688" s="37">
        <v>4</v>
      </c>
      <c r="S688" s="37">
        <v>30</v>
      </c>
      <c r="T688" t="s">
        <v>43</v>
      </c>
      <c r="U688" t="s">
        <v>63</v>
      </c>
      <c r="V688" t="s">
        <v>69</v>
      </c>
      <c r="W688" t="str">
        <f t="shared" si="50"/>
        <v>51-58</v>
      </c>
      <c r="X688" t="str">
        <f t="shared" si="51"/>
        <v>11-20 yrs</v>
      </c>
      <c r="Y688" t="str">
        <f t="shared" si="52"/>
        <v>Oct</v>
      </c>
      <c r="Z688">
        <f t="shared" si="53"/>
        <v>2025</v>
      </c>
      <c r="AA688">
        <f t="shared" si="54"/>
        <v>0</v>
      </c>
    </row>
    <row r="689" spans="1:27" ht="15" customHeight="1" x14ac:dyDescent="0.3">
      <c r="A689" t="s">
        <v>1238</v>
      </c>
      <c r="B689" s="20">
        <v>45692</v>
      </c>
      <c r="C689" t="s">
        <v>1239</v>
      </c>
      <c r="D689" t="s">
        <v>35</v>
      </c>
      <c r="E689" s="37">
        <v>33</v>
      </c>
      <c r="F689" t="s">
        <v>123</v>
      </c>
      <c r="G689" t="s">
        <v>124</v>
      </c>
      <c r="H689" t="s">
        <v>66</v>
      </c>
      <c r="I689" t="s">
        <v>39</v>
      </c>
      <c r="J689" t="s">
        <v>67</v>
      </c>
      <c r="K689" s="37">
        <v>28</v>
      </c>
      <c r="L689" t="s">
        <v>41</v>
      </c>
      <c r="M689" s="21">
        <v>45100</v>
      </c>
      <c r="N689" s="21">
        <v>611556</v>
      </c>
      <c r="O689" s="21">
        <v>70356</v>
      </c>
      <c r="P689" s="37">
        <v>3</v>
      </c>
      <c r="Q689" t="s">
        <v>42</v>
      </c>
      <c r="R689" s="37">
        <v>7</v>
      </c>
      <c r="S689" s="37">
        <v>14</v>
      </c>
      <c r="T689" t="s">
        <v>62</v>
      </c>
      <c r="U689" t="s">
        <v>44</v>
      </c>
      <c r="V689" t="s">
        <v>69</v>
      </c>
      <c r="W689" t="str">
        <f t="shared" si="50"/>
        <v>31-40</v>
      </c>
      <c r="X689" t="str">
        <f t="shared" si="51"/>
        <v>21-30 yrs</v>
      </c>
      <c r="Y689" t="str">
        <f t="shared" si="52"/>
        <v>Feb</v>
      </c>
      <c r="Z689">
        <f t="shared" si="53"/>
        <v>2025</v>
      </c>
      <c r="AA689">
        <f t="shared" si="54"/>
        <v>0</v>
      </c>
    </row>
    <row r="690" spans="1:27" ht="15" customHeight="1" x14ac:dyDescent="0.3">
      <c r="A690" t="s">
        <v>1240</v>
      </c>
      <c r="B690" s="20">
        <v>45972</v>
      </c>
      <c r="C690" t="s">
        <v>1010</v>
      </c>
      <c r="D690" t="s">
        <v>35</v>
      </c>
      <c r="E690" s="37">
        <v>56</v>
      </c>
      <c r="F690" t="s">
        <v>49</v>
      </c>
      <c r="G690" t="s">
        <v>50</v>
      </c>
      <c r="H690" t="s">
        <v>38</v>
      </c>
      <c r="I690" t="s">
        <v>75</v>
      </c>
      <c r="J690" t="s">
        <v>40</v>
      </c>
      <c r="K690" s="37">
        <v>23</v>
      </c>
      <c r="L690" t="s">
        <v>52</v>
      </c>
      <c r="M690" s="21">
        <v>83600</v>
      </c>
      <c r="N690" s="21">
        <v>1073424</v>
      </c>
      <c r="O690" s="21">
        <v>70224</v>
      </c>
      <c r="P690" s="37">
        <v>2</v>
      </c>
      <c r="Q690" t="s">
        <v>42</v>
      </c>
      <c r="R690" s="37">
        <v>19</v>
      </c>
      <c r="S690" s="37">
        <v>24</v>
      </c>
      <c r="T690" t="s">
        <v>146</v>
      </c>
      <c r="U690" t="s">
        <v>138</v>
      </c>
      <c r="V690" t="s">
        <v>45</v>
      </c>
      <c r="W690" t="str">
        <f t="shared" si="50"/>
        <v>51-58</v>
      </c>
      <c r="X690" t="str">
        <f t="shared" si="51"/>
        <v>21-30 yrs</v>
      </c>
      <c r="Y690" t="str">
        <f t="shared" si="52"/>
        <v>Nov</v>
      </c>
      <c r="Z690">
        <f t="shared" si="53"/>
        <v>2025</v>
      </c>
      <c r="AA690">
        <f t="shared" si="54"/>
        <v>0</v>
      </c>
    </row>
    <row r="691" spans="1:27" ht="15" customHeight="1" x14ac:dyDescent="0.3">
      <c r="A691" t="s">
        <v>1241</v>
      </c>
      <c r="B691" s="20">
        <v>45861</v>
      </c>
      <c r="C691" t="s">
        <v>1242</v>
      </c>
      <c r="D691" t="s">
        <v>35</v>
      </c>
      <c r="E691" s="37">
        <v>26</v>
      </c>
      <c r="F691" t="s">
        <v>86</v>
      </c>
      <c r="G691" t="s">
        <v>87</v>
      </c>
      <c r="H691" t="s">
        <v>66</v>
      </c>
      <c r="I691" t="s">
        <v>51</v>
      </c>
      <c r="J691" t="s">
        <v>170</v>
      </c>
      <c r="K691" s="37">
        <v>28</v>
      </c>
      <c r="L691" t="s">
        <v>52</v>
      </c>
      <c r="M691" s="21">
        <v>213000</v>
      </c>
      <c r="N691" s="21">
        <v>2837160</v>
      </c>
      <c r="O691" s="21">
        <v>281160</v>
      </c>
      <c r="P691" s="37">
        <v>3</v>
      </c>
      <c r="Q691" t="s">
        <v>42</v>
      </c>
      <c r="R691" s="37">
        <v>20</v>
      </c>
      <c r="S691" s="37">
        <v>38</v>
      </c>
      <c r="T691" t="s">
        <v>94</v>
      </c>
      <c r="U691" t="s">
        <v>63</v>
      </c>
      <c r="V691" t="s">
        <v>45</v>
      </c>
      <c r="W691" t="str">
        <f t="shared" si="50"/>
        <v>22-30</v>
      </c>
      <c r="X691" t="str">
        <f t="shared" si="51"/>
        <v>21-30 yrs</v>
      </c>
      <c r="Y691" t="str">
        <f t="shared" si="52"/>
        <v>Jul</v>
      </c>
      <c r="Z691">
        <f t="shared" si="53"/>
        <v>2025</v>
      </c>
      <c r="AA691">
        <f t="shared" si="54"/>
        <v>0</v>
      </c>
    </row>
    <row r="692" spans="1:27" ht="15" customHeight="1" x14ac:dyDescent="0.3">
      <c r="A692" t="s">
        <v>1243</v>
      </c>
      <c r="B692" s="20">
        <v>45767</v>
      </c>
      <c r="C692" t="s">
        <v>809</v>
      </c>
      <c r="D692" t="s">
        <v>48</v>
      </c>
      <c r="E692" s="37">
        <v>40</v>
      </c>
      <c r="F692" t="s">
        <v>36</v>
      </c>
      <c r="G692" t="s">
        <v>37</v>
      </c>
      <c r="H692" t="s">
        <v>38</v>
      </c>
      <c r="I692" t="s">
        <v>60</v>
      </c>
      <c r="J692" t="s">
        <v>110</v>
      </c>
      <c r="K692" s="37">
        <v>30</v>
      </c>
      <c r="L692" t="s">
        <v>120</v>
      </c>
      <c r="M692" s="21">
        <v>127300</v>
      </c>
      <c r="N692" s="21">
        <v>1665084</v>
      </c>
      <c r="O692" s="21">
        <v>137484</v>
      </c>
      <c r="P692" s="37">
        <v>3</v>
      </c>
      <c r="Q692" t="s">
        <v>42</v>
      </c>
      <c r="R692" s="37">
        <v>12</v>
      </c>
      <c r="S692" s="37">
        <v>9</v>
      </c>
      <c r="T692" t="s">
        <v>53</v>
      </c>
      <c r="U692" t="s">
        <v>63</v>
      </c>
      <c r="V692" t="s">
        <v>45</v>
      </c>
      <c r="W692" t="str">
        <f t="shared" si="50"/>
        <v>31-40</v>
      </c>
      <c r="X692" t="str">
        <f t="shared" si="51"/>
        <v>21-30 yrs</v>
      </c>
      <c r="Y692" t="str">
        <f t="shared" si="52"/>
        <v>Apr</v>
      </c>
      <c r="Z692">
        <f t="shared" si="53"/>
        <v>2025</v>
      </c>
      <c r="AA692">
        <f t="shared" si="54"/>
        <v>0</v>
      </c>
    </row>
    <row r="693" spans="1:27" ht="15" customHeight="1" x14ac:dyDescent="0.3">
      <c r="A693" t="s">
        <v>1244</v>
      </c>
      <c r="B693" s="20">
        <v>45911</v>
      </c>
      <c r="C693" t="s">
        <v>206</v>
      </c>
      <c r="D693" t="s">
        <v>48</v>
      </c>
      <c r="E693" s="37">
        <v>51</v>
      </c>
      <c r="F693" t="s">
        <v>49</v>
      </c>
      <c r="G693" t="s">
        <v>50</v>
      </c>
      <c r="H693" t="s">
        <v>38</v>
      </c>
      <c r="I693" t="s">
        <v>75</v>
      </c>
      <c r="J693" t="s">
        <v>99</v>
      </c>
      <c r="K693" s="37">
        <v>12</v>
      </c>
      <c r="L693" t="s">
        <v>52</v>
      </c>
      <c r="M693" s="21">
        <v>101500</v>
      </c>
      <c r="N693" s="21">
        <v>1364160</v>
      </c>
      <c r="O693" s="21">
        <v>146160</v>
      </c>
      <c r="P693" s="37">
        <v>3</v>
      </c>
      <c r="Q693" t="s">
        <v>42</v>
      </c>
      <c r="R693" s="37">
        <v>19</v>
      </c>
      <c r="S693" s="37">
        <v>14</v>
      </c>
      <c r="T693" t="s">
        <v>129</v>
      </c>
      <c r="U693" t="s">
        <v>63</v>
      </c>
      <c r="V693" t="s">
        <v>45</v>
      </c>
      <c r="W693" t="str">
        <f t="shared" si="50"/>
        <v>51-58</v>
      </c>
      <c r="X693" t="str">
        <f t="shared" si="51"/>
        <v>11-20 yrs</v>
      </c>
      <c r="Y693" t="str">
        <f t="shared" si="52"/>
        <v>Sep</v>
      </c>
      <c r="Z693">
        <f t="shared" si="53"/>
        <v>2025</v>
      </c>
      <c r="AA693">
        <f t="shared" si="54"/>
        <v>0</v>
      </c>
    </row>
    <row r="694" spans="1:27" ht="15" customHeight="1" x14ac:dyDescent="0.3">
      <c r="A694" t="s">
        <v>1245</v>
      </c>
      <c r="B694" s="20">
        <v>45911</v>
      </c>
      <c r="C694" t="s">
        <v>1246</v>
      </c>
      <c r="D694" t="s">
        <v>35</v>
      </c>
      <c r="E694" s="37">
        <v>44</v>
      </c>
      <c r="F694" t="s">
        <v>36</v>
      </c>
      <c r="G694" t="s">
        <v>37</v>
      </c>
      <c r="H694" t="s">
        <v>59</v>
      </c>
      <c r="I694" t="s">
        <v>75</v>
      </c>
      <c r="J694" t="s">
        <v>125</v>
      </c>
      <c r="K694" s="37">
        <v>29</v>
      </c>
      <c r="L694" t="s">
        <v>52</v>
      </c>
      <c r="M694" s="21">
        <v>68300</v>
      </c>
      <c r="N694" s="21">
        <v>934344</v>
      </c>
      <c r="O694" s="21">
        <v>114744</v>
      </c>
      <c r="P694" s="37">
        <v>3</v>
      </c>
      <c r="Q694" t="s">
        <v>42</v>
      </c>
      <c r="R694" s="37">
        <v>16</v>
      </c>
      <c r="S694" s="37">
        <v>7</v>
      </c>
      <c r="T694" t="s">
        <v>77</v>
      </c>
      <c r="U694" t="s">
        <v>44</v>
      </c>
      <c r="V694" t="s">
        <v>45</v>
      </c>
      <c r="W694" t="str">
        <f t="shared" si="50"/>
        <v>41-50</v>
      </c>
      <c r="X694" t="str">
        <f t="shared" si="51"/>
        <v>21-30 yrs</v>
      </c>
      <c r="Y694" t="str">
        <f t="shared" si="52"/>
        <v>Sep</v>
      </c>
      <c r="Z694">
        <f t="shared" si="53"/>
        <v>2025</v>
      </c>
      <c r="AA694">
        <f t="shared" si="54"/>
        <v>0</v>
      </c>
    </row>
    <row r="695" spans="1:27" ht="15" customHeight="1" x14ac:dyDescent="0.3">
      <c r="A695" t="s">
        <v>1247</v>
      </c>
      <c r="B695" s="20">
        <v>45854</v>
      </c>
      <c r="C695" t="s">
        <v>1248</v>
      </c>
      <c r="D695" t="s">
        <v>35</v>
      </c>
      <c r="E695" s="37">
        <v>58</v>
      </c>
      <c r="F695" t="s">
        <v>91</v>
      </c>
      <c r="G695" t="s">
        <v>92</v>
      </c>
      <c r="H695" t="s">
        <v>66</v>
      </c>
      <c r="I695" t="s">
        <v>60</v>
      </c>
      <c r="J695" t="s">
        <v>170</v>
      </c>
      <c r="K695" s="37">
        <v>18</v>
      </c>
      <c r="L695" t="s">
        <v>52</v>
      </c>
      <c r="M695" s="21">
        <v>139500</v>
      </c>
      <c r="N695" s="21">
        <v>1941839</v>
      </c>
      <c r="O695" s="21">
        <v>267840</v>
      </c>
      <c r="P695" s="37">
        <v>5</v>
      </c>
      <c r="Q695" t="s">
        <v>42</v>
      </c>
      <c r="R695" s="37">
        <v>7</v>
      </c>
      <c r="S695" s="37">
        <v>30</v>
      </c>
      <c r="T695" t="s">
        <v>129</v>
      </c>
      <c r="U695" t="s">
        <v>63</v>
      </c>
      <c r="V695" t="s">
        <v>45</v>
      </c>
      <c r="W695" t="str">
        <f t="shared" si="50"/>
        <v>51-58</v>
      </c>
      <c r="X695" t="str">
        <f t="shared" si="51"/>
        <v>11-20 yrs</v>
      </c>
      <c r="Y695" t="str">
        <f t="shared" si="52"/>
        <v>Jul</v>
      </c>
      <c r="Z695">
        <f t="shared" si="53"/>
        <v>2025</v>
      </c>
      <c r="AA695">
        <f t="shared" si="54"/>
        <v>0</v>
      </c>
    </row>
    <row r="696" spans="1:27" ht="15" customHeight="1" x14ac:dyDescent="0.3">
      <c r="A696" t="s">
        <v>1249</v>
      </c>
      <c r="B696" s="20">
        <v>45665</v>
      </c>
      <c r="C696" t="s">
        <v>1250</v>
      </c>
      <c r="D696" t="s">
        <v>35</v>
      </c>
      <c r="E696" s="37">
        <v>24</v>
      </c>
      <c r="F696" t="s">
        <v>97</v>
      </c>
      <c r="G696" t="s">
        <v>98</v>
      </c>
      <c r="H696" t="s">
        <v>66</v>
      </c>
      <c r="I696" t="s">
        <v>39</v>
      </c>
      <c r="J696" t="s">
        <v>161</v>
      </c>
      <c r="K696" s="37">
        <v>7</v>
      </c>
      <c r="L696" t="s">
        <v>52</v>
      </c>
      <c r="M696" s="21">
        <v>43800</v>
      </c>
      <c r="N696" s="21">
        <v>625464</v>
      </c>
      <c r="O696" s="21">
        <v>99864</v>
      </c>
      <c r="P696" s="37">
        <v>4</v>
      </c>
      <c r="Q696" t="s">
        <v>126</v>
      </c>
      <c r="R696" s="37">
        <v>2</v>
      </c>
      <c r="S696" s="37">
        <v>23</v>
      </c>
      <c r="T696" t="s">
        <v>77</v>
      </c>
      <c r="U696" t="s">
        <v>63</v>
      </c>
      <c r="V696" t="s">
        <v>45</v>
      </c>
      <c r="W696" t="str">
        <f t="shared" si="50"/>
        <v>22-30</v>
      </c>
      <c r="X696" t="str">
        <f t="shared" si="51"/>
        <v>6-10 yrs</v>
      </c>
      <c r="Y696" t="str">
        <f t="shared" si="52"/>
        <v>Jan</v>
      </c>
      <c r="Z696">
        <f t="shared" si="53"/>
        <v>2025</v>
      </c>
      <c r="AA696">
        <f t="shared" si="54"/>
        <v>1</v>
      </c>
    </row>
    <row r="697" spans="1:27" ht="15" customHeight="1" x14ac:dyDescent="0.3">
      <c r="A697" t="s">
        <v>1251</v>
      </c>
      <c r="B697" s="20">
        <v>45974</v>
      </c>
      <c r="C697" t="s">
        <v>870</v>
      </c>
      <c r="D697" t="s">
        <v>35</v>
      </c>
      <c r="E697" s="37">
        <v>45</v>
      </c>
      <c r="F697" t="s">
        <v>91</v>
      </c>
      <c r="G697" t="s">
        <v>92</v>
      </c>
      <c r="H697" t="s">
        <v>74</v>
      </c>
      <c r="I697" t="s">
        <v>75</v>
      </c>
      <c r="J697" t="s">
        <v>152</v>
      </c>
      <c r="K697" s="37">
        <v>19</v>
      </c>
      <c r="L697" t="s">
        <v>52</v>
      </c>
      <c r="M697" s="21">
        <v>93400</v>
      </c>
      <c r="N697" s="21">
        <v>1188048</v>
      </c>
      <c r="O697" s="21">
        <v>67248</v>
      </c>
      <c r="P697" s="37">
        <v>2</v>
      </c>
      <c r="Q697" t="s">
        <v>42</v>
      </c>
      <c r="R697" s="37">
        <v>4</v>
      </c>
      <c r="S697" s="37">
        <v>8</v>
      </c>
      <c r="T697" t="s">
        <v>146</v>
      </c>
      <c r="U697" t="s">
        <v>63</v>
      </c>
      <c r="V697" t="s">
        <v>45</v>
      </c>
      <c r="W697" t="str">
        <f t="shared" si="50"/>
        <v>41-50</v>
      </c>
      <c r="X697" t="str">
        <f t="shared" si="51"/>
        <v>11-20 yrs</v>
      </c>
      <c r="Y697" t="str">
        <f t="shared" si="52"/>
        <v>Nov</v>
      </c>
      <c r="Z697">
        <f t="shared" si="53"/>
        <v>2025</v>
      </c>
      <c r="AA697">
        <f t="shared" si="54"/>
        <v>0</v>
      </c>
    </row>
    <row r="698" spans="1:27" ht="15" customHeight="1" x14ac:dyDescent="0.3">
      <c r="A698" t="s">
        <v>1252</v>
      </c>
      <c r="B698" s="20">
        <v>45895</v>
      </c>
      <c r="C698" t="s">
        <v>1253</v>
      </c>
      <c r="D698" t="s">
        <v>35</v>
      </c>
      <c r="E698" s="37">
        <v>58</v>
      </c>
      <c r="F698" t="s">
        <v>49</v>
      </c>
      <c r="G698" t="s">
        <v>50</v>
      </c>
      <c r="H698" t="s">
        <v>74</v>
      </c>
      <c r="I698" t="s">
        <v>75</v>
      </c>
      <c r="J698" t="s">
        <v>76</v>
      </c>
      <c r="K698" s="37">
        <v>8</v>
      </c>
      <c r="L698" t="s">
        <v>52</v>
      </c>
      <c r="M698" s="21">
        <v>113900</v>
      </c>
      <c r="N698" s="21">
        <v>1489812</v>
      </c>
      <c r="O698" s="21">
        <v>123012</v>
      </c>
      <c r="P698" s="37">
        <v>3</v>
      </c>
      <c r="Q698" t="s">
        <v>126</v>
      </c>
      <c r="R698" s="37">
        <v>12</v>
      </c>
      <c r="S698" s="37">
        <v>20</v>
      </c>
      <c r="T698" t="s">
        <v>77</v>
      </c>
      <c r="U698" t="s">
        <v>44</v>
      </c>
      <c r="V698" t="s">
        <v>69</v>
      </c>
      <c r="W698" t="str">
        <f t="shared" si="50"/>
        <v>51-58</v>
      </c>
      <c r="X698" t="str">
        <f t="shared" si="51"/>
        <v>6-10 yrs</v>
      </c>
      <c r="Y698" t="str">
        <f t="shared" si="52"/>
        <v>Aug</v>
      </c>
      <c r="Z698">
        <f t="shared" si="53"/>
        <v>2025</v>
      </c>
      <c r="AA698">
        <f t="shared" si="54"/>
        <v>1</v>
      </c>
    </row>
    <row r="699" spans="1:27" ht="15" customHeight="1" x14ac:dyDescent="0.3">
      <c r="A699" t="s">
        <v>1254</v>
      </c>
      <c r="B699" s="20">
        <v>45667</v>
      </c>
      <c r="C699" t="s">
        <v>107</v>
      </c>
      <c r="D699" t="s">
        <v>35</v>
      </c>
      <c r="E699" s="37">
        <v>52</v>
      </c>
      <c r="F699" t="s">
        <v>86</v>
      </c>
      <c r="G699" t="s">
        <v>87</v>
      </c>
      <c r="H699" t="s">
        <v>38</v>
      </c>
      <c r="I699" t="s">
        <v>75</v>
      </c>
      <c r="J699" t="s">
        <v>190</v>
      </c>
      <c r="K699" s="37">
        <v>30</v>
      </c>
      <c r="L699" t="s">
        <v>52</v>
      </c>
      <c r="M699" s="21">
        <v>99200</v>
      </c>
      <c r="N699" s="21">
        <v>1297536</v>
      </c>
      <c r="O699" s="21">
        <v>107136</v>
      </c>
      <c r="P699" s="37">
        <v>4</v>
      </c>
      <c r="Q699" t="s">
        <v>42</v>
      </c>
      <c r="R699" s="37">
        <v>10</v>
      </c>
      <c r="S699" s="37">
        <v>28</v>
      </c>
      <c r="T699" t="s">
        <v>43</v>
      </c>
      <c r="U699" t="s">
        <v>44</v>
      </c>
      <c r="V699" t="s">
        <v>45</v>
      </c>
      <c r="W699" t="str">
        <f t="shared" si="50"/>
        <v>51-58</v>
      </c>
      <c r="X699" t="str">
        <f t="shared" si="51"/>
        <v>21-30 yrs</v>
      </c>
      <c r="Y699" t="str">
        <f t="shared" si="52"/>
        <v>Jan</v>
      </c>
      <c r="Z699">
        <f t="shared" si="53"/>
        <v>2025</v>
      </c>
      <c r="AA699">
        <f t="shared" si="54"/>
        <v>0</v>
      </c>
    </row>
    <row r="700" spans="1:27" ht="15" customHeight="1" x14ac:dyDescent="0.3">
      <c r="A700" t="s">
        <v>1255</v>
      </c>
      <c r="B700" s="20">
        <v>45975</v>
      </c>
      <c r="C700" t="s">
        <v>589</v>
      </c>
      <c r="D700" t="s">
        <v>35</v>
      </c>
      <c r="E700" s="37">
        <v>58</v>
      </c>
      <c r="F700" t="s">
        <v>123</v>
      </c>
      <c r="G700" t="s">
        <v>124</v>
      </c>
      <c r="H700" t="s">
        <v>66</v>
      </c>
      <c r="I700" t="s">
        <v>75</v>
      </c>
      <c r="J700" t="s">
        <v>67</v>
      </c>
      <c r="K700" s="37">
        <v>20</v>
      </c>
      <c r="L700" t="s">
        <v>52</v>
      </c>
      <c r="M700" s="21">
        <v>111500</v>
      </c>
      <c r="N700" s="21">
        <v>1552080</v>
      </c>
      <c r="O700" s="21">
        <v>214080</v>
      </c>
      <c r="P700" s="37">
        <v>3</v>
      </c>
      <c r="Q700" t="s">
        <v>42</v>
      </c>
      <c r="R700" s="37">
        <v>14</v>
      </c>
      <c r="S700" s="37">
        <v>16</v>
      </c>
      <c r="T700" t="s">
        <v>53</v>
      </c>
      <c r="U700" t="s">
        <v>138</v>
      </c>
      <c r="V700" t="s">
        <v>45</v>
      </c>
      <c r="W700" t="str">
        <f t="shared" si="50"/>
        <v>51-58</v>
      </c>
      <c r="X700" t="str">
        <f t="shared" si="51"/>
        <v>11-20 yrs</v>
      </c>
      <c r="Y700" t="str">
        <f t="shared" si="52"/>
        <v>Nov</v>
      </c>
      <c r="Z700">
        <f t="shared" si="53"/>
        <v>2025</v>
      </c>
      <c r="AA700">
        <f t="shared" si="54"/>
        <v>0</v>
      </c>
    </row>
    <row r="701" spans="1:27" ht="15" customHeight="1" x14ac:dyDescent="0.3">
      <c r="A701" t="s">
        <v>1256</v>
      </c>
      <c r="B701" s="20">
        <v>45691</v>
      </c>
      <c r="C701" t="s">
        <v>1257</v>
      </c>
      <c r="D701" t="s">
        <v>35</v>
      </c>
      <c r="E701" s="37">
        <v>43</v>
      </c>
      <c r="F701" t="s">
        <v>49</v>
      </c>
      <c r="G701" t="s">
        <v>50</v>
      </c>
      <c r="H701" t="s">
        <v>66</v>
      </c>
      <c r="I701" t="s">
        <v>75</v>
      </c>
      <c r="J701" t="s">
        <v>93</v>
      </c>
      <c r="K701" s="37">
        <v>3</v>
      </c>
      <c r="L701" t="s">
        <v>52</v>
      </c>
      <c r="M701" s="21">
        <v>88900</v>
      </c>
      <c r="N701" s="21">
        <v>1258824</v>
      </c>
      <c r="O701" s="21">
        <v>192024</v>
      </c>
      <c r="P701" s="37">
        <v>5</v>
      </c>
      <c r="Q701" t="s">
        <v>126</v>
      </c>
      <c r="R701" s="37">
        <v>15</v>
      </c>
      <c r="S701" s="37">
        <v>10</v>
      </c>
      <c r="T701" t="s">
        <v>129</v>
      </c>
      <c r="U701" t="s">
        <v>63</v>
      </c>
      <c r="V701" t="s">
        <v>45</v>
      </c>
      <c r="W701" t="str">
        <f t="shared" si="50"/>
        <v>41-50</v>
      </c>
      <c r="X701" t="str">
        <f t="shared" si="51"/>
        <v>0-5 yrs</v>
      </c>
      <c r="Y701" t="str">
        <f t="shared" si="52"/>
        <v>Feb</v>
      </c>
      <c r="Z701">
        <f t="shared" si="53"/>
        <v>2025</v>
      </c>
      <c r="AA701">
        <f t="shared" si="54"/>
        <v>1</v>
      </c>
    </row>
    <row r="702" spans="1:27" ht="15" customHeight="1" x14ac:dyDescent="0.3">
      <c r="A702" t="s">
        <v>1258</v>
      </c>
      <c r="B702" s="20">
        <v>45925</v>
      </c>
      <c r="C702" t="s">
        <v>1259</v>
      </c>
      <c r="D702" t="s">
        <v>48</v>
      </c>
      <c r="E702" s="37">
        <v>48</v>
      </c>
      <c r="F702" t="s">
        <v>97</v>
      </c>
      <c r="G702" t="s">
        <v>98</v>
      </c>
      <c r="H702" t="s">
        <v>66</v>
      </c>
      <c r="I702" t="s">
        <v>75</v>
      </c>
      <c r="J702" t="s">
        <v>67</v>
      </c>
      <c r="K702" s="37">
        <v>9</v>
      </c>
      <c r="L702" t="s">
        <v>41</v>
      </c>
      <c r="M702" s="21">
        <v>113500</v>
      </c>
      <c r="N702" s="21">
        <v>1443720</v>
      </c>
      <c r="O702" s="21">
        <v>81720</v>
      </c>
      <c r="P702" s="37">
        <v>4</v>
      </c>
      <c r="Q702" t="s">
        <v>126</v>
      </c>
      <c r="R702" s="37">
        <v>11</v>
      </c>
      <c r="S702" s="37">
        <v>24</v>
      </c>
      <c r="T702" t="s">
        <v>175</v>
      </c>
      <c r="U702" t="s">
        <v>44</v>
      </c>
      <c r="V702" t="s">
        <v>69</v>
      </c>
      <c r="W702" t="str">
        <f t="shared" si="50"/>
        <v>41-50</v>
      </c>
      <c r="X702" t="str">
        <f t="shared" si="51"/>
        <v>6-10 yrs</v>
      </c>
      <c r="Y702" t="str">
        <f t="shared" si="52"/>
        <v>Sep</v>
      </c>
      <c r="Z702">
        <f t="shared" si="53"/>
        <v>2025</v>
      </c>
      <c r="AA702">
        <f t="shared" si="54"/>
        <v>1</v>
      </c>
    </row>
    <row r="703" spans="1:27" ht="15" customHeight="1" x14ac:dyDescent="0.3">
      <c r="A703" t="s">
        <v>1260</v>
      </c>
      <c r="B703" s="20">
        <v>45822</v>
      </c>
      <c r="C703" t="s">
        <v>117</v>
      </c>
      <c r="D703" t="s">
        <v>35</v>
      </c>
      <c r="E703" s="37">
        <v>38</v>
      </c>
      <c r="F703" t="s">
        <v>49</v>
      </c>
      <c r="G703" t="s">
        <v>50</v>
      </c>
      <c r="H703" t="s">
        <v>66</v>
      </c>
      <c r="I703" t="s">
        <v>39</v>
      </c>
      <c r="J703" t="s">
        <v>170</v>
      </c>
      <c r="K703" s="37">
        <v>22</v>
      </c>
      <c r="L703" t="s">
        <v>52</v>
      </c>
      <c r="M703" s="21">
        <v>36900</v>
      </c>
      <c r="N703" s="21">
        <v>482652</v>
      </c>
      <c r="O703" s="21">
        <v>39852</v>
      </c>
      <c r="P703" s="37">
        <v>4</v>
      </c>
      <c r="Q703" t="s">
        <v>42</v>
      </c>
      <c r="R703" s="37">
        <v>20</v>
      </c>
      <c r="S703" s="37">
        <v>34</v>
      </c>
      <c r="T703" t="s">
        <v>146</v>
      </c>
      <c r="U703" t="s">
        <v>63</v>
      </c>
      <c r="V703" t="s">
        <v>45</v>
      </c>
      <c r="W703" t="str">
        <f t="shared" si="50"/>
        <v>31-40</v>
      </c>
      <c r="X703" t="str">
        <f t="shared" si="51"/>
        <v>21-30 yrs</v>
      </c>
      <c r="Y703" t="str">
        <f t="shared" si="52"/>
        <v>Jun</v>
      </c>
      <c r="Z703">
        <f t="shared" si="53"/>
        <v>2025</v>
      </c>
      <c r="AA703">
        <f t="shared" si="54"/>
        <v>0</v>
      </c>
    </row>
    <row r="704" spans="1:27" ht="15" customHeight="1" x14ac:dyDescent="0.3">
      <c r="A704" t="s">
        <v>1261</v>
      </c>
      <c r="B704" s="20">
        <v>45871</v>
      </c>
      <c r="C704" t="s">
        <v>1097</v>
      </c>
      <c r="D704" t="s">
        <v>35</v>
      </c>
      <c r="E704" s="37">
        <v>51</v>
      </c>
      <c r="F704" t="s">
        <v>72</v>
      </c>
      <c r="G704" t="s">
        <v>73</v>
      </c>
      <c r="H704" t="s">
        <v>38</v>
      </c>
      <c r="I704" t="s">
        <v>82</v>
      </c>
      <c r="J704" t="s">
        <v>110</v>
      </c>
      <c r="K704" s="37">
        <v>0</v>
      </c>
      <c r="L704" t="s">
        <v>52</v>
      </c>
      <c r="M704" s="21">
        <v>64600</v>
      </c>
      <c r="N704" s="21">
        <v>906984</v>
      </c>
      <c r="O704" s="21">
        <v>131784</v>
      </c>
      <c r="P704" s="37">
        <v>4</v>
      </c>
      <c r="Q704" t="s">
        <v>42</v>
      </c>
      <c r="R704" s="37">
        <v>3</v>
      </c>
      <c r="S704" s="37">
        <v>16</v>
      </c>
      <c r="T704" t="s">
        <v>146</v>
      </c>
      <c r="U704" t="s">
        <v>44</v>
      </c>
      <c r="V704" t="s">
        <v>45</v>
      </c>
      <c r="W704" t="str">
        <f t="shared" si="50"/>
        <v>51-58</v>
      </c>
      <c r="X704" t="str">
        <f t="shared" si="51"/>
        <v>0-5 yrs</v>
      </c>
      <c r="Y704" t="str">
        <f t="shared" si="52"/>
        <v>Aug</v>
      </c>
      <c r="Z704">
        <f t="shared" si="53"/>
        <v>2025</v>
      </c>
      <c r="AA704">
        <f t="shared" si="54"/>
        <v>0</v>
      </c>
    </row>
    <row r="705" spans="1:27" ht="15" customHeight="1" x14ac:dyDescent="0.3">
      <c r="A705" t="s">
        <v>1262</v>
      </c>
      <c r="B705" s="20">
        <v>45706</v>
      </c>
      <c r="C705" t="s">
        <v>1263</v>
      </c>
      <c r="D705" t="s">
        <v>35</v>
      </c>
      <c r="E705" s="37">
        <v>58</v>
      </c>
      <c r="F705" t="s">
        <v>36</v>
      </c>
      <c r="G705" t="s">
        <v>37</v>
      </c>
      <c r="H705" t="s">
        <v>59</v>
      </c>
      <c r="I705" t="s">
        <v>75</v>
      </c>
      <c r="J705" t="s">
        <v>61</v>
      </c>
      <c r="K705" s="37">
        <v>11</v>
      </c>
      <c r="L705" t="s">
        <v>52</v>
      </c>
      <c r="M705" s="21">
        <v>76100</v>
      </c>
      <c r="N705" s="21">
        <v>977124</v>
      </c>
      <c r="O705" s="21">
        <v>63924</v>
      </c>
      <c r="P705" s="37">
        <v>4</v>
      </c>
      <c r="Q705" t="s">
        <v>42</v>
      </c>
      <c r="R705" s="37">
        <v>2</v>
      </c>
      <c r="S705" s="37">
        <v>28</v>
      </c>
      <c r="T705" t="s">
        <v>43</v>
      </c>
      <c r="U705" t="s">
        <v>44</v>
      </c>
      <c r="V705" t="s">
        <v>69</v>
      </c>
      <c r="W705" t="str">
        <f t="shared" si="50"/>
        <v>51-58</v>
      </c>
      <c r="X705" t="str">
        <f t="shared" si="51"/>
        <v>11-20 yrs</v>
      </c>
      <c r="Y705" t="str">
        <f t="shared" si="52"/>
        <v>Feb</v>
      </c>
      <c r="Z705">
        <f t="shared" si="53"/>
        <v>2025</v>
      </c>
      <c r="AA705">
        <f t="shared" si="54"/>
        <v>0</v>
      </c>
    </row>
    <row r="706" spans="1:27" ht="15" customHeight="1" x14ac:dyDescent="0.3">
      <c r="A706" t="s">
        <v>1264</v>
      </c>
      <c r="B706" s="20">
        <v>45738</v>
      </c>
      <c r="C706" t="s">
        <v>670</v>
      </c>
      <c r="D706" t="s">
        <v>35</v>
      </c>
      <c r="E706" s="37">
        <v>42</v>
      </c>
      <c r="F706" t="s">
        <v>123</v>
      </c>
      <c r="G706" t="s">
        <v>124</v>
      </c>
      <c r="H706" t="s">
        <v>38</v>
      </c>
      <c r="I706" t="s">
        <v>39</v>
      </c>
      <c r="J706" t="s">
        <v>99</v>
      </c>
      <c r="K706" s="37">
        <v>14</v>
      </c>
      <c r="L706" t="s">
        <v>52</v>
      </c>
      <c r="M706" s="21">
        <v>39400</v>
      </c>
      <c r="N706" s="21">
        <v>524808</v>
      </c>
      <c r="O706" s="21">
        <v>52008</v>
      </c>
      <c r="P706" s="37">
        <v>4</v>
      </c>
      <c r="Q706" t="s">
        <v>42</v>
      </c>
      <c r="R706" s="37">
        <v>12</v>
      </c>
      <c r="S706" s="37">
        <v>5</v>
      </c>
      <c r="T706" t="s">
        <v>146</v>
      </c>
      <c r="U706" t="s">
        <v>63</v>
      </c>
      <c r="V706" t="s">
        <v>45</v>
      </c>
      <c r="W706" t="str">
        <f t="shared" ref="W706:W769" si="55">IF(E706&lt;=30,"22-30",IF(E706&lt;=40,"31-40",IF(E706&lt;=50,"41-50","51-58")))</f>
        <v>41-50</v>
      </c>
      <c r="X706" t="str">
        <f t="shared" ref="X706:X769" si="56">IF(K706&lt;=5,"0-5 yrs",IF(K706&lt;=10,"6-10 yrs",IF(K706&lt;=20,"11-20 yrs","21-30 yrs")))</f>
        <v>11-20 yrs</v>
      </c>
      <c r="Y706" t="str">
        <f t="shared" ref="Y706:Y769" si="57">TEXT(B706,"mmm")</f>
        <v>Mar</v>
      </c>
      <c r="Z706">
        <f t="shared" ref="Z706:Z769" si="58">YEAR(B706)</f>
        <v>2025</v>
      </c>
      <c r="AA706">
        <f t="shared" ref="AA706:AA769" si="59">IF(Q706="Yes",1,0)</f>
        <v>0</v>
      </c>
    </row>
    <row r="707" spans="1:27" ht="15" customHeight="1" x14ac:dyDescent="0.3">
      <c r="A707" t="s">
        <v>1265</v>
      </c>
      <c r="B707" s="20">
        <v>45780</v>
      </c>
      <c r="C707" t="s">
        <v>278</v>
      </c>
      <c r="D707" t="s">
        <v>48</v>
      </c>
      <c r="E707" s="37">
        <v>24</v>
      </c>
      <c r="F707" t="s">
        <v>49</v>
      </c>
      <c r="G707" t="s">
        <v>50</v>
      </c>
      <c r="H707" t="s">
        <v>66</v>
      </c>
      <c r="I707" t="s">
        <v>39</v>
      </c>
      <c r="J707" t="s">
        <v>67</v>
      </c>
      <c r="K707" s="37">
        <v>13</v>
      </c>
      <c r="L707" t="s">
        <v>52</v>
      </c>
      <c r="M707" s="21">
        <v>47300</v>
      </c>
      <c r="N707" s="21">
        <v>664092</v>
      </c>
      <c r="O707" s="21">
        <v>96492</v>
      </c>
      <c r="P707" s="37">
        <v>3</v>
      </c>
      <c r="Q707" t="s">
        <v>42</v>
      </c>
      <c r="R707" s="37">
        <v>5</v>
      </c>
      <c r="S707" s="37">
        <v>39</v>
      </c>
      <c r="T707" t="s">
        <v>62</v>
      </c>
      <c r="U707" t="s">
        <v>44</v>
      </c>
      <c r="V707" t="s">
        <v>69</v>
      </c>
      <c r="W707" t="str">
        <f t="shared" si="55"/>
        <v>22-30</v>
      </c>
      <c r="X707" t="str">
        <f t="shared" si="56"/>
        <v>11-20 yrs</v>
      </c>
      <c r="Y707" t="str">
        <f t="shared" si="57"/>
        <v>May</v>
      </c>
      <c r="Z707">
        <f t="shared" si="58"/>
        <v>2025</v>
      </c>
      <c r="AA707">
        <f t="shared" si="59"/>
        <v>0</v>
      </c>
    </row>
    <row r="708" spans="1:27" ht="15" customHeight="1" x14ac:dyDescent="0.3">
      <c r="A708" t="s">
        <v>1266</v>
      </c>
      <c r="B708" s="20">
        <v>45821</v>
      </c>
      <c r="C708" t="s">
        <v>1267</v>
      </c>
      <c r="D708" t="s">
        <v>35</v>
      </c>
      <c r="E708" s="37">
        <v>36</v>
      </c>
      <c r="F708" t="s">
        <v>123</v>
      </c>
      <c r="G708" t="s">
        <v>124</v>
      </c>
      <c r="H708" t="s">
        <v>66</v>
      </c>
      <c r="I708" t="s">
        <v>82</v>
      </c>
      <c r="J708" t="s">
        <v>161</v>
      </c>
      <c r="K708" s="37">
        <v>13</v>
      </c>
      <c r="L708" t="s">
        <v>52</v>
      </c>
      <c r="M708" s="21">
        <v>77300</v>
      </c>
      <c r="N708" s="21">
        <v>1001808</v>
      </c>
      <c r="O708" s="21">
        <v>74208</v>
      </c>
      <c r="P708" s="37">
        <v>4</v>
      </c>
      <c r="Q708" t="s">
        <v>126</v>
      </c>
      <c r="R708" s="37">
        <v>5</v>
      </c>
      <c r="S708" s="37">
        <v>3</v>
      </c>
      <c r="T708" t="s">
        <v>129</v>
      </c>
      <c r="U708" t="s">
        <v>44</v>
      </c>
      <c r="V708" t="s">
        <v>69</v>
      </c>
      <c r="W708" t="str">
        <f t="shared" si="55"/>
        <v>31-40</v>
      </c>
      <c r="X708" t="str">
        <f t="shared" si="56"/>
        <v>11-20 yrs</v>
      </c>
      <c r="Y708" t="str">
        <f t="shared" si="57"/>
        <v>Jun</v>
      </c>
      <c r="Z708">
        <f t="shared" si="58"/>
        <v>2025</v>
      </c>
      <c r="AA708">
        <f t="shared" si="59"/>
        <v>1</v>
      </c>
    </row>
    <row r="709" spans="1:27" ht="15" customHeight="1" x14ac:dyDescent="0.3">
      <c r="A709" t="s">
        <v>1268</v>
      </c>
      <c r="B709" s="20">
        <v>45684</v>
      </c>
      <c r="C709" t="s">
        <v>768</v>
      </c>
      <c r="D709" t="s">
        <v>35</v>
      </c>
      <c r="E709" s="37">
        <v>24</v>
      </c>
      <c r="F709" t="s">
        <v>80</v>
      </c>
      <c r="G709" t="s">
        <v>81</v>
      </c>
      <c r="H709" t="s">
        <v>59</v>
      </c>
      <c r="I709" t="s">
        <v>51</v>
      </c>
      <c r="J709" t="s">
        <v>88</v>
      </c>
      <c r="K709" s="37">
        <v>27</v>
      </c>
      <c r="L709" t="s">
        <v>52</v>
      </c>
      <c r="M709" s="21">
        <v>182700</v>
      </c>
      <c r="N709" s="21">
        <v>2587032</v>
      </c>
      <c r="O709" s="21">
        <v>394632</v>
      </c>
      <c r="P709" s="37">
        <v>5</v>
      </c>
      <c r="Q709" t="s">
        <v>42</v>
      </c>
      <c r="R709" s="37">
        <v>7</v>
      </c>
      <c r="S709" s="37">
        <v>0</v>
      </c>
      <c r="T709" t="s">
        <v>94</v>
      </c>
      <c r="U709" t="s">
        <v>54</v>
      </c>
      <c r="V709" t="s">
        <v>69</v>
      </c>
      <c r="W709" t="str">
        <f t="shared" si="55"/>
        <v>22-30</v>
      </c>
      <c r="X709" t="str">
        <f t="shared" si="56"/>
        <v>21-30 yrs</v>
      </c>
      <c r="Y709" t="str">
        <f t="shared" si="57"/>
        <v>Jan</v>
      </c>
      <c r="Z709">
        <f t="shared" si="58"/>
        <v>2025</v>
      </c>
      <c r="AA709">
        <f t="shared" si="59"/>
        <v>0</v>
      </c>
    </row>
    <row r="710" spans="1:27" ht="15" customHeight="1" x14ac:dyDescent="0.3">
      <c r="A710" t="s">
        <v>1269</v>
      </c>
      <c r="B710" s="20">
        <v>45780</v>
      </c>
      <c r="C710" t="s">
        <v>761</v>
      </c>
      <c r="D710" t="s">
        <v>35</v>
      </c>
      <c r="E710" s="37">
        <v>27</v>
      </c>
      <c r="F710" t="s">
        <v>97</v>
      </c>
      <c r="G710" t="s">
        <v>98</v>
      </c>
      <c r="H710" t="s">
        <v>74</v>
      </c>
      <c r="I710" t="s">
        <v>75</v>
      </c>
      <c r="J710" t="s">
        <v>83</v>
      </c>
      <c r="K710" s="37">
        <v>16</v>
      </c>
      <c r="L710" t="s">
        <v>52</v>
      </c>
      <c r="M710" s="21">
        <v>90300</v>
      </c>
      <c r="N710" s="21">
        <v>1289484</v>
      </c>
      <c r="O710" s="21">
        <v>205884</v>
      </c>
      <c r="P710" s="37">
        <v>4</v>
      </c>
      <c r="Q710" t="s">
        <v>42</v>
      </c>
      <c r="R710" s="37">
        <v>7</v>
      </c>
      <c r="S710" s="37">
        <v>23</v>
      </c>
      <c r="T710" t="s">
        <v>53</v>
      </c>
      <c r="U710" t="s">
        <v>44</v>
      </c>
      <c r="V710" t="s">
        <v>45</v>
      </c>
      <c r="W710" t="str">
        <f t="shared" si="55"/>
        <v>22-30</v>
      </c>
      <c r="X710" t="str">
        <f t="shared" si="56"/>
        <v>11-20 yrs</v>
      </c>
      <c r="Y710" t="str">
        <f t="shared" si="57"/>
        <v>May</v>
      </c>
      <c r="Z710">
        <f t="shared" si="58"/>
        <v>2025</v>
      </c>
      <c r="AA710">
        <f t="shared" si="59"/>
        <v>0</v>
      </c>
    </row>
    <row r="711" spans="1:27" ht="15" customHeight="1" x14ac:dyDescent="0.3">
      <c r="A711" t="s">
        <v>1270</v>
      </c>
      <c r="B711" s="20">
        <v>45939</v>
      </c>
      <c r="C711" t="s">
        <v>1271</v>
      </c>
      <c r="D711" t="s">
        <v>48</v>
      </c>
      <c r="E711" s="37">
        <v>54</v>
      </c>
      <c r="F711" t="s">
        <v>108</v>
      </c>
      <c r="G711" t="s">
        <v>109</v>
      </c>
      <c r="H711" t="s">
        <v>38</v>
      </c>
      <c r="I711" t="s">
        <v>51</v>
      </c>
      <c r="J711" t="s">
        <v>190</v>
      </c>
      <c r="K711" s="37">
        <v>0</v>
      </c>
      <c r="L711" t="s">
        <v>41</v>
      </c>
      <c r="M711" s="21">
        <v>230900</v>
      </c>
      <c r="N711" s="21">
        <v>3047880</v>
      </c>
      <c r="O711" s="21">
        <v>277080</v>
      </c>
      <c r="P711" s="37">
        <v>3</v>
      </c>
      <c r="Q711" t="s">
        <v>42</v>
      </c>
      <c r="R711" s="37">
        <v>13</v>
      </c>
      <c r="S711" s="37">
        <v>24</v>
      </c>
      <c r="T711" t="s">
        <v>175</v>
      </c>
      <c r="U711" t="s">
        <v>44</v>
      </c>
      <c r="V711" t="s">
        <v>69</v>
      </c>
      <c r="W711" t="str">
        <f t="shared" si="55"/>
        <v>51-58</v>
      </c>
      <c r="X711" t="str">
        <f t="shared" si="56"/>
        <v>0-5 yrs</v>
      </c>
      <c r="Y711" t="str">
        <f t="shared" si="57"/>
        <v>Oct</v>
      </c>
      <c r="Z711">
        <f t="shared" si="58"/>
        <v>2025</v>
      </c>
      <c r="AA711">
        <f t="shared" si="59"/>
        <v>0</v>
      </c>
    </row>
    <row r="712" spans="1:27" ht="15" customHeight="1" x14ac:dyDescent="0.3">
      <c r="A712" t="s">
        <v>1272</v>
      </c>
      <c r="B712" s="20">
        <v>45912</v>
      </c>
      <c r="C712" t="s">
        <v>311</v>
      </c>
      <c r="D712" t="s">
        <v>35</v>
      </c>
      <c r="E712" s="37">
        <v>31</v>
      </c>
      <c r="F712" t="s">
        <v>86</v>
      </c>
      <c r="G712" t="s">
        <v>87</v>
      </c>
      <c r="H712" t="s">
        <v>38</v>
      </c>
      <c r="I712" t="s">
        <v>51</v>
      </c>
      <c r="J712" t="s">
        <v>110</v>
      </c>
      <c r="K712" s="37">
        <v>26</v>
      </c>
      <c r="L712" t="s">
        <v>52</v>
      </c>
      <c r="M712" s="21">
        <v>219900</v>
      </c>
      <c r="N712" s="21">
        <v>3113784</v>
      </c>
      <c r="O712" s="21">
        <v>474984</v>
      </c>
      <c r="P712" s="37">
        <v>5</v>
      </c>
      <c r="Q712" t="s">
        <v>126</v>
      </c>
      <c r="R712" s="37">
        <v>4</v>
      </c>
      <c r="S712" s="37">
        <v>14</v>
      </c>
      <c r="T712" t="s">
        <v>94</v>
      </c>
      <c r="U712" t="s">
        <v>54</v>
      </c>
      <c r="V712" t="s">
        <v>69</v>
      </c>
      <c r="W712" t="str">
        <f t="shared" si="55"/>
        <v>31-40</v>
      </c>
      <c r="X712" t="str">
        <f t="shared" si="56"/>
        <v>21-30 yrs</v>
      </c>
      <c r="Y712" t="str">
        <f t="shared" si="57"/>
        <v>Sep</v>
      </c>
      <c r="Z712">
        <f t="shared" si="58"/>
        <v>2025</v>
      </c>
      <c r="AA712">
        <f t="shared" si="59"/>
        <v>1</v>
      </c>
    </row>
    <row r="713" spans="1:27" ht="15" customHeight="1" x14ac:dyDescent="0.3">
      <c r="A713" t="s">
        <v>1273</v>
      </c>
      <c r="B713" s="20">
        <v>45850</v>
      </c>
      <c r="C713" t="s">
        <v>443</v>
      </c>
      <c r="D713" t="s">
        <v>35</v>
      </c>
      <c r="E713" s="37">
        <v>43</v>
      </c>
      <c r="F713" t="s">
        <v>123</v>
      </c>
      <c r="G713" t="s">
        <v>124</v>
      </c>
      <c r="H713" t="s">
        <v>66</v>
      </c>
      <c r="I713" t="s">
        <v>51</v>
      </c>
      <c r="J713" t="s">
        <v>93</v>
      </c>
      <c r="K713" s="37">
        <v>15</v>
      </c>
      <c r="L713" t="s">
        <v>52</v>
      </c>
      <c r="M713" s="21">
        <v>287300</v>
      </c>
      <c r="N713" s="21">
        <v>3861312</v>
      </c>
      <c r="O713" s="21">
        <v>413712</v>
      </c>
      <c r="P713" s="37">
        <v>3</v>
      </c>
      <c r="Q713" t="s">
        <v>42</v>
      </c>
      <c r="R713" s="37">
        <v>5</v>
      </c>
      <c r="S713" s="37">
        <v>5</v>
      </c>
      <c r="T713" t="s">
        <v>43</v>
      </c>
      <c r="U713" t="s">
        <v>63</v>
      </c>
      <c r="V713" t="s">
        <v>45</v>
      </c>
      <c r="W713" t="str">
        <f t="shared" si="55"/>
        <v>41-50</v>
      </c>
      <c r="X713" t="str">
        <f t="shared" si="56"/>
        <v>11-20 yrs</v>
      </c>
      <c r="Y713" t="str">
        <f t="shared" si="57"/>
        <v>Jul</v>
      </c>
      <c r="Z713">
        <f t="shared" si="58"/>
        <v>2025</v>
      </c>
      <c r="AA713">
        <f t="shared" si="59"/>
        <v>0</v>
      </c>
    </row>
    <row r="714" spans="1:27" ht="15" customHeight="1" x14ac:dyDescent="0.3">
      <c r="A714" t="s">
        <v>1274</v>
      </c>
      <c r="B714" s="20">
        <v>45820</v>
      </c>
      <c r="C714" t="s">
        <v>1275</v>
      </c>
      <c r="D714" t="s">
        <v>35</v>
      </c>
      <c r="E714" s="37">
        <v>48</v>
      </c>
      <c r="F714" t="s">
        <v>123</v>
      </c>
      <c r="G714" t="s">
        <v>124</v>
      </c>
      <c r="H714" t="s">
        <v>74</v>
      </c>
      <c r="I714" t="s">
        <v>82</v>
      </c>
      <c r="J714" t="s">
        <v>115</v>
      </c>
      <c r="K714" s="37">
        <v>17</v>
      </c>
      <c r="L714" t="s">
        <v>52</v>
      </c>
      <c r="M714" s="21">
        <v>57200</v>
      </c>
      <c r="N714" s="21">
        <v>761904</v>
      </c>
      <c r="O714" s="21">
        <v>75504</v>
      </c>
      <c r="P714" s="37">
        <v>4</v>
      </c>
      <c r="Q714" t="s">
        <v>126</v>
      </c>
      <c r="R714" s="37">
        <v>7</v>
      </c>
      <c r="S714" s="37">
        <v>37</v>
      </c>
      <c r="T714" t="s">
        <v>175</v>
      </c>
      <c r="U714" t="s">
        <v>63</v>
      </c>
      <c r="V714" t="s">
        <v>69</v>
      </c>
      <c r="W714" t="str">
        <f t="shared" si="55"/>
        <v>41-50</v>
      </c>
      <c r="X714" t="str">
        <f t="shared" si="56"/>
        <v>11-20 yrs</v>
      </c>
      <c r="Y714" t="str">
        <f t="shared" si="57"/>
        <v>Jun</v>
      </c>
      <c r="Z714">
        <f t="shared" si="58"/>
        <v>2025</v>
      </c>
      <c r="AA714">
        <f t="shared" si="59"/>
        <v>1</v>
      </c>
    </row>
    <row r="715" spans="1:27" ht="15" customHeight="1" x14ac:dyDescent="0.3">
      <c r="A715" t="s">
        <v>1276</v>
      </c>
      <c r="B715" s="20">
        <v>45795</v>
      </c>
      <c r="C715" t="s">
        <v>1277</v>
      </c>
      <c r="D715" t="s">
        <v>35</v>
      </c>
      <c r="E715" s="37">
        <v>55</v>
      </c>
      <c r="F715" t="s">
        <v>72</v>
      </c>
      <c r="G715" t="s">
        <v>73</v>
      </c>
      <c r="H715" t="s">
        <v>38</v>
      </c>
      <c r="I715" t="s">
        <v>82</v>
      </c>
      <c r="J715" t="s">
        <v>190</v>
      </c>
      <c r="K715" s="37">
        <v>11</v>
      </c>
      <c r="L715" t="s">
        <v>52</v>
      </c>
      <c r="M715" s="21">
        <v>56000</v>
      </c>
      <c r="N715" s="21">
        <v>779520</v>
      </c>
      <c r="O715" s="21">
        <v>107520</v>
      </c>
      <c r="P715" s="37">
        <v>5</v>
      </c>
      <c r="Q715" t="s">
        <v>42</v>
      </c>
      <c r="R715" s="37">
        <v>19</v>
      </c>
      <c r="S715" s="37">
        <v>37</v>
      </c>
      <c r="T715" t="s">
        <v>175</v>
      </c>
      <c r="U715" t="s">
        <v>63</v>
      </c>
      <c r="V715" t="s">
        <v>45</v>
      </c>
      <c r="W715" t="str">
        <f t="shared" si="55"/>
        <v>51-58</v>
      </c>
      <c r="X715" t="str">
        <f t="shared" si="56"/>
        <v>11-20 yrs</v>
      </c>
      <c r="Y715" t="str">
        <f t="shared" si="57"/>
        <v>May</v>
      </c>
      <c r="Z715">
        <f t="shared" si="58"/>
        <v>2025</v>
      </c>
      <c r="AA715">
        <f t="shared" si="59"/>
        <v>0</v>
      </c>
    </row>
    <row r="716" spans="1:27" ht="15" customHeight="1" x14ac:dyDescent="0.3">
      <c r="A716" t="s">
        <v>1278</v>
      </c>
      <c r="B716" s="20">
        <v>45915</v>
      </c>
      <c r="C716" t="s">
        <v>1279</v>
      </c>
      <c r="D716" t="s">
        <v>48</v>
      </c>
      <c r="E716" s="37">
        <v>22</v>
      </c>
      <c r="F716" t="s">
        <v>91</v>
      </c>
      <c r="G716" t="s">
        <v>92</v>
      </c>
      <c r="H716" t="s">
        <v>118</v>
      </c>
      <c r="I716" t="s">
        <v>75</v>
      </c>
      <c r="J716" t="s">
        <v>137</v>
      </c>
      <c r="K716" s="37">
        <v>20</v>
      </c>
      <c r="L716" t="s">
        <v>120</v>
      </c>
      <c r="M716" s="21">
        <v>91500</v>
      </c>
      <c r="N716" s="21">
        <v>1163880</v>
      </c>
      <c r="O716" s="21">
        <v>65880</v>
      </c>
      <c r="P716" s="37">
        <v>2</v>
      </c>
      <c r="Q716" t="s">
        <v>42</v>
      </c>
      <c r="R716" s="37">
        <v>1</v>
      </c>
      <c r="S716" s="37">
        <v>18</v>
      </c>
      <c r="T716" t="s">
        <v>53</v>
      </c>
      <c r="U716" t="s">
        <v>44</v>
      </c>
      <c r="V716" t="s">
        <v>69</v>
      </c>
      <c r="W716" t="str">
        <f t="shared" si="55"/>
        <v>22-30</v>
      </c>
      <c r="X716" t="str">
        <f t="shared" si="56"/>
        <v>11-20 yrs</v>
      </c>
      <c r="Y716" t="str">
        <f t="shared" si="57"/>
        <v>Sep</v>
      </c>
      <c r="Z716">
        <f t="shared" si="58"/>
        <v>2025</v>
      </c>
      <c r="AA716">
        <f t="shared" si="59"/>
        <v>0</v>
      </c>
    </row>
    <row r="717" spans="1:27" ht="15" customHeight="1" x14ac:dyDescent="0.3">
      <c r="A717" t="s">
        <v>1280</v>
      </c>
      <c r="B717" s="20">
        <v>45691</v>
      </c>
      <c r="C717" t="s">
        <v>1281</v>
      </c>
      <c r="D717" t="s">
        <v>48</v>
      </c>
      <c r="E717" s="37">
        <v>36</v>
      </c>
      <c r="F717" t="s">
        <v>123</v>
      </c>
      <c r="G717" t="s">
        <v>124</v>
      </c>
      <c r="H717" t="s">
        <v>38</v>
      </c>
      <c r="I717" t="s">
        <v>60</v>
      </c>
      <c r="J717" t="s">
        <v>40</v>
      </c>
      <c r="K717" s="37">
        <v>21</v>
      </c>
      <c r="L717" t="s">
        <v>52</v>
      </c>
      <c r="M717" s="21">
        <v>116200</v>
      </c>
      <c r="N717" s="21">
        <v>1547784</v>
      </c>
      <c r="O717" s="21">
        <v>153384</v>
      </c>
      <c r="P717" s="37">
        <v>5</v>
      </c>
      <c r="Q717" t="s">
        <v>42</v>
      </c>
      <c r="R717" s="37">
        <v>3</v>
      </c>
      <c r="S717" s="37">
        <v>35</v>
      </c>
      <c r="T717" t="s">
        <v>129</v>
      </c>
      <c r="U717" t="s">
        <v>44</v>
      </c>
      <c r="V717" t="s">
        <v>45</v>
      </c>
      <c r="W717" t="str">
        <f t="shared" si="55"/>
        <v>31-40</v>
      </c>
      <c r="X717" t="str">
        <f t="shared" si="56"/>
        <v>21-30 yrs</v>
      </c>
      <c r="Y717" t="str">
        <f t="shared" si="57"/>
        <v>Feb</v>
      </c>
      <c r="Z717">
        <f t="shared" si="58"/>
        <v>2025</v>
      </c>
      <c r="AA717">
        <f t="shared" si="59"/>
        <v>0</v>
      </c>
    </row>
    <row r="718" spans="1:27" ht="15" customHeight="1" x14ac:dyDescent="0.3">
      <c r="A718" t="s">
        <v>1282</v>
      </c>
      <c r="B718" s="20">
        <v>45948</v>
      </c>
      <c r="C718" t="s">
        <v>849</v>
      </c>
      <c r="D718" t="s">
        <v>48</v>
      </c>
      <c r="E718" s="37">
        <v>24</v>
      </c>
      <c r="F718" t="s">
        <v>91</v>
      </c>
      <c r="G718" t="s">
        <v>92</v>
      </c>
      <c r="H718" t="s">
        <v>38</v>
      </c>
      <c r="I718" t="s">
        <v>39</v>
      </c>
      <c r="J718" t="s">
        <v>190</v>
      </c>
      <c r="K718" s="37">
        <v>2</v>
      </c>
      <c r="L718" t="s">
        <v>52</v>
      </c>
      <c r="M718" s="21">
        <v>32200</v>
      </c>
      <c r="N718" s="21">
        <v>459816</v>
      </c>
      <c r="O718" s="21">
        <v>73416</v>
      </c>
      <c r="P718" s="37">
        <v>4</v>
      </c>
      <c r="Q718" t="s">
        <v>42</v>
      </c>
      <c r="R718" s="37">
        <v>15</v>
      </c>
      <c r="S718" s="37">
        <v>21</v>
      </c>
      <c r="T718" t="s">
        <v>53</v>
      </c>
      <c r="U718" t="s">
        <v>54</v>
      </c>
      <c r="V718" t="s">
        <v>45</v>
      </c>
      <c r="W718" t="str">
        <f t="shared" si="55"/>
        <v>22-30</v>
      </c>
      <c r="X718" t="str">
        <f t="shared" si="56"/>
        <v>0-5 yrs</v>
      </c>
      <c r="Y718" t="str">
        <f t="shared" si="57"/>
        <v>Oct</v>
      </c>
      <c r="Z718">
        <f t="shared" si="58"/>
        <v>2025</v>
      </c>
      <c r="AA718">
        <f t="shared" si="59"/>
        <v>0</v>
      </c>
    </row>
    <row r="719" spans="1:27" ht="15" customHeight="1" x14ac:dyDescent="0.3">
      <c r="A719" t="s">
        <v>1283</v>
      </c>
      <c r="B719" s="20">
        <v>45765</v>
      </c>
      <c r="C719" t="s">
        <v>1146</v>
      </c>
      <c r="D719" t="s">
        <v>48</v>
      </c>
      <c r="E719" s="37">
        <v>39</v>
      </c>
      <c r="F719" t="s">
        <v>97</v>
      </c>
      <c r="G719" t="s">
        <v>98</v>
      </c>
      <c r="H719" t="s">
        <v>66</v>
      </c>
      <c r="I719" t="s">
        <v>39</v>
      </c>
      <c r="J719" t="s">
        <v>93</v>
      </c>
      <c r="K719" s="37">
        <v>1</v>
      </c>
      <c r="L719" t="s">
        <v>52</v>
      </c>
      <c r="M719" s="21">
        <v>45100</v>
      </c>
      <c r="N719" s="21">
        <v>589908</v>
      </c>
      <c r="O719" s="21">
        <v>48708</v>
      </c>
      <c r="P719" s="37">
        <v>4</v>
      </c>
      <c r="Q719" t="s">
        <v>42</v>
      </c>
      <c r="R719" s="37">
        <v>8</v>
      </c>
      <c r="S719" s="37">
        <v>30</v>
      </c>
      <c r="T719" t="s">
        <v>94</v>
      </c>
      <c r="U719" t="s">
        <v>63</v>
      </c>
      <c r="V719" t="s">
        <v>45</v>
      </c>
      <c r="W719" t="str">
        <f t="shared" si="55"/>
        <v>31-40</v>
      </c>
      <c r="X719" t="str">
        <f t="shared" si="56"/>
        <v>0-5 yrs</v>
      </c>
      <c r="Y719" t="str">
        <f t="shared" si="57"/>
        <v>Apr</v>
      </c>
      <c r="Z719">
        <f t="shared" si="58"/>
        <v>2025</v>
      </c>
      <c r="AA719">
        <f t="shared" si="59"/>
        <v>0</v>
      </c>
    </row>
    <row r="720" spans="1:27" ht="15" customHeight="1" x14ac:dyDescent="0.3">
      <c r="A720" t="s">
        <v>1284</v>
      </c>
      <c r="B720" s="20">
        <v>46006</v>
      </c>
      <c r="C720" t="s">
        <v>1285</v>
      </c>
      <c r="D720" t="s">
        <v>48</v>
      </c>
      <c r="E720" s="37">
        <v>44</v>
      </c>
      <c r="F720" t="s">
        <v>123</v>
      </c>
      <c r="G720" t="s">
        <v>124</v>
      </c>
      <c r="H720" t="s">
        <v>118</v>
      </c>
      <c r="I720" t="s">
        <v>82</v>
      </c>
      <c r="J720" t="s">
        <v>219</v>
      </c>
      <c r="K720" s="37">
        <v>11</v>
      </c>
      <c r="L720" t="s">
        <v>52</v>
      </c>
      <c r="M720" s="21">
        <v>48100</v>
      </c>
      <c r="N720" s="21">
        <v>652235</v>
      </c>
      <c r="O720" s="21">
        <v>75036</v>
      </c>
      <c r="P720" s="37">
        <v>5</v>
      </c>
      <c r="Q720" t="s">
        <v>42</v>
      </c>
      <c r="R720" s="37">
        <v>7</v>
      </c>
      <c r="S720" s="37">
        <v>2</v>
      </c>
      <c r="T720" t="s">
        <v>43</v>
      </c>
      <c r="U720" t="s">
        <v>44</v>
      </c>
      <c r="V720" t="s">
        <v>69</v>
      </c>
      <c r="W720" t="str">
        <f t="shared" si="55"/>
        <v>41-50</v>
      </c>
      <c r="X720" t="str">
        <f t="shared" si="56"/>
        <v>11-20 yrs</v>
      </c>
      <c r="Y720" t="str">
        <f t="shared" si="57"/>
        <v>Dec</v>
      </c>
      <c r="Z720">
        <f t="shared" si="58"/>
        <v>2025</v>
      </c>
      <c r="AA720">
        <f t="shared" si="59"/>
        <v>0</v>
      </c>
    </row>
    <row r="721" spans="1:27" ht="15" customHeight="1" x14ac:dyDescent="0.3">
      <c r="A721" t="s">
        <v>1286</v>
      </c>
      <c r="B721" s="20">
        <v>45690</v>
      </c>
      <c r="C721" t="s">
        <v>1287</v>
      </c>
      <c r="D721" t="s">
        <v>35</v>
      </c>
      <c r="E721" s="37">
        <v>47</v>
      </c>
      <c r="F721" t="s">
        <v>123</v>
      </c>
      <c r="G721" t="s">
        <v>124</v>
      </c>
      <c r="H721" t="s">
        <v>74</v>
      </c>
      <c r="I721" t="s">
        <v>51</v>
      </c>
      <c r="J721" t="s">
        <v>76</v>
      </c>
      <c r="K721" s="37">
        <v>17</v>
      </c>
      <c r="L721" t="s">
        <v>52</v>
      </c>
      <c r="M721" s="21">
        <v>200700</v>
      </c>
      <c r="N721" s="21">
        <v>2673324</v>
      </c>
      <c r="O721" s="21">
        <v>264924</v>
      </c>
      <c r="P721" s="37">
        <v>4</v>
      </c>
      <c r="Q721" t="s">
        <v>42</v>
      </c>
      <c r="R721" s="37">
        <v>16</v>
      </c>
      <c r="S721" s="37">
        <v>23</v>
      </c>
      <c r="T721" t="s">
        <v>129</v>
      </c>
      <c r="U721" t="s">
        <v>63</v>
      </c>
      <c r="V721" t="s">
        <v>45</v>
      </c>
      <c r="W721" t="str">
        <f t="shared" si="55"/>
        <v>41-50</v>
      </c>
      <c r="X721" t="str">
        <f t="shared" si="56"/>
        <v>11-20 yrs</v>
      </c>
      <c r="Y721" t="str">
        <f t="shared" si="57"/>
        <v>Feb</v>
      </c>
      <c r="Z721">
        <f t="shared" si="58"/>
        <v>2025</v>
      </c>
      <c r="AA721">
        <f t="shared" si="59"/>
        <v>0</v>
      </c>
    </row>
    <row r="722" spans="1:27" ht="15" customHeight="1" x14ac:dyDescent="0.3">
      <c r="A722" t="s">
        <v>1288</v>
      </c>
      <c r="B722" s="20">
        <v>45871</v>
      </c>
      <c r="C722" t="s">
        <v>929</v>
      </c>
      <c r="D722" t="s">
        <v>48</v>
      </c>
      <c r="E722" s="37">
        <v>28</v>
      </c>
      <c r="F722" t="s">
        <v>49</v>
      </c>
      <c r="G722" t="s">
        <v>50</v>
      </c>
      <c r="H722" t="s">
        <v>38</v>
      </c>
      <c r="I722" t="s">
        <v>82</v>
      </c>
      <c r="J722" t="s">
        <v>190</v>
      </c>
      <c r="K722" s="37">
        <v>26</v>
      </c>
      <c r="L722" t="s">
        <v>52</v>
      </c>
      <c r="M722" s="21">
        <v>48900</v>
      </c>
      <c r="N722" s="21">
        <v>680688</v>
      </c>
      <c r="O722" s="21">
        <v>93888</v>
      </c>
      <c r="P722" s="37">
        <v>4</v>
      </c>
      <c r="Q722" t="s">
        <v>42</v>
      </c>
      <c r="R722" s="37">
        <v>13</v>
      </c>
      <c r="S722" s="37">
        <v>13</v>
      </c>
      <c r="T722" t="s">
        <v>53</v>
      </c>
      <c r="U722" t="s">
        <v>44</v>
      </c>
      <c r="V722" t="s">
        <v>69</v>
      </c>
      <c r="W722" t="str">
        <f t="shared" si="55"/>
        <v>22-30</v>
      </c>
      <c r="X722" t="str">
        <f t="shared" si="56"/>
        <v>21-30 yrs</v>
      </c>
      <c r="Y722" t="str">
        <f t="shared" si="57"/>
        <v>Aug</v>
      </c>
      <c r="Z722">
        <f t="shared" si="58"/>
        <v>2025</v>
      </c>
      <c r="AA722">
        <f t="shared" si="59"/>
        <v>0</v>
      </c>
    </row>
    <row r="723" spans="1:27" ht="15" customHeight="1" x14ac:dyDescent="0.3">
      <c r="A723" t="s">
        <v>1289</v>
      </c>
      <c r="B723" s="20">
        <v>45730</v>
      </c>
      <c r="C723" t="s">
        <v>751</v>
      </c>
      <c r="D723" t="s">
        <v>35</v>
      </c>
      <c r="E723" s="37">
        <v>45</v>
      </c>
      <c r="F723" t="s">
        <v>80</v>
      </c>
      <c r="G723" t="s">
        <v>81</v>
      </c>
      <c r="H723" t="s">
        <v>66</v>
      </c>
      <c r="I723" t="s">
        <v>82</v>
      </c>
      <c r="J723" t="s">
        <v>149</v>
      </c>
      <c r="K723" s="37">
        <v>21</v>
      </c>
      <c r="L723" t="s">
        <v>52</v>
      </c>
      <c r="M723" s="21">
        <v>63200</v>
      </c>
      <c r="N723" s="21">
        <v>856991</v>
      </c>
      <c r="O723" s="21">
        <v>98592</v>
      </c>
      <c r="P723" s="37">
        <v>5</v>
      </c>
      <c r="Q723" t="s">
        <v>126</v>
      </c>
      <c r="R723" s="37">
        <v>18</v>
      </c>
      <c r="S723" s="37">
        <v>6</v>
      </c>
      <c r="T723" t="s">
        <v>68</v>
      </c>
      <c r="U723" t="s">
        <v>44</v>
      </c>
      <c r="V723" t="s">
        <v>45</v>
      </c>
      <c r="W723" t="str">
        <f t="shared" si="55"/>
        <v>41-50</v>
      </c>
      <c r="X723" t="str">
        <f t="shared" si="56"/>
        <v>21-30 yrs</v>
      </c>
      <c r="Y723" t="str">
        <f t="shared" si="57"/>
        <v>Mar</v>
      </c>
      <c r="Z723">
        <f t="shared" si="58"/>
        <v>2025</v>
      </c>
      <c r="AA723">
        <f t="shared" si="59"/>
        <v>1</v>
      </c>
    </row>
    <row r="724" spans="1:27" ht="15" customHeight="1" x14ac:dyDescent="0.3">
      <c r="A724" t="s">
        <v>1290</v>
      </c>
      <c r="B724" s="20">
        <v>45803</v>
      </c>
      <c r="C724" t="s">
        <v>1291</v>
      </c>
      <c r="D724" t="s">
        <v>35</v>
      </c>
      <c r="E724" s="37">
        <v>34</v>
      </c>
      <c r="F724" t="s">
        <v>123</v>
      </c>
      <c r="G724" t="s">
        <v>124</v>
      </c>
      <c r="H724" t="s">
        <v>66</v>
      </c>
      <c r="I724" t="s">
        <v>82</v>
      </c>
      <c r="J724" t="s">
        <v>170</v>
      </c>
      <c r="K724" s="37">
        <v>22</v>
      </c>
      <c r="L724" t="s">
        <v>52</v>
      </c>
      <c r="M724" s="21">
        <v>54800</v>
      </c>
      <c r="N724" s="21">
        <v>697056</v>
      </c>
      <c r="O724" s="21">
        <v>39456</v>
      </c>
      <c r="P724" s="37">
        <v>4</v>
      </c>
      <c r="Q724" t="s">
        <v>126</v>
      </c>
      <c r="R724" s="37">
        <v>6</v>
      </c>
      <c r="S724" s="37">
        <v>17</v>
      </c>
      <c r="T724" t="s">
        <v>62</v>
      </c>
      <c r="U724" t="s">
        <v>44</v>
      </c>
      <c r="V724" t="s">
        <v>45</v>
      </c>
      <c r="W724" t="str">
        <f t="shared" si="55"/>
        <v>31-40</v>
      </c>
      <c r="X724" t="str">
        <f t="shared" si="56"/>
        <v>21-30 yrs</v>
      </c>
      <c r="Y724" t="str">
        <f t="shared" si="57"/>
        <v>May</v>
      </c>
      <c r="Z724">
        <f t="shared" si="58"/>
        <v>2025</v>
      </c>
      <c r="AA724">
        <f t="shared" si="59"/>
        <v>1</v>
      </c>
    </row>
    <row r="725" spans="1:27" ht="15" customHeight="1" x14ac:dyDescent="0.3">
      <c r="A725" t="s">
        <v>1292</v>
      </c>
      <c r="B725" s="20">
        <v>45681</v>
      </c>
      <c r="C725" t="s">
        <v>1293</v>
      </c>
      <c r="D725" t="s">
        <v>48</v>
      </c>
      <c r="E725" s="37">
        <v>26</v>
      </c>
      <c r="F725" t="s">
        <v>108</v>
      </c>
      <c r="G725" t="s">
        <v>109</v>
      </c>
      <c r="H725" t="s">
        <v>118</v>
      </c>
      <c r="I725" t="s">
        <v>60</v>
      </c>
      <c r="J725" t="s">
        <v>219</v>
      </c>
      <c r="K725" s="37">
        <v>18</v>
      </c>
      <c r="L725" t="s">
        <v>41</v>
      </c>
      <c r="M725" s="21">
        <v>108200</v>
      </c>
      <c r="N725" s="21">
        <v>1545096</v>
      </c>
      <c r="O725" s="21">
        <v>246696</v>
      </c>
      <c r="P725" s="37">
        <v>3</v>
      </c>
      <c r="Q725" t="s">
        <v>42</v>
      </c>
      <c r="R725" s="37">
        <v>14</v>
      </c>
      <c r="S725" s="37">
        <v>33</v>
      </c>
      <c r="T725" t="s">
        <v>129</v>
      </c>
      <c r="U725" t="s">
        <v>63</v>
      </c>
      <c r="V725" t="s">
        <v>45</v>
      </c>
      <c r="W725" t="str">
        <f t="shared" si="55"/>
        <v>22-30</v>
      </c>
      <c r="X725" t="str">
        <f t="shared" si="56"/>
        <v>11-20 yrs</v>
      </c>
      <c r="Y725" t="str">
        <f t="shared" si="57"/>
        <v>Jan</v>
      </c>
      <c r="Z725">
        <f t="shared" si="58"/>
        <v>2025</v>
      </c>
      <c r="AA725">
        <f t="shared" si="59"/>
        <v>0</v>
      </c>
    </row>
    <row r="726" spans="1:27" ht="15" customHeight="1" x14ac:dyDescent="0.3">
      <c r="A726" t="s">
        <v>1294</v>
      </c>
      <c r="B726" s="20">
        <v>45956</v>
      </c>
      <c r="C726" t="s">
        <v>737</v>
      </c>
      <c r="D726" t="s">
        <v>35</v>
      </c>
      <c r="E726" s="37">
        <v>58</v>
      </c>
      <c r="F726" t="s">
        <v>108</v>
      </c>
      <c r="G726" t="s">
        <v>109</v>
      </c>
      <c r="H726" t="s">
        <v>66</v>
      </c>
      <c r="I726" t="s">
        <v>39</v>
      </c>
      <c r="J726" t="s">
        <v>93</v>
      </c>
      <c r="K726" s="37">
        <v>26</v>
      </c>
      <c r="L726" t="s">
        <v>52</v>
      </c>
      <c r="M726" s="21">
        <v>36200</v>
      </c>
      <c r="N726" s="21">
        <v>516936</v>
      </c>
      <c r="O726" s="21">
        <v>82536</v>
      </c>
      <c r="P726" s="37">
        <v>3</v>
      </c>
      <c r="Q726" t="s">
        <v>42</v>
      </c>
      <c r="R726" s="37">
        <v>7</v>
      </c>
      <c r="S726" s="37">
        <v>6</v>
      </c>
      <c r="T726" t="s">
        <v>105</v>
      </c>
      <c r="U726" t="s">
        <v>44</v>
      </c>
      <c r="V726" t="s">
        <v>69</v>
      </c>
      <c r="W726" t="str">
        <f t="shared" si="55"/>
        <v>51-58</v>
      </c>
      <c r="X726" t="str">
        <f t="shared" si="56"/>
        <v>21-30 yrs</v>
      </c>
      <c r="Y726" t="str">
        <f t="shared" si="57"/>
        <v>Oct</v>
      </c>
      <c r="Z726">
        <f t="shared" si="58"/>
        <v>2025</v>
      </c>
      <c r="AA726">
        <f t="shared" si="59"/>
        <v>0</v>
      </c>
    </row>
    <row r="727" spans="1:27" ht="15" customHeight="1" x14ac:dyDescent="0.3">
      <c r="A727" t="s">
        <v>1295</v>
      </c>
      <c r="B727" s="20">
        <v>45799</v>
      </c>
      <c r="C727" t="s">
        <v>1296</v>
      </c>
      <c r="D727" t="s">
        <v>35</v>
      </c>
      <c r="E727" s="37">
        <v>39</v>
      </c>
      <c r="F727" t="s">
        <v>57</v>
      </c>
      <c r="G727" t="s">
        <v>58</v>
      </c>
      <c r="H727" t="s">
        <v>66</v>
      </c>
      <c r="I727" t="s">
        <v>82</v>
      </c>
      <c r="J727" t="s">
        <v>161</v>
      </c>
      <c r="K727" s="37">
        <v>29</v>
      </c>
      <c r="L727" t="s">
        <v>52</v>
      </c>
      <c r="M727" s="21">
        <v>63500</v>
      </c>
      <c r="N727" s="21">
        <v>868680</v>
      </c>
      <c r="O727" s="21">
        <v>106680</v>
      </c>
      <c r="P727" s="37">
        <v>4</v>
      </c>
      <c r="Q727" t="s">
        <v>42</v>
      </c>
      <c r="R727" s="37">
        <v>13</v>
      </c>
      <c r="S727" s="37">
        <v>37</v>
      </c>
      <c r="T727" t="s">
        <v>43</v>
      </c>
      <c r="U727" t="s">
        <v>63</v>
      </c>
      <c r="V727" t="s">
        <v>45</v>
      </c>
      <c r="W727" t="str">
        <f t="shared" si="55"/>
        <v>31-40</v>
      </c>
      <c r="X727" t="str">
        <f t="shared" si="56"/>
        <v>21-30 yrs</v>
      </c>
      <c r="Y727" t="str">
        <f t="shared" si="57"/>
        <v>May</v>
      </c>
      <c r="Z727">
        <f t="shared" si="58"/>
        <v>2025</v>
      </c>
      <c r="AA727">
        <f t="shared" si="59"/>
        <v>0</v>
      </c>
    </row>
    <row r="728" spans="1:27" ht="15" customHeight="1" x14ac:dyDescent="0.3">
      <c r="A728" t="s">
        <v>1297</v>
      </c>
      <c r="B728" s="20">
        <v>45736</v>
      </c>
      <c r="C728" t="s">
        <v>796</v>
      </c>
      <c r="D728" t="s">
        <v>35</v>
      </c>
      <c r="E728" s="37">
        <v>35</v>
      </c>
      <c r="F728" t="s">
        <v>91</v>
      </c>
      <c r="G728" t="s">
        <v>92</v>
      </c>
      <c r="H728" t="s">
        <v>66</v>
      </c>
      <c r="I728" t="s">
        <v>82</v>
      </c>
      <c r="J728" t="s">
        <v>67</v>
      </c>
      <c r="K728" s="37">
        <v>5</v>
      </c>
      <c r="L728" t="s">
        <v>52</v>
      </c>
      <c r="M728" s="21">
        <v>61700</v>
      </c>
      <c r="N728" s="21">
        <v>881076</v>
      </c>
      <c r="O728" s="21">
        <v>140676</v>
      </c>
      <c r="P728" s="37">
        <v>3</v>
      </c>
      <c r="Q728" t="s">
        <v>42</v>
      </c>
      <c r="R728" s="37">
        <v>16</v>
      </c>
      <c r="S728" s="37">
        <v>37</v>
      </c>
      <c r="T728" t="s">
        <v>68</v>
      </c>
      <c r="U728" t="s">
        <v>63</v>
      </c>
      <c r="V728" t="s">
        <v>69</v>
      </c>
      <c r="W728" t="str">
        <f t="shared" si="55"/>
        <v>31-40</v>
      </c>
      <c r="X728" t="str">
        <f t="shared" si="56"/>
        <v>0-5 yrs</v>
      </c>
      <c r="Y728" t="str">
        <f t="shared" si="57"/>
        <v>Mar</v>
      </c>
      <c r="Z728">
        <f t="shared" si="58"/>
        <v>2025</v>
      </c>
      <c r="AA728">
        <f t="shared" si="59"/>
        <v>0</v>
      </c>
    </row>
    <row r="729" spans="1:27" ht="15" customHeight="1" x14ac:dyDescent="0.3">
      <c r="A729" t="s">
        <v>1298</v>
      </c>
      <c r="B729" s="20">
        <v>45940</v>
      </c>
      <c r="C729" t="s">
        <v>208</v>
      </c>
      <c r="D729" t="s">
        <v>35</v>
      </c>
      <c r="E729" s="37">
        <v>34</v>
      </c>
      <c r="F729" t="s">
        <v>123</v>
      </c>
      <c r="G729" t="s">
        <v>124</v>
      </c>
      <c r="H729" t="s">
        <v>59</v>
      </c>
      <c r="I729" t="s">
        <v>39</v>
      </c>
      <c r="J729" t="s">
        <v>104</v>
      </c>
      <c r="K729" s="37">
        <v>15</v>
      </c>
      <c r="L729" t="s">
        <v>120</v>
      </c>
      <c r="M729" s="21">
        <v>27700</v>
      </c>
      <c r="N729" s="21">
        <v>372288</v>
      </c>
      <c r="O729" s="21">
        <v>39888</v>
      </c>
      <c r="P729" s="37">
        <v>3</v>
      </c>
      <c r="Q729" t="s">
        <v>42</v>
      </c>
      <c r="R729" s="37">
        <v>1</v>
      </c>
      <c r="S729" s="37">
        <v>14</v>
      </c>
      <c r="T729" t="s">
        <v>68</v>
      </c>
      <c r="U729" t="s">
        <v>63</v>
      </c>
      <c r="V729" t="s">
        <v>69</v>
      </c>
      <c r="W729" t="str">
        <f t="shared" si="55"/>
        <v>31-40</v>
      </c>
      <c r="X729" t="str">
        <f t="shared" si="56"/>
        <v>11-20 yrs</v>
      </c>
      <c r="Y729" t="str">
        <f t="shared" si="57"/>
        <v>Oct</v>
      </c>
      <c r="Z729">
        <f t="shared" si="58"/>
        <v>2025</v>
      </c>
      <c r="AA729">
        <f t="shared" si="59"/>
        <v>0</v>
      </c>
    </row>
    <row r="730" spans="1:27" ht="15" customHeight="1" x14ac:dyDescent="0.3">
      <c r="A730" t="s">
        <v>1299</v>
      </c>
      <c r="B730" s="20">
        <v>45700</v>
      </c>
      <c r="C730" t="s">
        <v>1300</v>
      </c>
      <c r="D730" t="s">
        <v>48</v>
      </c>
      <c r="E730" s="37">
        <v>54</v>
      </c>
      <c r="F730" t="s">
        <v>123</v>
      </c>
      <c r="G730" t="s">
        <v>124</v>
      </c>
      <c r="H730" t="s">
        <v>66</v>
      </c>
      <c r="I730" t="s">
        <v>39</v>
      </c>
      <c r="J730" t="s">
        <v>93</v>
      </c>
      <c r="K730" s="37">
        <v>22</v>
      </c>
      <c r="L730" t="s">
        <v>41</v>
      </c>
      <c r="M730" s="21">
        <v>43900</v>
      </c>
      <c r="N730" s="21">
        <v>563676</v>
      </c>
      <c r="O730" s="21">
        <v>36876</v>
      </c>
      <c r="P730" s="37">
        <v>4</v>
      </c>
      <c r="Q730" t="s">
        <v>42</v>
      </c>
      <c r="R730" s="37">
        <v>1</v>
      </c>
      <c r="S730" s="37">
        <v>39</v>
      </c>
      <c r="T730" t="s">
        <v>77</v>
      </c>
      <c r="U730" t="s">
        <v>44</v>
      </c>
      <c r="V730" t="s">
        <v>45</v>
      </c>
      <c r="W730" t="str">
        <f t="shared" si="55"/>
        <v>51-58</v>
      </c>
      <c r="X730" t="str">
        <f t="shared" si="56"/>
        <v>21-30 yrs</v>
      </c>
      <c r="Y730" t="str">
        <f t="shared" si="57"/>
        <v>Feb</v>
      </c>
      <c r="Z730">
        <f t="shared" si="58"/>
        <v>2025</v>
      </c>
      <c r="AA730">
        <f t="shared" si="59"/>
        <v>0</v>
      </c>
    </row>
    <row r="731" spans="1:27" ht="15" customHeight="1" x14ac:dyDescent="0.3">
      <c r="A731" t="s">
        <v>1301</v>
      </c>
      <c r="B731" s="20">
        <v>45844</v>
      </c>
      <c r="C731" t="s">
        <v>1300</v>
      </c>
      <c r="D731" t="s">
        <v>48</v>
      </c>
      <c r="E731" s="37">
        <v>38</v>
      </c>
      <c r="F731" t="s">
        <v>86</v>
      </c>
      <c r="G731" t="s">
        <v>87</v>
      </c>
      <c r="H731" t="s">
        <v>74</v>
      </c>
      <c r="I731" t="s">
        <v>75</v>
      </c>
      <c r="J731" t="s">
        <v>76</v>
      </c>
      <c r="K731" s="37">
        <v>15</v>
      </c>
      <c r="L731" t="s">
        <v>52</v>
      </c>
      <c r="M731" s="21">
        <v>88000</v>
      </c>
      <c r="N731" s="21">
        <v>1193280</v>
      </c>
      <c r="O731" s="21">
        <v>137280</v>
      </c>
      <c r="P731" s="37">
        <v>3</v>
      </c>
      <c r="Q731" t="s">
        <v>42</v>
      </c>
      <c r="R731" s="37">
        <v>10</v>
      </c>
      <c r="S731" s="37">
        <v>17</v>
      </c>
      <c r="T731" t="s">
        <v>43</v>
      </c>
      <c r="U731" t="s">
        <v>54</v>
      </c>
      <c r="V731" t="s">
        <v>45</v>
      </c>
      <c r="W731" t="str">
        <f t="shared" si="55"/>
        <v>31-40</v>
      </c>
      <c r="X731" t="str">
        <f t="shared" si="56"/>
        <v>11-20 yrs</v>
      </c>
      <c r="Y731" t="str">
        <f t="shared" si="57"/>
        <v>Jul</v>
      </c>
      <c r="Z731">
        <f t="shared" si="58"/>
        <v>2025</v>
      </c>
      <c r="AA731">
        <f t="shared" si="59"/>
        <v>0</v>
      </c>
    </row>
    <row r="732" spans="1:27" ht="15" customHeight="1" x14ac:dyDescent="0.3">
      <c r="A732" t="s">
        <v>1302</v>
      </c>
      <c r="B732" s="20">
        <v>45739</v>
      </c>
      <c r="C732" t="s">
        <v>425</v>
      </c>
      <c r="D732" t="s">
        <v>48</v>
      </c>
      <c r="E732" s="37">
        <v>29</v>
      </c>
      <c r="F732" t="s">
        <v>80</v>
      </c>
      <c r="G732" t="s">
        <v>81</v>
      </c>
      <c r="H732" t="s">
        <v>38</v>
      </c>
      <c r="I732" t="s">
        <v>39</v>
      </c>
      <c r="J732" t="s">
        <v>110</v>
      </c>
      <c r="K732" s="37">
        <v>30</v>
      </c>
      <c r="L732" t="s">
        <v>52</v>
      </c>
      <c r="M732" s="21">
        <v>39300</v>
      </c>
      <c r="N732" s="21">
        <v>509328</v>
      </c>
      <c r="O732" s="21">
        <v>37728</v>
      </c>
      <c r="P732" s="37">
        <v>4</v>
      </c>
      <c r="Q732" t="s">
        <v>42</v>
      </c>
      <c r="R732" s="37">
        <v>17</v>
      </c>
      <c r="S732" s="37">
        <v>23</v>
      </c>
      <c r="T732" t="s">
        <v>175</v>
      </c>
      <c r="U732" t="s">
        <v>44</v>
      </c>
      <c r="V732" t="s">
        <v>69</v>
      </c>
      <c r="W732" t="str">
        <f t="shared" si="55"/>
        <v>22-30</v>
      </c>
      <c r="X732" t="str">
        <f t="shared" si="56"/>
        <v>21-30 yrs</v>
      </c>
      <c r="Y732" t="str">
        <f t="shared" si="57"/>
        <v>Mar</v>
      </c>
      <c r="Z732">
        <f t="shared" si="58"/>
        <v>2025</v>
      </c>
      <c r="AA732">
        <f t="shared" si="59"/>
        <v>0</v>
      </c>
    </row>
    <row r="733" spans="1:27" ht="15" customHeight="1" x14ac:dyDescent="0.3">
      <c r="A733" t="s">
        <v>1303</v>
      </c>
      <c r="B733" s="20">
        <v>45739</v>
      </c>
      <c r="C733" t="s">
        <v>1304</v>
      </c>
      <c r="D733" t="s">
        <v>48</v>
      </c>
      <c r="E733" s="37">
        <v>34</v>
      </c>
      <c r="F733" t="s">
        <v>97</v>
      </c>
      <c r="G733" t="s">
        <v>98</v>
      </c>
      <c r="H733" t="s">
        <v>74</v>
      </c>
      <c r="I733" t="s">
        <v>39</v>
      </c>
      <c r="J733" t="s">
        <v>367</v>
      </c>
      <c r="K733" s="37">
        <v>19</v>
      </c>
      <c r="L733" t="s">
        <v>52</v>
      </c>
      <c r="M733" s="21">
        <v>40500</v>
      </c>
      <c r="N733" s="21">
        <v>578340</v>
      </c>
      <c r="O733" s="21">
        <v>92340</v>
      </c>
      <c r="P733" s="37">
        <v>5</v>
      </c>
      <c r="Q733" t="s">
        <v>42</v>
      </c>
      <c r="R733" s="37">
        <v>18</v>
      </c>
      <c r="S733" s="37">
        <v>0</v>
      </c>
      <c r="T733" t="s">
        <v>43</v>
      </c>
      <c r="U733" t="s">
        <v>44</v>
      </c>
      <c r="V733" t="s">
        <v>45</v>
      </c>
      <c r="W733" t="str">
        <f t="shared" si="55"/>
        <v>31-40</v>
      </c>
      <c r="X733" t="str">
        <f t="shared" si="56"/>
        <v>11-20 yrs</v>
      </c>
      <c r="Y733" t="str">
        <f t="shared" si="57"/>
        <v>Mar</v>
      </c>
      <c r="Z733">
        <f t="shared" si="58"/>
        <v>2025</v>
      </c>
      <c r="AA733">
        <f t="shared" si="59"/>
        <v>0</v>
      </c>
    </row>
    <row r="734" spans="1:27" ht="15" customHeight="1" x14ac:dyDescent="0.3">
      <c r="A734" t="s">
        <v>1305</v>
      </c>
      <c r="B734" s="20">
        <v>45954</v>
      </c>
      <c r="C734" t="s">
        <v>1306</v>
      </c>
      <c r="D734" t="s">
        <v>35</v>
      </c>
      <c r="E734" s="37">
        <v>37</v>
      </c>
      <c r="F734" t="s">
        <v>49</v>
      </c>
      <c r="G734" t="s">
        <v>50</v>
      </c>
      <c r="H734" t="s">
        <v>38</v>
      </c>
      <c r="I734" t="s">
        <v>82</v>
      </c>
      <c r="J734" t="s">
        <v>99</v>
      </c>
      <c r="K734" s="37">
        <v>28</v>
      </c>
      <c r="L734" t="s">
        <v>52</v>
      </c>
      <c r="M734" s="21">
        <v>52500</v>
      </c>
      <c r="N734" s="21">
        <v>730800</v>
      </c>
      <c r="O734" s="21">
        <v>100800</v>
      </c>
      <c r="P734" s="37">
        <v>3</v>
      </c>
      <c r="Q734" t="s">
        <v>42</v>
      </c>
      <c r="R734" s="37">
        <v>3</v>
      </c>
      <c r="S734" s="37">
        <v>20</v>
      </c>
      <c r="T734" t="s">
        <v>146</v>
      </c>
      <c r="U734" t="s">
        <v>44</v>
      </c>
      <c r="V734" t="s">
        <v>45</v>
      </c>
      <c r="W734" t="str">
        <f t="shared" si="55"/>
        <v>31-40</v>
      </c>
      <c r="X734" t="str">
        <f t="shared" si="56"/>
        <v>21-30 yrs</v>
      </c>
      <c r="Y734" t="str">
        <f t="shared" si="57"/>
        <v>Oct</v>
      </c>
      <c r="Z734">
        <f t="shared" si="58"/>
        <v>2025</v>
      </c>
      <c r="AA734">
        <f t="shared" si="59"/>
        <v>0</v>
      </c>
    </row>
    <row r="735" spans="1:27" ht="15" customHeight="1" x14ac:dyDescent="0.3">
      <c r="A735" t="s">
        <v>1307</v>
      </c>
      <c r="B735" s="20">
        <v>45879</v>
      </c>
      <c r="C735" t="s">
        <v>1308</v>
      </c>
      <c r="D735" t="s">
        <v>35</v>
      </c>
      <c r="E735" s="37">
        <v>39</v>
      </c>
      <c r="F735" t="s">
        <v>91</v>
      </c>
      <c r="G735" t="s">
        <v>92</v>
      </c>
      <c r="H735" t="s">
        <v>66</v>
      </c>
      <c r="I735" t="s">
        <v>75</v>
      </c>
      <c r="J735" t="s">
        <v>93</v>
      </c>
      <c r="K735" s="37">
        <v>28</v>
      </c>
      <c r="L735" t="s">
        <v>52</v>
      </c>
      <c r="M735" s="21">
        <v>95900</v>
      </c>
      <c r="N735" s="21">
        <v>1311912</v>
      </c>
      <c r="O735" s="21">
        <v>161112</v>
      </c>
      <c r="P735" s="37">
        <v>3</v>
      </c>
      <c r="Q735" t="s">
        <v>42</v>
      </c>
      <c r="R735" s="37">
        <v>7</v>
      </c>
      <c r="S735" s="37">
        <v>21</v>
      </c>
      <c r="T735" t="s">
        <v>77</v>
      </c>
      <c r="U735" t="s">
        <v>44</v>
      </c>
      <c r="V735" t="s">
        <v>69</v>
      </c>
      <c r="W735" t="str">
        <f t="shared" si="55"/>
        <v>31-40</v>
      </c>
      <c r="X735" t="str">
        <f t="shared" si="56"/>
        <v>21-30 yrs</v>
      </c>
      <c r="Y735" t="str">
        <f t="shared" si="57"/>
        <v>Aug</v>
      </c>
      <c r="Z735">
        <f t="shared" si="58"/>
        <v>2025</v>
      </c>
      <c r="AA735">
        <f t="shared" si="59"/>
        <v>0</v>
      </c>
    </row>
    <row r="736" spans="1:27" ht="15" customHeight="1" x14ac:dyDescent="0.3">
      <c r="A736" t="s">
        <v>1309</v>
      </c>
      <c r="B736" s="20">
        <v>45701</v>
      </c>
      <c r="C736" t="s">
        <v>924</v>
      </c>
      <c r="D736" t="s">
        <v>48</v>
      </c>
      <c r="E736" s="37">
        <v>50</v>
      </c>
      <c r="F736" t="s">
        <v>91</v>
      </c>
      <c r="G736" t="s">
        <v>92</v>
      </c>
      <c r="H736" t="s">
        <v>66</v>
      </c>
      <c r="I736" t="s">
        <v>82</v>
      </c>
      <c r="J736" t="s">
        <v>170</v>
      </c>
      <c r="K736" s="37">
        <v>8</v>
      </c>
      <c r="L736" t="s">
        <v>52</v>
      </c>
      <c r="M736" s="21">
        <v>61500</v>
      </c>
      <c r="N736" s="21">
        <v>848699</v>
      </c>
      <c r="O736" s="21">
        <v>110700</v>
      </c>
      <c r="P736" s="37">
        <v>4</v>
      </c>
      <c r="Q736" t="s">
        <v>42</v>
      </c>
      <c r="R736" s="37">
        <v>18</v>
      </c>
      <c r="S736" s="37">
        <v>33</v>
      </c>
      <c r="T736" t="s">
        <v>68</v>
      </c>
      <c r="U736" t="s">
        <v>44</v>
      </c>
      <c r="V736" t="s">
        <v>45</v>
      </c>
      <c r="W736" t="str">
        <f t="shared" si="55"/>
        <v>41-50</v>
      </c>
      <c r="X736" t="str">
        <f t="shared" si="56"/>
        <v>6-10 yrs</v>
      </c>
      <c r="Y736" t="str">
        <f t="shared" si="57"/>
        <v>Feb</v>
      </c>
      <c r="Z736">
        <f t="shared" si="58"/>
        <v>2025</v>
      </c>
      <c r="AA736">
        <f t="shared" si="59"/>
        <v>0</v>
      </c>
    </row>
    <row r="737" spans="1:27" ht="15" customHeight="1" x14ac:dyDescent="0.3">
      <c r="A737" t="s">
        <v>1310</v>
      </c>
      <c r="B737" s="20">
        <v>45885</v>
      </c>
      <c r="C737" t="s">
        <v>223</v>
      </c>
      <c r="D737" t="s">
        <v>48</v>
      </c>
      <c r="E737" s="37">
        <v>52</v>
      </c>
      <c r="F737" t="s">
        <v>91</v>
      </c>
      <c r="G737" t="s">
        <v>92</v>
      </c>
      <c r="H737" t="s">
        <v>59</v>
      </c>
      <c r="I737" t="s">
        <v>39</v>
      </c>
      <c r="J737" t="s">
        <v>141</v>
      </c>
      <c r="K737" s="37">
        <v>23</v>
      </c>
      <c r="L737" t="s">
        <v>52</v>
      </c>
      <c r="M737" s="21">
        <v>30300</v>
      </c>
      <c r="N737" s="21">
        <v>407232</v>
      </c>
      <c r="O737" s="21">
        <v>43632</v>
      </c>
      <c r="P737" s="37">
        <v>3</v>
      </c>
      <c r="Q737" t="s">
        <v>42</v>
      </c>
      <c r="R737" s="37">
        <v>19</v>
      </c>
      <c r="S737" s="37">
        <v>3</v>
      </c>
      <c r="T737" t="s">
        <v>77</v>
      </c>
      <c r="U737" t="s">
        <v>44</v>
      </c>
      <c r="V737" t="s">
        <v>45</v>
      </c>
      <c r="W737" t="str">
        <f t="shared" si="55"/>
        <v>51-58</v>
      </c>
      <c r="X737" t="str">
        <f t="shared" si="56"/>
        <v>21-30 yrs</v>
      </c>
      <c r="Y737" t="str">
        <f t="shared" si="57"/>
        <v>Aug</v>
      </c>
      <c r="Z737">
        <f t="shared" si="58"/>
        <v>2025</v>
      </c>
      <c r="AA737">
        <f t="shared" si="59"/>
        <v>0</v>
      </c>
    </row>
    <row r="738" spans="1:27" ht="15" customHeight="1" x14ac:dyDescent="0.3">
      <c r="A738" t="s">
        <v>1311</v>
      </c>
      <c r="B738" s="20">
        <v>45763</v>
      </c>
      <c r="C738" t="s">
        <v>235</v>
      </c>
      <c r="D738" t="s">
        <v>35</v>
      </c>
      <c r="E738" s="37">
        <v>39</v>
      </c>
      <c r="F738" t="s">
        <v>108</v>
      </c>
      <c r="G738" t="s">
        <v>109</v>
      </c>
      <c r="H738" t="s">
        <v>66</v>
      </c>
      <c r="I738" t="s">
        <v>82</v>
      </c>
      <c r="J738" t="s">
        <v>161</v>
      </c>
      <c r="K738" s="37">
        <v>22</v>
      </c>
      <c r="L738" t="s">
        <v>120</v>
      </c>
      <c r="M738" s="21">
        <v>69800</v>
      </c>
      <c r="N738" s="21">
        <v>971615</v>
      </c>
      <c r="O738" s="21">
        <v>134016</v>
      </c>
      <c r="P738" s="37">
        <v>2</v>
      </c>
      <c r="Q738" t="s">
        <v>42</v>
      </c>
      <c r="R738" s="37">
        <v>9</v>
      </c>
      <c r="S738" s="37">
        <v>9</v>
      </c>
      <c r="T738" t="s">
        <v>43</v>
      </c>
      <c r="U738" t="s">
        <v>63</v>
      </c>
      <c r="V738" t="s">
        <v>69</v>
      </c>
      <c r="W738" t="str">
        <f t="shared" si="55"/>
        <v>31-40</v>
      </c>
      <c r="X738" t="str">
        <f t="shared" si="56"/>
        <v>21-30 yrs</v>
      </c>
      <c r="Y738" t="str">
        <f t="shared" si="57"/>
        <v>Apr</v>
      </c>
      <c r="Z738">
        <f t="shared" si="58"/>
        <v>2025</v>
      </c>
      <c r="AA738">
        <f t="shared" si="59"/>
        <v>0</v>
      </c>
    </row>
    <row r="739" spans="1:27" ht="15" customHeight="1" x14ac:dyDescent="0.3">
      <c r="A739" t="s">
        <v>1312</v>
      </c>
      <c r="B739" s="20">
        <v>46016</v>
      </c>
      <c r="C739" t="s">
        <v>1293</v>
      </c>
      <c r="D739" t="s">
        <v>48</v>
      </c>
      <c r="E739" s="37">
        <v>52</v>
      </c>
      <c r="F739" t="s">
        <v>57</v>
      </c>
      <c r="G739" t="s">
        <v>58</v>
      </c>
      <c r="H739" t="s">
        <v>66</v>
      </c>
      <c r="I739" t="s">
        <v>82</v>
      </c>
      <c r="J739" t="s">
        <v>149</v>
      </c>
      <c r="K739" s="37">
        <v>12</v>
      </c>
      <c r="L739" t="s">
        <v>52</v>
      </c>
      <c r="M739" s="21">
        <v>67700</v>
      </c>
      <c r="N739" s="21">
        <v>950508</v>
      </c>
      <c r="O739" s="21">
        <v>138108</v>
      </c>
      <c r="P739" s="37">
        <v>3</v>
      </c>
      <c r="Q739" t="s">
        <v>42</v>
      </c>
      <c r="R739" s="37">
        <v>11</v>
      </c>
      <c r="S739" s="37">
        <v>14</v>
      </c>
      <c r="T739" t="s">
        <v>53</v>
      </c>
      <c r="U739" t="s">
        <v>63</v>
      </c>
      <c r="V739" t="s">
        <v>69</v>
      </c>
      <c r="W739" t="str">
        <f t="shared" si="55"/>
        <v>51-58</v>
      </c>
      <c r="X739" t="str">
        <f t="shared" si="56"/>
        <v>11-20 yrs</v>
      </c>
      <c r="Y739" t="str">
        <f t="shared" si="57"/>
        <v>Dec</v>
      </c>
      <c r="Z739">
        <f t="shared" si="58"/>
        <v>2025</v>
      </c>
      <c r="AA739">
        <f t="shared" si="59"/>
        <v>0</v>
      </c>
    </row>
    <row r="740" spans="1:27" ht="15" customHeight="1" x14ac:dyDescent="0.3">
      <c r="A740" t="s">
        <v>1313</v>
      </c>
      <c r="B740" s="20">
        <v>45979</v>
      </c>
      <c r="C740" t="s">
        <v>445</v>
      </c>
      <c r="D740" t="s">
        <v>48</v>
      </c>
      <c r="E740" s="37">
        <v>54</v>
      </c>
      <c r="F740" t="s">
        <v>36</v>
      </c>
      <c r="G740" t="s">
        <v>37</v>
      </c>
      <c r="H740" t="s">
        <v>59</v>
      </c>
      <c r="I740" t="s">
        <v>75</v>
      </c>
      <c r="J740" t="s">
        <v>104</v>
      </c>
      <c r="K740" s="37">
        <v>0</v>
      </c>
      <c r="L740" t="s">
        <v>52</v>
      </c>
      <c r="M740" s="21">
        <v>68700</v>
      </c>
      <c r="N740" s="21">
        <v>956303</v>
      </c>
      <c r="O740" s="21">
        <v>131904</v>
      </c>
      <c r="P740" s="37">
        <v>4</v>
      </c>
      <c r="Q740" t="s">
        <v>42</v>
      </c>
      <c r="R740" s="37">
        <v>8</v>
      </c>
      <c r="S740" s="37">
        <v>12</v>
      </c>
      <c r="T740" t="s">
        <v>146</v>
      </c>
      <c r="U740" t="s">
        <v>138</v>
      </c>
      <c r="V740" t="s">
        <v>45</v>
      </c>
      <c r="W740" t="str">
        <f t="shared" si="55"/>
        <v>51-58</v>
      </c>
      <c r="X740" t="str">
        <f t="shared" si="56"/>
        <v>0-5 yrs</v>
      </c>
      <c r="Y740" t="str">
        <f t="shared" si="57"/>
        <v>Nov</v>
      </c>
      <c r="Z740">
        <f t="shared" si="58"/>
        <v>2025</v>
      </c>
      <c r="AA740">
        <f t="shared" si="59"/>
        <v>0</v>
      </c>
    </row>
    <row r="741" spans="1:27" ht="15" customHeight="1" x14ac:dyDescent="0.3">
      <c r="A741" t="s">
        <v>1314</v>
      </c>
      <c r="B741" s="20">
        <v>45804</v>
      </c>
      <c r="C741" t="s">
        <v>1315</v>
      </c>
      <c r="D741" t="s">
        <v>48</v>
      </c>
      <c r="E741" s="37">
        <v>23</v>
      </c>
      <c r="F741" t="s">
        <v>49</v>
      </c>
      <c r="G741" t="s">
        <v>50</v>
      </c>
      <c r="H741" t="s">
        <v>38</v>
      </c>
      <c r="I741" t="s">
        <v>82</v>
      </c>
      <c r="J741" t="s">
        <v>99</v>
      </c>
      <c r="K741" s="37">
        <v>14</v>
      </c>
      <c r="L741" t="s">
        <v>52</v>
      </c>
      <c r="M741" s="21">
        <v>58200</v>
      </c>
      <c r="N741" s="21">
        <v>775224</v>
      </c>
      <c r="O741" s="21">
        <v>76824</v>
      </c>
      <c r="P741" s="37">
        <v>5</v>
      </c>
      <c r="Q741" t="s">
        <v>42</v>
      </c>
      <c r="R741" s="37">
        <v>17</v>
      </c>
      <c r="S741" s="37">
        <v>21</v>
      </c>
      <c r="T741" t="s">
        <v>175</v>
      </c>
      <c r="U741" t="s">
        <v>44</v>
      </c>
      <c r="V741" t="s">
        <v>45</v>
      </c>
      <c r="W741" t="str">
        <f t="shared" si="55"/>
        <v>22-30</v>
      </c>
      <c r="X741" t="str">
        <f t="shared" si="56"/>
        <v>11-20 yrs</v>
      </c>
      <c r="Y741" t="str">
        <f t="shared" si="57"/>
        <v>May</v>
      </c>
      <c r="Z741">
        <f t="shared" si="58"/>
        <v>2025</v>
      </c>
      <c r="AA741">
        <f t="shared" si="59"/>
        <v>0</v>
      </c>
    </row>
    <row r="742" spans="1:27" ht="15" customHeight="1" x14ac:dyDescent="0.3">
      <c r="A742" t="s">
        <v>1316</v>
      </c>
      <c r="B742" s="20">
        <v>45665</v>
      </c>
      <c r="C742" t="s">
        <v>309</v>
      </c>
      <c r="D742" t="s">
        <v>35</v>
      </c>
      <c r="E742" s="37">
        <v>42</v>
      </c>
      <c r="F742" t="s">
        <v>86</v>
      </c>
      <c r="G742" t="s">
        <v>87</v>
      </c>
      <c r="H742" t="s">
        <v>66</v>
      </c>
      <c r="I742" t="s">
        <v>60</v>
      </c>
      <c r="J742" t="s">
        <v>67</v>
      </c>
      <c r="K742" s="37">
        <v>11</v>
      </c>
      <c r="L742" t="s">
        <v>52</v>
      </c>
      <c r="M742" s="21">
        <v>162700</v>
      </c>
      <c r="N742" s="21">
        <v>2303832</v>
      </c>
      <c r="O742" s="21">
        <v>351432</v>
      </c>
      <c r="P742" s="37">
        <v>3</v>
      </c>
      <c r="Q742" t="s">
        <v>42</v>
      </c>
      <c r="R742" s="37">
        <v>6</v>
      </c>
      <c r="S742" s="37">
        <v>5</v>
      </c>
      <c r="T742" t="s">
        <v>94</v>
      </c>
      <c r="U742" t="s">
        <v>63</v>
      </c>
      <c r="V742" t="s">
        <v>45</v>
      </c>
      <c r="W742" t="str">
        <f t="shared" si="55"/>
        <v>41-50</v>
      </c>
      <c r="X742" t="str">
        <f t="shared" si="56"/>
        <v>11-20 yrs</v>
      </c>
      <c r="Y742" t="str">
        <f t="shared" si="57"/>
        <v>Jan</v>
      </c>
      <c r="Z742">
        <f t="shared" si="58"/>
        <v>2025</v>
      </c>
      <c r="AA742">
        <f t="shared" si="59"/>
        <v>0</v>
      </c>
    </row>
    <row r="743" spans="1:27" ht="15" customHeight="1" x14ac:dyDescent="0.3">
      <c r="A743" t="s">
        <v>1317</v>
      </c>
      <c r="B743" s="20">
        <v>45995</v>
      </c>
      <c r="C743" t="s">
        <v>79</v>
      </c>
      <c r="D743" t="s">
        <v>48</v>
      </c>
      <c r="E743" s="37">
        <v>56</v>
      </c>
      <c r="F743" t="s">
        <v>36</v>
      </c>
      <c r="G743" t="s">
        <v>37</v>
      </c>
      <c r="H743" t="s">
        <v>59</v>
      </c>
      <c r="I743" t="s">
        <v>82</v>
      </c>
      <c r="J743" t="s">
        <v>141</v>
      </c>
      <c r="K743" s="37">
        <v>11</v>
      </c>
      <c r="L743" t="s">
        <v>41</v>
      </c>
      <c r="M743" s="21">
        <v>47700</v>
      </c>
      <c r="N743" s="21">
        <v>641088</v>
      </c>
      <c r="O743" s="21">
        <v>68688</v>
      </c>
      <c r="P743" s="37">
        <v>3</v>
      </c>
      <c r="Q743" t="s">
        <v>42</v>
      </c>
      <c r="R743" s="37">
        <v>6</v>
      </c>
      <c r="S743" s="37">
        <v>9</v>
      </c>
      <c r="T743" t="s">
        <v>77</v>
      </c>
      <c r="U743" t="s">
        <v>63</v>
      </c>
      <c r="V743" t="s">
        <v>69</v>
      </c>
      <c r="W743" t="str">
        <f t="shared" si="55"/>
        <v>51-58</v>
      </c>
      <c r="X743" t="str">
        <f t="shared" si="56"/>
        <v>11-20 yrs</v>
      </c>
      <c r="Y743" t="str">
        <f t="shared" si="57"/>
        <v>Dec</v>
      </c>
      <c r="Z743">
        <f t="shared" si="58"/>
        <v>2025</v>
      </c>
      <c r="AA743">
        <f t="shared" si="59"/>
        <v>0</v>
      </c>
    </row>
    <row r="744" spans="1:27" ht="15" customHeight="1" x14ac:dyDescent="0.3">
      <c r="A744" t="s">
        <v>1318</v>
      </c>
      <c r="B744" s="20">
        <v>45904</v>
      </c>
      <c r="C744" t="s">
        <v>1279</v>
      </c>
      <c r="D744" t="s">
        <v>48</v>
      </c>
      <c r="E744" s="37">
        <v>29</v>
      </c>
      <c r="F744" t="s">
        <v>80</v>
      </c>
      <c r="G744" t="s">
        <v>81</v>
      </c>
      <c r="H744" t="s">
        <v>59</v>
      </c>
      <c r="I744" t="s">
        <v>39</v>
      </c>
      <c r="J744" t="s">
        <v>104</v>
      </c>
      <c r="K744" s="37">
        <v>11</v>
      </c>
      <c r="L744" t="s">
        <v>52</v>
      </c>
      <c r="M744" s="21">
        <v>30900</v>
      </c>
      <c r="N744" s="21">
        <v>404172</v>
      </c>
      <c r="O744" s="21">
        <v>33372</v>
      </c>
      <c r="P744" s="37">
        <v>4</v>
      </c>
      <c r="Q744" t="s">
        <v>42</v>
      </c>
      <c r="R744" s="37">
        <v>13</v>
      </c>
      <c r="S744" s="37">
        <v>36</v>
      </c>
      <c r="T744" t="s">
        <v>62</v>
      </c>
      <c r="U744" t="s">
        <v>44</v>
      </c>
      <c r="V744" t="s">
        <v>69</v>
      </c>
      <c r="W744" t="str">
        <f t="shared" si="55"/>
        <v>22-30</v>
      </c>
      <c r="X744" t="str">
        <f t="shared" si="56"/>
        <v>11-20 yrs</v>
      </c>
      <c r="Y744" t="str">
        <f t="shared" si="57"/>
        <v>Sep</v>
      </c>
      <c r="Z744">
        <f t="shared" si="58"/>
        <v>2025</v>
      </c>
      <c r="AA744">
        <f t="shared" si="59"/>
        <v>0</v>
      </c>
    </row>
    <row r="745" spans="1:27" ht="15" customHeight="1" x14ac:dyDescent="0.3">
      <c r="A745" t="s">
        <v>1319</v>
      </c>
      <c r="B745" s="20">
        <v>45766</v>
      </c>
      <c r="C745" t="s">
        <v>346</v>
      </c>
      <c r="D745" t="s">
        <v>35</v>
      </c>
      <c r="E745" s="37">
        <v>39</v>
      </c>
      <c r="F745" t="s">
        <v>72</v>
      </c>
      <c r="G745" t="s">
        <v>73</v>
      </c>
      <c r="H745" t="s">
        <v>66</v>
      </c>
      <c r="I745" t="s">
        <v>75</v>
      </c>
      <c r="J745" t="s">
        <v>93</v>
      </c>
      <c r="K745" s="37">
        <v>23</v>
      </c>
      <c r="L745" t="s">
        <v>52</v>
      </c>
      <c r="M745" s="21">
        <v>89500</v>
      </c>
      <c r="N745" s="21">
        <v>1138440</v>
      </c>
      <c r="O745" s="21">
        <v>64440</v>
      </c>
      <c r="P745" s="37">
        <v>2</v>
      </c>
      <c r="Q745" t="s">
        <v>42</v>
      </c>
      <c r="R745" s="37">
        <v>1</v>
      </c>
      <c r="S745" s="37">
        <v>26</v>
      </c>
      <c r="T745" t="s">
        <v>43</v>
      </c>
      <c r="U745" t="s">
        <v>44</v>
      </c>
      <c r="V745" t="s">
        <v>69</v>
      </c>
      <c r="W745" t="str">
        <f t="shared" si="55"/>
        <v>31-40</v>
      </c>
      <c r="X745" t="str">
        <f t="shared" si="56"/>
        <v>21-30 yrs</v>
      </c>
      <c r="Y745" t="str">
        <f t="shared" si="57"/>
        <v>Apr</v>
      </c>
      <c r="Z745">
        <f t="shared" si="58"/>
        <v>2025</v>
      </c>
      <c r="AA745">
        <f t="shared" si="59"/>
        <v>0</v>
      </c>
    </row>
    <row r="746" spans="1:27" ht="15" customHeight="1" x14ac:dyDescent="0.3">
      <c r="A746" t="s">
        <v>1320</v>
      </c>
      <c r="B746" s="20">
        <v>45904</v>
      </c>
      <c r="C746" t="s">
        <v>1237</v>
      </c>
      <c r="D746" t="s">
        <v>35</v>
      </c>
      <c r="E746" s="37">
        <v>29</v>
      </c>
      <c r="F746" t="s">
        <v>80</v>
      </c>
      <c r="G746" t="s">
        <v>81</v>
      </c>
      <c r="H746" t="s">
        <v>118</v>
      </c>
      <c r="I746" t="s">
        <v>51</v>
      </c>
      <c r="J746" t="s">
        <v>137</v>
      </c>
      <c r="K746" s="37">
        <v>30</v>
      </c>
      <c r="L746" t="s">
        <v>120</v>
      </c>
      <c r="M746" s="21">
        <v>249100</v>
      </c>
      <c r="N746" s="21">
        <v>3557148</v>
      </c>
      <c r="O746" s="21">
        <v>567948</v>
      </c>
      <c r="P746" s="37">
        <v>4</v>
      </c>
      <c r="Q746" t="s">
        <v>42</v>
      </c>
      <c r="R746" s="37">
        <v>18</v>
      </c>
      <c r="S746" s="37">
        <v>35</v>
      </c>
      <c r="T746" t="s">
        <v>105</v>
      </c>
      <c r="U746" t="s">
        <v>44</v>
      </c>
      <c r="V746" t="s">
        <v>69</v>
      </c>
      <c r="W746" t="str">
        <f t="shared" si="55"/>
        <v>22-30</v>
      </c>
      <c r="X746" t="str">
        <f t="shared" si="56"/>
        <v>21-30 yrs</v>
      </c>
      <c r="Y746" t="str">
        <f t="shared" si="57"/>
        <v>Sep</v>
      </c>
      <c r="Z746">
        <f t="shared" si="58"/>
        <v>2025</v>
      </c>
      <c r="AA746">
        <f t="shared" si="59"/>
        <v>0</v>
      </c>
    </row>
    <row r="747" spans="1:27" ht="15" customHeight="1" x14ac:dyDescent="0.3">
      <c r="A747" t="s">
        <v>1321</v>
      </c>
      <c r="B747" s="20">
        <v>45712</v>
      </c>
      <c r="C747" t="s">
        <v>1225</v>
      </c>
      <c r="D747" t="s">
        <v>35</v>
      </c>
      <c r="E747" s="37">
        <v>51</v>
      </c>
      <c r="F747" t="s">
        <v>36</v>
      </c>
      <c r="G747" t="s">
        <v>37</v>
      </c>
      <c r="H747" t="s">
        <v>118</v>
      </c>
      <c r="I747" t="s">
        <v>82</v>
      </c>
      <c r="J747" t="s">
        <v>219</v>
      </c>
      <c r="K747" s="37">
        <v>21</v>
      </c>
      <c r="L747" t="s">
        <v>52</v>
      </c>
      <c r="M747" s="21">
        <v>45300</v>
      </c>
      <c r="N747" s="21">
        <v>592524</v>
      </c>
      <c r="O747" s="21">
        <v>48924</v>
      </c>
      <c r="P747" s="37">
        <v>2</v>
      </c>
      <c r="Q747" t="s">
        <v>42</v>
      </c>
      <c r="R747" s="37">
        <v>10</v>
      </c>
      <c r="S747" s="37">
        <v>36</v>
      </c>
      <c r="T747" t="s">
        <v>94</v>
      </c>
      <c r="U747" t="s">
        <v>54</v>
      </c>
      <c r="V747" t="s">
        <v>45</v>
      </c>
      <c r="W747" t="str">
        <f t="shared" si="55"/>
        <v>51-58</v>
      </c>
      <c r="X747" t="str">
        <f t="shared" si="56"/>
        <v>21-30 yrs</v>
      </c>
      <c r="Y747" t="str">
        <f t="shared" si="57"/>
        <v>Feb</v>
      </c>
      <c r="Z747">
        <f t="shared" si="58"/>
        <v>2025</v>
      </c>
      <c r="AA747">
        <f t="shared" si="59"/>
        <v>0</v>
      </c>
    </row>
    <row r="748" spans="1:27" ht="15" customHeight="1" x14ac:dyDescent="0.3">
      <c r="A748" t="s">
        <v>1322</v>
      </c>
      <c r="B748" s="20">
        <v>45889</v>
      </c>
      <c r="C748" t="s">
        <v>812</v>
      </c>
      <c r="D748" t="s">
        <v>35</v>
      </c>
      <c r="E748" s="37">
        <v>36</v>
      </c>
      <c r="F748" t="s">
        <v>97</v>
      </c>
      <c r="G748" t="s">
        <v>98</v>
      </c>
      <c r="H748" t="s">
        <v>74</v>
      </c>
      <c r="I748" t="s">
        <v>82</v>
      </c>
      <c r="J748" t="s">
        <v>115</v>
      </c>
      <c r="K748" s="37">
        <v>12</v>
      </c>
      <c r="L748" t="s">
        <v>52</v>
      </c>
      <c r="M748" s="21">
        <v>51200</v>
      </c>
      <c r="N748" s="21">
        <v>681984</v>
      </c>
      <c r="O748" s="21">
        <v>67584</v>
      </c>
      <c r="P748" s="37">
        <v>4</v>
      </c>
      <c r="Q748" t="s">
        <v>42</v>
      </c>
      <c r="R748" s="37">
        <v>20</v>
      </c>
      <c r="S748" s="37">
        <v>25</v>
      </c>
      <c r="T748" t="s">
        <v>94</v>
      </c>
      <c r="U748" t="s">
        <v>44</v>
      </c>
      <c r="V748" t="s">
        <v>69</v>
      </c>
      <c r="W748" t="str">
        <f t="shared" si="55"/>
        <v>31-40</v>
      </c>
      <c r="X748" t="str">
        <f t="shared" si="56"/>
        <v>11-20 yrs</v>
      </c>
      <c r="Y748" t="str">
        <f t="shared" si="57"/>
        <v>Aug</v>
      </c>
      <c r="Z748">
        <f t="shared" si="58"/>
        <v>2025</v>
      </c>
      <c r="AA748">
        <f t="shared" si="59"/>
        <v>0</v>
      </c>
    </row>
    <row r="749" spans="1:27" ht="15" customHeight="1" x14ac:dyDescent="0.3">
      <c r="A749" t="s">
        <v>1323</v>
      </c>
      <c r="B749" s="20">
        <v>45677</v>
      </c>
      <c r="C749" t="s">
        <v>777</v>
      </c>
      <c r="D749" t="s">
        <v>48</v>
      </c>
      <c r="E749" s="37">
        <v>48</v>
      </c>
      <c r="F749" t="s">
        <v>80</v>
      </c>
      <c r="G749" t="s">
        <v>81</v>
      </c>
      <c r="H749" t="s">
        <v>66</v>
      </c>
      <c r="I749" t="s">
        <v>82</v>
      </c>
      <c r="J749" t="s">
        <v>170</v>
      </c>
      <c r="K749" s="37">
        <v>11</v>
      </c>
      <c r="L749" t="s">
        <v>52</v>
      </c>
      <c r="M749" s="21">
        <v>65900</v>
      </c>
      <c r="N749" s="21">
        <v>948960</v>
      </c>
      <c r="O749" s="21">
        <v>158160</v>
      </c>
      <c r="P749" s="37">
        <v>4</v>
      </c>
      <c r="Q749" t="s">
        <v>126</v>
      </c>
      <c r="R749" s="37">
        <v>14</v>
      </c>
      <c r="S749" s="37">
        <v>33</v>
      </c>
      <c r="T749" t="s">
        <v>53</v>
      </c>
      <c r="U749" t="s">
        <v>63</v>
      </c>
      <c r="V749" t="s">
        <v>69</v>
      </c>
      <c r="W749" t="str">
        <f t="shared" si="55"/>
        <v>41-50</v>
      </c>
      <c r="X749" t="str">
        <f t="shared" si="56"/>
        <v>11-20 yrs</v>
      </c>
      <c r="Y749" t="str">
        <f t="shared" si="57"/>
        <v>Jan</v>
      </c>
      <c r="Z749">
        <f t="shared" si="58"/>
        <v>2025</v>
      </c>
      <c r="AA749">
        <f t="shared" si="59"/>
        <v>1</v>
      </c>
    </row>
    <row r="750" spans="1:27" ht="15" customHeight="1" x14ac:dyDescent="0.3">
      <c r="A750" t="s">
        <v>1324</v>
      </c>
      <c r="B750" s="20">
        <v>45825</v>
      </c>
      <c r="C750" t="s">
        <v>1325</v>
      </c>
      <c r="D750" t="s">
        <v>48</v>
      </c>
      <c r="E750" s="37">
        <v>32</v>
      </c>
      <c r="F750" t="s">
        <v>57</v>
      </c>
      <c r="G750" t="s">
        <v>58</v>
      </c>
      <c r="H750" t="s">
        <v>118</v>
      </c>
      <c r="I750" t="s">
        <v>60</v>
      </c>
      <c r="J750" t="s">
        <v>137</v>
      </c>
      <c r="K750" s="37">
        <v>29</v>
      </c>
      <c r="L750" t="s">
        <v>52</v>
      </c>
      <c r="M750" s="21">
        <v>112600</v>
      </c>
      <c r="N750" s="21">
        <v>1445784</v>
      </c>
      <c r="O750" s="21">
        <v>94584</v>
      </c>
      <c r="P750" s="37">
        <v>4</v>
      </c>
      <c r="Q750" t="s">
        <v>42</v>
      </c>
      <c r="R750" s="37">
        <v>9</v>
      </c>
      <c r="S750" s="37">
        <v>28</v>
      </c>
      <c r="T750" t="s">
        <v>43</v>
      </c>
      <c r="U750" t="s">
        <v>63</v>
      </c>
      <c r="V750" t="s">
        <v>69</v>
      </c>
      <c r="W750" t="str">
        <f t="shared" si="55"/>
        <v>31-40</v>
      </c>
      <c r="X750" t="str">
        <f t="shared" si="56"/>
        <v>21-30 yrs</v>
      </c>
      <c r="Y750" t="str">
        <f t="shared" si="57"/>
        <v>Jun</v>
      </c>
      <c r="Z750">
        <f t="shared" si="58"/>
        <v>2025</v>
      </c>
      <c r="AA750">
        <f t="shared" si="59"/>
        <v>0</v>
      </c>
    </row>
    <row r="751" spans="1:27" ht="15" customHeight="1" x14ac:dyDescent="0.3">
      <c r="A751" t="s">
        <v>1326</v>
      </c>
      <c r="B751" s="20">
        <v>45769</v>
      </c>
      <c r="C751" t="s">
        <v>167</v>
      </c>
      <c r="D751" t="s">
        <v>35</v>
      </c>
      <c r="E751" s="37">
        <v>52</v>
      </c>
      <c r="F751" t="s">
        <v>36</v>
      </c>
      <c r="G751" t="s">
        <v>37</v>
      </c>
      <c r="H751" t="s">
        <v>59</v>
      </c>
      <c r="I751" t="s">
        <v>39</v>
      </c>
      <c r="J751" t="s">
        <v>104</v>
      </c>
      <c r="K751" s="37">
        <v>26</v>
      </c>
      <c r="L751" t="s">
        <v>52</v>
      </c>
      <c r="M751" s="21">
        <v>38800</v>
      </c>
      <c r="N751" s="21">
        <v>512160</v>
      </c>
      <c r="O751" s="21">
        <v>46560</v>
      </c>
      <c r="P751" s="37">
        <v>3</v>
      </c>
      <c r="Q751" t="s">
        <v>42</v>
      </c>
      <c r="R751" s="37">
        <v>11</v>
      </c>
      <c r="S751" s="37">
        <v>32</v>
      </c>
      <c r="T751" t="s">
        <v>53</v>
      </c>
      <c r="U751" t="s">
        <v>54</v>
      </c>
      <c r="V751" t="s">
        <v>69</v>
      </c>
      <c r="W751" t="str">
        <f t="shared" si="55"/>
        <v>51-58</v>
      </c>
      <c r="X751" t="str">
        <f t="shared" si="56"/>
        <v>21-30 yrs</v>
      </c>
      <c r="Y751" t="str">
        <f t="shared" si="57"/>
        <v>Apr</v>
      </c>
      <c r="Z751">
        <f t="shared" si="58"/>
        <v>2025</v>
      </c>
      <c r="AA751">
        <f t="shared" si="59"/>
        <v>0</v>
      </c>
    </row>
    <row r="752" spans="1:27" ht="15" customHeight="1" x14ac:dyDescent="0.3">
      <c r="A752" t="s">
        <v>1327</v>
      </c>
      <c r="B752" s="20">
        <v>45941</v>
      </c>
      <c r="C752" t="s">
        <v>1113</v>
      </c>
      <c r="D752" t="s">
        <v>35</v>
      </c>
      <c r="E752" s="37">
        <v>57</v>
      </c>
      <c r="F752" t="s">
        <v>97</v>
      </c>
      <c r="G752" t="s">
        <v>98</v>
      </c>
      <c r="H752" t="s">
        <v>118</v>
      </c>
      <c r="I752" t="s">
        <v>75</v>
      </c>
      <c r="J752" t="s">
        <v>119</v>
      </c>
      <c r="K752" s="37">
        <v>23</v>
      </c>
      <c r="L752" t="s">
        <v>52</v>
      </c>
      <c r="M752" s="21">
        <v>97400</v>
      </c>
      <c r="N752" s="21">
        <v>1402560</v>
      </c>
      <c r="O752" s="21">
        <v>233760</v>
      </c>
      <c r="P752" s="37">
        <v>3</v>
      </c>
      <c r="Q752" t="s">
        <v>126</v>
      </c>
      <c r="R752" s="37">
        <v>20</v>
      </c>
      <c r="S752" s="37">
        <v>30</v>
      </c>
      <c r="T752" t="s">
        <v>77</v>
      </c>
      <c r="U752" t="s">
        <v>63</v>
      </c>
      <c r="V752" t="s">
        <v>45</v>
      </c>
      <c r="W752" t="str">
        <f t="shared" si="55"/>
        <v>51-58</v>
      </c>
      <c r="X752" t="str">
        <f t="shared" si="56"/>
        <v>21-30 yrs</v>
      </c>
      <c r="Y752" t="str">
        <f t="shared" si="57"/>
        <v>Oct</v>
      </c>
      <c r="Z752">
        <f t="shared" si="58"/>
        <v>2025</v>
      </c>
      <c r="AA752">
        <f t="shared" si="59"/>
        <v>1</v>
      </c>
    </row>
    <row r="753" spans="1:27" ht="15" customHeight="1" x14ac:dyDescent="0.3">
      <c r="A753" t="s">
        <v>1328</v>
      </c>
      <c r="B753" s="20">
        <v>45924</v>
      </c>
      <c r="C753" t="s">
        <v>1329</v>
      </c>
      <c r="D753" t="s">
        <v>48</v>
      </c>
      <c r="E753" s="37">
        <v>50</v>
      </c>
      <c r="F753" t="s">
        <v>97</v>
      </c>
      <c r="G753" t="s">
        <v>98</v>
      </c>
      <c r="H753" t="s">
        <v>59</v>
      </c>
      <c r="I753" t="s">
        <v>82</v>
      </c>
      <c r="J753" t="s">
        <v>141</v>
      </c>
      <c r="K753" s="37">
        <v>27</v>
      </c>
      <c r="L753" t="s">
        <v>52</v>
      </c>
      <c r="M753" s="21">
        <v>57500</v>
      </c>
      <c r="N753" s="21">
        <v>793499</v>
      </c>
      <c r="O753" s="21">
        <v>103500</v>
      </c>
      <c r="P753" s="37">
        <v>4</v>
      </c>
      <c r="Q753" t="s">
        <v>42</v>
      </c>
      <c r="R753" s="37">
        <v>15</v>
      </c>
      <c r="S753" s="37">
        <v>31</v>
      </c>
      <c r="T753" t="s">
        <v>146</v>
      </c>
      <c r="U753" t="s">
        <v>44</v>
      </c>
      <c r="V753" t="s">
        <v>45</v>
      </c>
      <c r="W753" t="str">
        <f t="shared" si="55"/>
        <v>41-50</v>
      </c>
      <c r="X753" t="str">
        <f t="shared" si="56"/>
        <v>21-30 yrs</v>
      </c>
      <c r="Y753" t="str">
        <f t="shared" si="57"/>
        <v>Sep</v>
      </c>
      <c r="Z753">
        <f t="shared" si="58"/>
        <v>2025</v>
      </c>
      <c r="AA753">
        <f t="shared" si="59"/>
        <v>0</v>
      </c>
    </row>
    <row r="754" spans="1:27" ht="15" customHeight="1" x14ac:dyDescent="0.3">
      <c r="A754" t="s">
        <v>1330</v>
      </c>
      <c r="B754" s="20">
        <v>45675</v>
      </c>
      <c r="C754" t="s">
        <v>1331</v>
      </c>
      <c r="D754" t="s">
        <v>48</v>
      </c>
      <c r="E754" s="37">
        <v>28</v>
      </c>
      <c r="F754" t="s">
        <v>108</v>
      </c>
      <c r="G754" t="s">
        <v>109</v>
      </c>
      <c r="H754" t="s">
        <v>38</v>
      </c>
      <c r="I754" t="s">
        <v>39</v>
      </c>
      <c r="J754" t="s">
        <v>134</v>
      </c>
      <c r="K754" s="37">
        <v>9</v>
      </c>
      <c r="L754" t="s">
        <v>52</v>
      </c>
      <c r="M754" s="21">
        <v>37200</v>
      </c>
      <c r="N754" s="21">
        <v>486576</v>
      </c>
      <c r="O754" s="21">
        <v>40176</v>
      </c>
      <c r="P754" s="37">
        <v>2</v>
      </c>
      <c r="Q754" t="s">
        <v>42</v>
      </c>
      <c r="R754" s="37">
        <v>20</v>
      </c>
      <c r="S754" s="37">
        <v>13</v>
      </c>
      <c r="T754" t="s">
        <v>94</v>
      </c>
      <c r="U754" t="s">
        <v>44</v>
      </c>
      <c r="V754" t="s">
        <v>69</v>
      </c>
      <c r="W754" t="str">
        <f t="shared" si="55"/>
        <v>22-30</v>
      </c>
      <c r="X754" t="str">
        <f t="shared" si="56"/>
        <v>6-10 yrs</v>
      </c>
      <c r="Y754" t="str">
        <f t="shared" si="57"/>
        <v>Jan</v>
      </c>
      <c r="Z754">
        <f t="shared" si="58"/>
        <v>2025</v>
      </c>
      <c r="AA754">
        <f t="shared" si="59"/>
        <v>0</v>
      </c>
    </row>
    <row r="755" spans="1:27" ht="15" customHeight="1" x14ac:dyDescent="0.3">
      <c r="A755" t="s">
        <v>1332</v>
      </c>
      <c r="B755" s="20">
        <v>45672</v>
      </c>
      <c r="C755" t="s">
        <v>1017</v>
      </c>
      <c r="D755" t="s">
        <v>48</v>
      </c>
      <c r="E755" s="37">
        <v>35</v>
      </c>
      <c r="F755" t="s">
        <v>91</v>
      </c>
      <c r="G755" t="s">
        <v>92</v>
      </c>
      <c r="H755" t="s">
        <v>118</v>
      </c>
      <c r="I755" t="s">
        <v>82</v>
      </c>
      <c r="J755" t="s">
        <v>250</v>
      </c>
      <c r="K755" s="37">
        <v>1</v>
      </c>
      <c r="L755" t="s">
        <v>41</v>
      </c>
      <c r="M755" s="21">
        <v>55100</v>
      </c>
      <c r="N755" s="21">
        <v>773604</v>
      </c>
      <c r="O755" s="21">
        <v>112404</v>
      </c>
      <c r="P755" s="37">
        <v>3</v>
      </c>
      <c r="Q755" t="s">
        <v>42</v>
      </c>
      <c r="R755" s="37">
        <v>15</v>
      </c>
      <c r="S755" s="37">
        <v>7</v>
      </c>
      <c r="T755" t="s">
        <v>129</v>
      </c>
      <c r="U755" t="s">
        <v>54</v>
      </c>
      <c r="V755" t="s">
        <v>69</v>
      </c>
      <c r="W755" t="str">
        <f t="shared" si="55"/>
        <v>31-40</v>
      </c>
      <c r="X755" t="str">
        <f t="shared" si="56"/>
        <v>0-5 yrs</v>
      </c>
      <c r="Y755" t="str">
        <f t="shared" si="57"/>
        <v>Jan</v>
      </c>
      <c r="Z755">
        <f t="shared" si="58"/>
        <v>2025</v>
      </c>
      <c r="AA755">
        <f t="shared" si="59"/>
        <v>0</v>
      </c>
    </row>
    <row r="756" spans="1:27" ht="15" customHeight="1" x14ac:dyDescent="0.3">
      <c r="A756" t="s">
        <v>1333</v>
      </c>
      <c r="B756" s="20">
        <v>45975</v>
      </c>
      <c r="C756" t="s">
        <v>1334</v>
      </c>
      <c r="D756" t="s">
        <v>35</v>
      </c>
      <c r="E756" s="37">
        <v>52</v>
      </c>
      <c r="F756" t="s">
        <v>97</v>
      </c>
      <c r="G756" t="s">
        <v>98</v>
      </c>
      <c r="H756" t="s">
        <v>74</v>
      </c>
      <c r="I756" t="s">
        <v>82</v>
      </c>
      <c r="J756" t="s">
        <v>76</v>
      </c>
      <c r="K756" s="37">
        <v>14</v>
      </c>
      <c r="L756" t="s">
        <v>52</v>
      </c>
      <c r="M756" s="21">
        <v>52200</v>
      </c>
      <c r="N756" s="21">
        <v>739152</v>
      </c>
      <c r="O756" s="21">
        <v>112752</v>
      </c>
      <c r="P756" s="37">
        <v>3</v>
      </c>
      <c r="Q756" t="s">
        <v>42</v>
      </c>
      <c r="R756" s="37">
        <v>7</v>
      </c>
      <c r="S756" s="37">
        <v>1</v>
      </c>
      <c r="T756" t="s">
        <v>94</v>
      </c>
      <c r="U756" t="s">
        <v>54</v>
      </c>
      <c r="V756" t="s">
        <v>45</v>
      </c>
      <c r="W756" t="str">
        <f t="shared" si="55"/>
        <v>51-58</v>
      </c>
      <c r="X756" t="str">
        <f t="shared" si="56"/>
        <v>11-20 yrs</v>
      </c>
      <c r="Y756" t="str">
        <f t="shared" si="57"/>
        <v>Nov</v>
      </c>
      <c r="Z756">
        <f t="shared" si="58"/>
        <v>2025</v>
      </c>
      <c r="AA756">
        <f t="shared" si="59"/>
        <v>0</v>
      </c>
    </row>
    <row r="757" spans="1:27" ht="15" customHeight="1" x14ac:dyDescent="0.3">
      <c r="A757" t="s">
        <v>1335</v>
      </c>
      <c r="B757" s="20">
        <v>45924</v>
      </c>
      <c r="C757" t="s">
        <v>1058</v>
      </c>
      <c r="D757" t="s">
        <v>48</v>
      </c>
      <c r="E757" s="37">
        <v>22</v>
      </c>
      <c r="F757" t="s">
        <v>97</v>
      </c>
      <c r="G757" t="s">
        <v>98</v>
      </c>
      <c r="H757" t="s">
        <v>66</v>
      </c>
      <c r="I757" t="s">
        <v>39</v>
      </c>
      <c r="J757" t="s">
        <v>149</v>
      </c>
      <c r="K757" s="37">
        <v>17</v>
      </c>
      <c r="L757" t="s">
        <v>41</v>
      </c>
      <c r="M757" s="21">
        <v>35800</v>
      </c>
      <c r="N757" s="21">
        <v>459672</v>
      </c>
      <c r="O757" s="21">
        <v>30072</v>
      </c>
      <c r="P757" s="37">
        <v>5</v>
      </c>
      <c r="Q757" t="s">
        <v>42</v>
      </c>
      <c r="R757" s="37">
        <v>3</v>
      </c>
      <c r="S757" s="37">
        <v>35</v>
      </c>
      <c r="T757" t="s">
        <v>146</v>
      </c>
      <c r="U757" t="s">
        <v>54</v>
      </c>
      <c r="V757" t="s">
        <v>45</v>
      </c>
      <c r="W757" t="str">
        <f t="shared" si="55"/>
        <v>22-30</v>
      </c>
      <c r="X757" t="str">
        <f t="shared" si="56"/>
        <v>11-20 yrs</v>
      </c>
      <c r="Y757" t="str">
        <f t="shared" si="57"/>
        <v>Sep</v>
      </c>
      <c r="Z757">
        <f t="shared" si="58"/>
        <v>2025</v>
      </c>
      <c r="AA757">
        <f t="shared" si="59"/>
        <v>0</v>
      </c>
    </row>
    <row r="758" spans="1:27" ht="15" customHeight="1" x14ac:dyDescent="0.3">
      <c r="A758" t="s">
        <v>1336</v>
      </c>
      <c r="B758" s="20">
        <v>45828</v>
      </c>
      <c r="C758" t="s">
        <v>1337</v>
      </c>
      <c r="D758" t="s">
        <v>48</v>
      </c>
      <c r="E758" s="37">
        <v>56</v>
      </c>
      <c r="F758" t="s">
        <v>108</v>
      </c>
      <c r="G758" t="s">
        <v>109</v>
      </c>
      <c r="H758" t="s">
        <v>74</v>
      </c>
      <c r="I758" t="s">
        <v>39</v>
      </c>
      <c r="J758" t="s">
        <v>115</v>
      </c>
      <c r="K758" s="37">
        <v>10</v>
      </c>
      <c r="L758" t="s">
        <v>41</v>
      </c>
      <c r="M758" s="21">
        <v>34600</v>
      </c>
      <c r="N758" s="21">
        <v>489936</v>
      </c>
      <c r="O758" s="21">
        <v>74736</v>
      </c>
      <c r="P758" s="37">
        <v>3</v>
      </c>
      <c r="Q758" t="s">
        <v>126</v>
      </c>
      <c r="R758" s="37">
        <v>4</v>
      </c>
      <c r="S758" s="37">
        <v>12</v>
      </c>
      <c r="T758" t="s">
        <v>68</v>
      </c>
      <c r="U758" t="s">
        <v>54</v>
      </c>
      <c r="V758" t="s">
        <v>45</v>
      </c>
      <c r="W758" t="str">
        <f t="shared" si="55"/>
        <v>51-58</v>
      </c>
      <c r="X758" t="str">
        <f t="shared" si="56"/>
        <v>6-10 yrs</v>
      </c>
      <c r="Y758" t="str">
        <f t="shared" si="57"/>
        <v>Jun</v>
      </c>
      <c r="Z758">
        <f t="shared" si="58"/>
        <v>2025</v>
      </c>
      <c r="AA758">
        <f t="shared" si="59"/>
        <v>1</v>
      </c>
    </row>
    <row r="759" spans="1:27" ht="15" customHeight="1" x14ac:dyDescent="0.3">
      <c r="A759" t="s">
        <v>1338</v>
      </c>
      <c r="B759" s="20">
        <v>45682</v>
      </c>
      <c r="C759" t="s">
        <v>1339</v>
      </c>
      <c r="D759" t="s">
        <v>35</v>
      </c>
      <c r="E759" s="37">
        <v>39</v>
      </c>
      <c r="F759" t="s">
        <v>86</v>
      </c>
      <c r="G759" t="s">
        <v>87</v>
      </c>
      <c r="H759" t="s">
        <v>38</v>
      </c>
      <c r="I759" t="s">
        <v>39</v>
      </c>
      <c r="J759" t="s">
        <v>99</v>
      </c>
      <c r="K759" s="37">
        <v>10</v>
      </c>
      <c r="L759" t="s">
        <v>52</v>
      </c>
      <c r="M759" s="21">
        <v>37700</v>
      </c>
      <c r="N759" s="21">
        <v>497640</v>
      </c>
      <c r="O759" s="21">
        <v>45240</v>
      </c>
      <c r="P759" s="37">
        <v>4</v>
      </c>
      <c r="Q759" t="s">
        <v>42</v>
      </c>
      <c r="R759" s="37">
        <v>6</v>
      </c>
      <c r="S759" s="37">
        <v>14</v>
      </c>
      <c r="T759" t="s">
        <v>68</v>
      </c>
      <c r="U759" t="s">
        <v>63</v>
      </c>
      <c r="V759" t="s">
        <v>69</v>
      </c>
      <c r="W759" t="str">
        <f t="shared" si="55"/>
        <v>31-40</v>
      </c>
      <c r="X759" t="str">
        <f t="shared" si="56"/>
        <v>6-10 yrs</v>
      </c>
      <c r="Y759" t="str">
        <f t="shared" si="57"/>
        <v>Jan</v>
      </c>
      <c r="Z759">
        <f t="shared" si="58"/>
        <v>2025</v>
      </c>
      <c r="AA759">
        <f t="shared" si="59"/>
        <v>0</v>
      </c>
    </row>
    <row r="760" spans="1:27" ht="15" customHeight="1" x14ac:dyDescent="0.3">
      <c r="A760" t="s">
        <v>1340</v>
      </c>
      <c r="B760" s="20">
        <v>45722</v>
      </c>
      <c r="C760" t="s">
        <v>596</v>
      </c>
      <c r="D760" t="s">
        <v>48</v>
      </c>
      <c r="E760" s="37">
        <v>51</v>
      </c>
      <c r="F760" t="s">
        <v>36</v>
      </c>
      <c r="G760" t="s">
        <v>37</v>
      </c>
      <c r="H760" t="s">
        <v>74</v>
      </c>
      <c r="I760" t="s">
        <v>82</v>
      </c>
      <c r="J760" t="s">
        <v>152</v>
      </c>
      <c r="K760" s="37">
        <v>3</v>
      </c>
      <c r="L760" t="s">
        <v>41</v>
      </c>
      <c r="M760" s="21">
        <v>56500</v>
      </c>
      <c r="N760" s="21">
        <v>739020</v>
      </c>
      <c r="O760" s="21">
        <v>61020</v>
      </c>
      <c r="P760" s="37">
        <v>3</v>
      </c>
      <c r="Q760" t="s">
        <v>42</v>
      </c>
      <c r="R760" s="37">
        <v>7</v>
      </c>
      <c r="S760" s="37">
        <v>31</v>
      </c>
      <c r="T760" t="s">
        <v>53</v>
      </c>
      <c r="U760" t="s">
        <v>63</v>
      </c>
      <c r="V760" t="s">
        <v>45</v>
      </c>
      <c r="W760" t="str">
        <f t="shared" si="55"/>
        <v>51-58</v>
      </c>
      <c r="X760" t="str">
        <f t="shared" si="56"/>
        <v>0-5 yrs</v>
      </c>
      <c r="Y760" t="str">
        <f t="shared" si="57"/>
        <v>Mar</v>
      </c>
      <c r="Z760">
        <f t="shared" si="58"/>
        <v>2025</v>
      </c>
      <c r="AA760">
        <f t="shared" si="59"/>
        <v>0</v>
      </c>
    </row>
    <row r="761" spans="1:27" ht="15" customHeight="1" x14ac:dyDescent="0.3">
      <c r="A761" t="s">
        <v>1341</v>
      </c>
      <c r="B761" s="20">
        <v>45690</v>
      </c>
      <c r="C761" t="s">
        <v>505</v>
      </c>
      <c r="D761" t="s">
        <v>35</v>
      </c>
      <c r="E761" s="37">
        <v>54</v>
      </c>
      <c r="F761" t="s">
        <v>108</v>
      </c>
      <c r="G761" t="s">
        <v>109</v>
      </c>
      <c r="H761" t="s">
        <v>74</v>
      </c>
      <c r="I761" t="s">
        <v>39</v>
      </c>
      <c r="J761" t="s">
        <v>152</v>
      </c>
      <c r="K761" s="37">
        <v>20</v>
      </c>
      <c r="L761" t="s">
        <v>52</v>
      </c>
      <c r="M761" s="21">
        <v>35900</v>
      </c>
      <c r="N761" s="21">
        <v>469572</v>
      </c>
      <c r="O761" s="21">
        <v>38772</v>
      </c>
      <c r="P761" s="37">
        <v>4</v>
      </c>
      <c r="Q761" t="s">
        <v>42</v>
      </c>
      <c r="R761" s="37">
        <v>15</v>
      </c>
      <c r="S761" s="37">
        <v>14</v>
      </c>
      <c r="T761" t="s">
        <v>62</v>
      </c>
      <c r="U761" t="s">
        <v>44</v>
      </c>
      <c r="V761" t="s">
        <v>45</v>
      </c>
      <c r="W761" t="str">
        <f t="shared" si="55"/>
        <v>51-58</v>
      </c>
      <c r="X761" t="str">
        <f t="shared" si="56"/>
        <v>11-20 yrs</v>
      </c>
      <c r="Y761" t="str">
        <f t="shared" si="57"/>
        <v>Feb</v>
      </c>
      <c r="Z761">
        <f t="shared" si="58"/>
        <v>2025</v>
      </c>
      <c r="AA761">
        <f t="shared" si="59"/>
        <v>0</v>
      </c>
    </row>
    <row r="762" spans="1:27" ht="15" customHeight="1" x14ac:dyDescent="0.3">
      <c r="A762" t="s">
        <v>1342</v>
      </c>
      <c r="B762" s="20">
        <v>45729</v>
      </c>
      <c r="C762" t="s">
        <v>342</v>
      </c>
      <c r="D762" t="s">
        <v>48</v>
      </c>
      <c r="E762" s="37">
        <v>36</v>
      </c>
      <c r="F762" t="s">
        <v>91</v>
      </c>
      <c r="G762" t="s">
        <v>92</v>
      </c>
      <c r="H762" t="s">
        <v>38</v>
      </c>
      <c r="I762" t="s">
        <v>82</v>
      </c>
      <c r="J762" t="s">
        <v>190</v>
      </c>
      <c r="K762" s="37">
        <v>15</v>
      </c>
      <c r="L762" t="s">
        <v>52</v>
      </c>
      <c r="M762" s="21">
        <v>49400</v>
      </c>
      <c r="N762" s="21">
        <v>693576</v>
      </c>
      <c r="O762" s="21">
        <v>100776</v>
      </c>
      <c r="P762" s="37">
        <v>1</v>
      </c>
      <c r="Q762" t="s">
        <v>42</v>
      </c>
      <c r="R762" s="37">
        <v>8</v>
      </c>
      <c r="S762" s="37">
        <v>15</v>
      </c>
      <c r="T762" t="s">
        <v>43</v>
      </c>
      <c r="U762" t="s">
        <v>138</v>
      </c>
      <c r="V762" t="s">
        <v>69</v>
      </c>
      <c r="W762" t="str">
        <f t="shared" si="55"/>
        <v>31-40</v>
      </c>
      <c r="X762" t="str">
        <f t="shared" si="56"/>
        <v>11-20 yrs</v>
      </c>
      <c r="Y762" t="str">
        <f t="shared" si="57"/>
        <v>Mar</v>
      </c>
      <c r="Z762">
        <f t="shared" si="58"/>
        <v>2025</v>
      </c>
      <c r="AA762">
        <f t="shared" si="59"/>
        <v>0</v>
      </c>
    </row>
    <row r="763" spans="1:27" ht="15" customHeight="1" x14ac:dyDescent="0.3">
      <c r="A763" t="s">
        <v>1343</v>
      </c>
      <c r="B763" s="20">
        <v>45986</v>
      </c>
      <c r="C763" t="s">
        <v>1344</v>
      </c>
      <c r="D763" t="s">
        <v>48</v>
      </c>
      <c r="E763" s="37">
        <v>57</v>
      </c>
      <c r="F763" t="s">
        <v>36</v>
      </c>
      <c r="G763" t="s">
        <v>37</v>
      </c>
      <c r="H763" t="s">
        <v>59</v>
      </c>
      <c r="I763" t="s">
        <v>39</v>
      </c>
      <c r="J763" t="s">
        <v>125</v>
      </c>
      <c r="K763" s="37">
        <v>26</v>
      </c>
      <c r="L763" t="s">
        <v>52</v>
      </c>
      <c r="M763" s="21">
        <v>27800</v>
      </c>
      <c r="N763" s="21">
        <v>373632</v>
      </c>
      <c r="O763" s="21">
        <v>40032</v>
      </c>
      <c r="P763" s="37">
        <v>3</v>
      </c>
      <c r="Q763" t="s">
        <v>126</v>
      </c>
      <c r="R763" s="37">
        <v>8</v>
      </c>
      <c r="S763" s="37">
        <v>16</v>
      </c>
      <c r="T763" t="s">
        <v>68</v>
      </c>
      <c r="U763" t="s">
        <v>44</v>
      </c>
      <c r="V763" t="s">
        <v>69</v>
      </c>
      <c r="W763" t="str">
        <f t="shared" si="55"/>
        <v>51-58</v>
      </c>
      <c r="X763" t="str">
        <f t="shared" si="56"/>
        <v>21-30 yrs</v>
      </c>
      <c r="Y763" t="str">
        <f t="shared" si="57"/>
        <v>Nov</v>
      </c>
      <c r="Z763">
        <f t="shared" si="58"/>
        <v>2025</v>
      </c>
      <c r="AA763">
        <f t="shared" si="59"/>
        <v>1</v>
      </c>
    </row>
    <row r="764" spans="1:27" ht="15" customHeight="1" x14ac:dyDescent="0.3">
      <c r="A764" t="s">
        <v>1345</v>
      </c>
      <c r="B764" s="20">
        <v>45677</v>
      </c>
      <c r="C764" t="s">
        <v>1060</v>
      </c>
      <c r="D764" t="s">
        <v>48</v>
      </c>
      <c r="E764" s="37">
        <v>56</v>
      </c>
      <c r="F764" t="s">
        <v>108</v>
      </c>
      <c r="G764" t="s">
        <v>109</v>
      </c>
      <c r="H764" t="s">
        <v>66</v>
      </c>
      <c r="I764" t="s">
        <v>39</v>
      </c>
      <c r="J764" t="s">
        <v>67</v>
      </c>
      <c r="K764" s="37">
        <v>25</v>
      </c>
      <c r="L764" t="s">
        <v>52</v>
      </c>
      <c r="M764" s="21">
        <v>36300</v>
      </c>
      <c r="N764" s="21">
        <v>509651</v>
      </c>
      <c r="O764" s="21">
        <v>74052</v>
      </c>
      <c r="P764" s="37">
        <v>5</v>
      </c>
      <c r="Q764" t="s">
        <v>42</v>
      </c>
      <c r="R764" s="37">
        <v>10</v>
      </c>
      <c r="S764" s="37">
        <v>9</v>
      </c>
      <c r="T764" t="s">
        <v>175</v>
      </c>
      <c r="U764" t="s">
        <v>44</v>
      </c>
      <c r="V764" t="s">
        <v>69</v>
      </c>
      <c r="W764" t="str">
        <f t="shared" si="55"/>
        <v>51-58</v>
      </c>
      <c r="X764" t="str">
        <f t="shared" si="56"/>
        <v>21-30 yrs</v>
      </c>
      <c r="Y764" t="str">
        <f t="shared" si="57"/>
        <v>Jan</v>
      </c>
      <c r="Z764">
        <f t="shared" si="58"/>
        <v>2025</v>
      </c>
      <c r="AA764">
        <f t="shared" si="59"/>
        <v>0</v>
      </c>
    </row>
    <row r="765" spans="1:27" ht="15" customHeight="1" x14ac:dyDescent="0.3">
      <c r="A765" t="s">
        <v>1346</v>
      </c>
      <c r="B765" s="20">
        <v>45819</v>
      </c>
      <c r="C765" t="s">
        <v>1010</v>
      </c>
      <c r="D765" t="s">
        <v>35</v>
      </c>
      <c r="E765" s="37">
        <v>57</v>
      </c>
      <c r="F765" t="s">
        <v>80</v>
      </c>
      <c r="G765" t="s">
        <v>81</v>
      </c>
      <c r="H765" t="s">
        <v>66</v>
      </c>
      <c r="I765" t="s">
        <v>39</v>
      </c>
      <c r="J765" t="s">
        <v>93</v>
      </c>
      <c r="K765" s="37">
        <v>23</v>
      </c>
      <c r="L765" t="s">
        <v>52</v>
      </c>
      <c r="M765" s="21">
        <v>39500</v>
      </c>
      <c r="N765" s="21">
        <v>535620</v>
      </c>
      <c r="O765" s="21">
        <v>61620</v>
      </c>
      <c r="P765" s="37">
        <v>1</v>
      </c>
      <c r="Q765" t="s">
        <v>42</v>
      </c>
      <c r="R765" s="37">
        <v>12</v>
      </c>
      <c r="S765" s="37">
        <v>21</v>
      </c>
      <c r="T765" t="s">
        <v>77</v>
      </c>
      <c r="U765" t="s">
        <v>44</v>
      </c>
      <c r="V765" t="s">
        <v>45</v>
      </c>
      <c r="W765" t="str">
        <f t="shared" si="55"/>
        <v>51-58</v>
      </c>
      <c r="X765" t="str">
        <f t="shared" si="56"/>
        <v>21-30 yrs</v>
      </c>
      <c r="Y765" t="str">
        <f t="shared" si="57"/>
        <v>Jun</v>
      </c>
      <c r="Z765">
        <f t="shared" si="58"/>
        <v>2025</v>
      </c>
      <c r="AA765">
        <f t="shared" si="59"/>
        <v>0</v>
      </c>
    </row>
    <row r="766" spans="1:27" ht="15" customHeight="1" x14ac:dyDescent="0.3">
      <c r="A766" t="s">
        <v>1347</v>
      </c>
      <c r="B766" s="20">
        <v>45947</v>
      </c>
      <c r="C766" t="s">
        <v>485</v>
      </c>
      <c r="D766" t="s">
        <v>35</v>
      </c>
      <c r="E766" s="37">
        <v>32</v>
      </c>
      <c r="F766" t="s">
        <v>49</v>
      </c>
      <c r="G766" t="s">
        <v>50</v>
      </c>
      <c r="H766" t="s">
        <v>38</v>
      </c>
      <c r="I766" t="s">
        <v>39</v>
      </c>
      <c r="J766" t="s">
        <v>40</v>
      </c>
      <c r="K766" s="37">
        <v>27</v>
      </c>
      <c r="L766" t="s">
        <v>52</v>
      </c>
      <c r="M766" s="21">
        <v>36800</v>
      </c>
      <c r="N766" s="21">
        <v>507839</v>
      </c>
      <c r="O766" s="21">
        <v>66240</v>
      </c>
      <c r="P766" s="37">
        <v>4</v>
      </c>
      <c r="Q766" t="s">
        <v>42</v>
      </c>
      <c r="R766" s="37">
        <v>15</v>
      </c>
      <c r="S766" s="37">
        <v>16</v>
      </c>
      <c r="T766" t="s">
        <v>43</v>
      </c>
      <c r="U766" t="s">
        <v>44</v>
      </c>
      <c r="V766" t="s">
        <v>69</v>
      </c>
      <c r="W766" t="str">
        <f t="shared" si="55"/>
        <v>31-40</v>
      </c>
      <c r="X766" t="str">
        <f t="shared" si="56"/>
        <v>21-30 yrs</v>
      </c>
      <c r="Y766" t="str">
        <f t="shared" si="57"/>
        <v>Oct</v>
      </c>
      <c r="Z766">
        <f t="shared" si="58"/>
        <v>2025</v>
      </c>
      <c r="AA766">
        <f t="shared" si="59"/>
        <v>0</v>
      </c>
    </row>
    <row r="767" spans="1:27" ht="15" customHeight="1" x14ac:dyDescent="0.3">
      <c r="A767" t="s">
        <v>1348</v>
      </c>
      <c r="B767" s="20">
        <v>45707</v>
      </c>
      <c r="C767" t="s">
        <v>1349</v>
      </c>
      <c r="D767" t="s">
        <v>48</v>
      </c>
      <c r="E767" s="37">
        <v>55</v>
      </c>
      <c r="F767" t="s">
        <v>108</v>
      </c>
      <c r="G767" t="s">
        <v>109</v>
      </c>
      <c r="H767" t="s">
        <v>38</v>
      </c>
      <c r="I767" t="s">
        <v>82</v>
      </c>
      <c r="J767" t="s">
        <v>134</v>
      </c>
      <c r="K767" s="37">
        <v>17</v>
      </c>
      <c r="L767" t="s">
        <v>52</v>
      </c>
      <c r="M767" s="21">
        <v>52300</v>
      </c>
      <c r="N767" s="21">
        <v>734292</v>
      </c>
      <c r="O767" s="21">
        <v>106692</v>
      </c>
      <c r="P767" s="37">
        <v>4</v>
      </c>
      <c r="Q767" t="s">
        <v>42</v>
      </c>
      <c r="R767" s="37">
        <v>7</v>
      </c>
      <c r="S767" s="37">
        <v>2</v>
      </c>
      <c r="T767" t="s">
        <v>62</v>
      </c>
      <c r="U767" t="s">
        <v>63</v>
      </c>
      <c r="V767" t="s">
        <v>45</v>
      </c>
      <c r="W767" t="str">
        <f t="shared" si="55"/>
        <v>51-58</v>
      </c>
      <c r="X767" t="str">
        <f t="shared" si="56"/>
        <v>11-20 yrs</v>
      </c>
      <c r="Y767" t="str">
        <f t="shared" si="57"/>
        <v>Feb</v>
      </c>
      <c r="Z767">
        <f t="shared" si="58"/>
        <v>2025</v>
      </c>
      <c r="AA767">
        <f t="shared" si="59"/>
        <v>0</v>
      </c>
    </row>
    <row r="768" spans="1:27" ht="15" customHeight="1" x14ac:dyDescent="0.3">
      <c r="A768" t="s">
        <v>1350</v>
      </c>
      <c r="B768" s="20">
        <v>45997</v>
      </c>
      <c r="C768" t="s">
        <v>409</v>
      </c>
      <c r="D768" t="s">
        <v>48</v>
      </c>
      <c r="E768" s="37">
        <v>56</v>
      </c>
      <c r="F768" t="s">
        <v>91</v>
      </c>
      <c r="G768" t="s">
        <v>92</v>
      </c>
      <c r="H768" t="s">
        <v>74</v>
      </c>
      <c r="I768" t="s">
        <v>75</v>
      </c>
      <c r="J768" t="s">
        <v>76</v>
      </c>
      <c r="K768" s="37">
        <v>20</v>
      </c>
      <c r="L768" t="s">
        <v>120</v>
      </c>
      <c r="M768" s="21">
        <v>85800</v>
      </c>
      <c r="N768" s="21">
        <v>1101672</v>
      </c>
      <c r="O768" s="21">
        <v>72072</v>
      </c>
      <c r="P768" s="37">
        <v>3</v>
      </c>
      <c r="Q768" t="s">
        <v>42</v>
      </c>
      <c r="R768" s="37">
        <v>9</v>
      </c>
      <c r="S768" s="37">
        <v>37</v>
      </c>
      <c r="T768" t="s">
        <v>146</v>
      </c>
      <c r="U768" t="s">
        <v>44</v>
      </c>
      <c r="V768" t="s">
        <v>69</v>
      </c>
      <c r="W768" t="str">
        <f t="shared" si="55"/>
        <v>51-58</v>
      </c>
      <c r="X768" t="str">
        <f t="shared" si="56"/>
        <v>11-20 yrs</v>
      </c>
      <c r="Y768" t="str">
        <f t="shared" si="57"/>
        <v>Dec</v>
      </c>
      <c r="Z768">
        <f t="shared" si="58"/>
        <v>2025</v>
      </c>
      <c r="AA768">
        <f t="shared" si="59"/>
        <v>0</v>
      </c>
    </row>
    <row r="769" spans="1:27" ht="15" customHeight="1" x14ac:dyDescent="0.3">
      <c r="A769" t="s">
        <v>1351</v>
      </c>
      <c r="B769" s="20">
        <v>45846</v>
      </c>
      <c r="C769" t="s">
        <v>1352</v>
      </c>
      <c r="D769" t="s">
        <v>35</v>
      </c>
      <c r="E769" s="37">
        <v>23</v>
      </c>
      <c r="F769" t="s">
        <v>97</v>
      </c>
      <c r="G769" t="s">
        <v>98</v>
      </c>
      <c r="H769" t="s">
        <v>66</v>
      </c>
      <c r="I769" t="s">
        <v>60</v>
      </c>
      <c r="J769" t="s">
        <v>170</v>
      </c>
      <c r="K769" s="37">
        <v>24</v>
      </c>
      <c r="L769" t="s">
        <v>52</v>
      </c>
      <c r="M769" s="21">
        <v>181900</v>
      </c>
      <c r="N769" s="21">
        <v>2553876</v>
      </c>
      <c r="O769" s="21">
        <v>371076</v>
      </c>
      <c r="P769" s="37">
        <v>3</v>
      </c>
      <c r="Q769" t="s">
        <v>42</v>
      </c>
      <c r="R769" s="37">
        <v>0</v>
      </c>
      <c r="S769" s="37">
        <v>12</v>
      </c>
      <c r="T769" t="s">
        <v>146</v>
      </c>
      <c r="U769" t="s">
        <v>63</v>
      </c>
      <c r="V769" t="s">
        <v>69</v>
      </c>
      <c r="W769" t="str">
        <f t="shared" si="55"/>
        <v>22-30</v>
      </c>
      <c r="X769" t="str">
        <f t="shared" si="56"/>
        <v>21-30 yrs</v>
      </c>
      <c r="Y769" t="str">
        <f t="shared" si="57"/>
        <v>Jul</v>
      </c>
      <c r="Z769">
        <f t="shared" si="58"/>
        <v>2025</v>
      </c>
      <c r="AA769">
        <f t="shared" si="59"/>
        <v>0</v>
      </c>
    </row>
    <row r="770" spans="1:27" ht="15" customHeight="1" x14ac:dyDescent="0.3">
      <c r="A770" t="s">
        <v>1353</v>
      </c>
      <c r="B770" s="20">
        <v>45992</v>
      </c>
      <c r="C770" t="s">
        <v>1354</v>
      </c>
      <c r="D770" t="s">
        <v>35</v>
      </c>
      <c r="E770" s="37">
        <v>37</v>
      </c>
      <c r="F770" t="s">
        <v>80</v>
      </c>
      <c r="G770" t="s">
        <v>81</v>
      </c>
      <c r="H770" t="s">
        <v>38</v>
      </c>
      <c r="I770" t="s">
        <v>39</v>
      </c>
      <c r="J770" t="s">
        <v>190</v>
      </c>
      <c r="K770" s="37">
        <v>7</v>
      </c>
      <c r="L770" t="s">
        <v>52</v>
      </c>
      <c r="M770" s="21">
        <v>30800</v>
      </c>
      <c r="N770" s="21">
        <v>410256</v>
      </c>
      <c r="O770" s="21">
        <v>40656</v>
      </c>
      <c r="P770" s="37">
        <v>4</v>
      </c>
      <c r="Q770" t="s">
        <v>42</v>
      </c>
      <c r="R770" s="37">
        <v>10</v>
      </c>
      <c r="S770" s="37">
        <v>32</v>
      </c>
      <c r="T770" t="s">
        <v>53</v>
      </c>
      <c r="U770" t="s">
        <v>54</v>
      </c>
      <c r="V770" t="s">
        <v>69</v>
      </c>
      <c r="W770" t="str">
        <f t="shared" ref="W770:W833" si="60">IF(E770&lt;=30,"22-30",IF(E770&lt;=40,"31-40",IF(E770&lt;=50,"41-50","51-58")))</f>
        <v>31-40</v>
      </c>
      <c r="X770" t="str">
        <f t="shared" ref="X770:X833" si="61">IF(K770&lt;=5,"0-5 yrs",IF(K770&lt;=10,"6-10 yrs",IF(K770&lt;=20,"11-20 yrs","21-30 yrs")))</f>
        <v>6-10 yrs</v>
      </c>
      <c r="Y770" t="str">
        <f t="shared" ref="Y770:Y833" si="62">TEXT(B770,"mmm")</f>
        <v>Dec</v>
      </c>
      <c r="Z770">
        <f t="shared" ref="Z770:Z833" si="63">YEAR(B770)</f>
        <v>2025</v>
      </c>
      <c r="AA770">
        <f t="shared" ref="AA770:AA833" si="64">IF(Q770="Yes",1,0)</f>
        <v>0</v>
      </c>
    </row>
    <row r="771" spans="1:27" ht="15" customHeight="1" x14ac:dyDescent="0.3">
      <c r="A771" t="s">
        <v>1355</v>
      </c>
      <c r="B771" s="20">
        <v>45871</v>
      </c>
      <c r="C771" t="s">
        <v>1356</v>
      </c>
      <c r="D771" t="s">
        <v>35</v>
      </c>
      <c r="E771" s="37">
        <v>27</v>
      </c>
      <c r="F771" t="s">
        <v>36</v>
      </c>
      <c r="G771" t="s">
        <v>37</v>
      </c>
      <c r="H771" t="s">
        <v>66</v>
      </c>
      <c r="I771" t="s">
        <v>39</v>
      </c>
      <c r="J771" t="s">
        <v>170</v>
      </c>
      <c r="K771" s="37">
        <v>21</v>
      </c>
      <c r="L771" t="s">
        <v>52</v>
      </c>
      <c r="M771" s="21">
        <v>48600</v>
      </c>
      <c r="N771" s="21">
        <v>682344</v>
      </c>
      <c r="O771" s="21">
        <v>99144</v>
      </c>
      <c r="P771" s="37">
        <v>3</v>
      </c>
      <c r="Q771" t="s">
        <v>42</v>
      </c>
      <c r="R771" s="37">
        <v>0</v>
      </c>
      <c r="S771" s="37">
        <v>13</v>
      </c>
      <c r="T771" t="s">
        <v>129</v>
      </c>
      <c r="U771" t="s">
        <v>44</v>
      </c>
      <c r="V771" t="s">
        <v>69</v>
      </c>
      <c r="W771" t="str">
        <f t="shared" si="60"/>
        <v>22-30</v>
      </c>
      <c r="X771" t="str">
        <f t="shared" si="61"/>
        <v>21-30 yrs</v>
      </c>
      <c r="Y771" t="str">
        <f t="shared" si="62"/>
        <v>Aug</v>
      </c>
      <c r="Z771">
        <f t="shared" si="63"/>
        <v>2025</v>
      </c>
      <c r="AA771">
        <f t="shared" si="64"/>
        <v>0</v>
      </c>
    </row>
    <row r="772" spans="1:27" ht="15" customHeight="1" x14ac:dyDescent="0.3">
      <c r="A772" t="s">
        <v>1357</v>
      </c>
      <c r="B772" s="20">
        <v>45834</v>
      </c>
      <c r="C772" t="s">
        <v>85</v>
      </c>
      <c r="D772" t="s">
        <v>48</v>
      </c>
      <c r="E772" s="37">
        <v>28</v>
      </c>
      <c r="F772" t="s">
        <v>72</v>
      </c>
      <c r="G772" t="s">
        <v>73</v>
      </c>
      <c r="H772" t="s">
        <v>38</v>
      </c>
      <c r="I772" t="s">
        <v>39</v>
      </c>
      <c r="J772" t="s">
        <v>40</v>
      </c>
      <c r="K772" s="37">
        <v>20</v>
      </c>
      <c r="L772" t="s">
        <v>52</v>
      </c>
      <c r="M772" s="21">
        <v>32400</v>
      </c>
      <c r="N772" s="21">
        <v>427680</v>
      </c>
      <c r="O772" s="21">
        <v>38880</v>
      </c>
      <c r="P772" s="37">
        <v>5</v>
      </c>
      <c r="Q772" t="s">
        <v>42</v>
      </c>
      <c r="R772" s="37">
        <v>4</v>
      </c>
      <c r="S772" s="37">
        <v>25</v>
      </c>
      <c r="T772" t="s">
        <v>175</v>
      </c>
      <c r="U772" t="s">
        <v>44</v>
      </c>
      <c r="V772" t="s">
        <v>45</v>
      </c>
      <c r="W772" t="str">
        <f t="shared" si="60"/>
        <v>22-30</v>
      </c>
      <c r="X772" t="str">
        <f t="shared" si="61"/>
        <v>11-20 yrs</v>
      </c>
      <c r="Y772" t="str">
        <f t="shared" si="62"/>
        <v>Jun</v>
      </c>
      <c r="Z772">
        <f t="shared" si="63"/>
        <v>2025</v>
      </c>
      <c r="AA772">
        <f t="shared" si="64"/>
        <v>0</v>
      </c>
    </row>
    <row r="773" spans="1:27" ht="15" customHeight="1" x14ac:dyDescent="0.3">
      <c r="A773" t="s">
        <v>1358</v>
      </c>
      <c r="B773" s="20">
        <v>45895</v>
      </c>
      <c r="C773" t="s">
        <v>1072</v>
      </c>
      <c r="D773" t="s">
        <v>35</v>
      </c>
      <c r="E773" s="37">
        <v>54</v>
      </c>
      <c r="F773" t="s">
        <v>97</v>
      </c>
      <c r="G773" t="s">
        <v>98</v>
      </c>
      <c r="H773" t="s">
        <v>118</v>
      </c>
      <c r="I773" t="s">
        <v>75</v>
      </c>
      <c r="J773" t="s">
        <v>137</v>
      </c>
      <c r="K773" s="37">
        <v>2</v>
      </c>
      <c r="L773" t="s">
        <v>120</v>
      </c>
      <c r="M773" s="21">
        <v>98700</v>
      </c>
      <c r="N773" s="21">
        <v>1373904</v>
      </c>
      <c r="O773" s="21">
        <v>189504</v>
      </c>
      <c r="P773" s="37">
        <v>4</v>
      </c>
      <c r="Q773" t="s">
        <v>42</v>
      </c>
      <c r="R773" s="37">
        <v>14</v>
      </c>
      <c r="S773" s="37">
        <v>8</v>
      </c>
      <c r="T773" t="s">
        <v>94</v>
      </c>
      <c r="U773" t="s">
        <v>54</v>
      </c>
      <c r="V773" t="s">
        <v>69</v>
      </c>
      <c r="W773" t="str">
        <f t="shared" si="60"/>
        <v>51-58</v>
      </c>
      <c r="X773" t="str">
        <f t="shared" si="61"/>
        <v>0-5 yrs</v>
      </c>
      <c r="Y773" t="str">
        <f t="shared" si="62"/>
        <v>Aug</v>
      </c>
      <c r="Z773">
        <f t="shared" si="63"/>
        <v>2025</v>
      </c>
      <c r="AA773">
        <f t="shared" si="64"/>
        <v>0</v>
      </c>
    </row>
    <row r="774" spans="1:27" ht="15" customHeight="1" x14ac:dyDescent="0.3">
      <c r="A774" t="s">
        <v>1359</v>
      </c>
      <c r="B774" s="20">
        <v>45916</v>
      </c>
      <c r="C774" t="s">
        <v>1360</v>
      </c>
      <c r="D774" t="s">
        <v>35</v>
      </c>
      <c r="E774" s="37">
        <v>26</v>
      </c>
      <c r="F774" t="s">
        <v>36</v>
      </c>
      <c r="G774" t="s">
        <v>37</v>
      </c>
      <c r="H774" t="s">
        <v>66</v>
      </c>
      <c r="I774" t="s">
        <v>39</v>
      </c>
      <c r="J774" t="s">
        <v>149</v>
      </c>
      <c r="K774" s="37">
        <v>25</v>
      </c>
      <c r="L774" t="s">
        <v>52</v>
      </c>
      <c r="M774" s="21">
        <v>44700</v>
      </c>
      <c r="N774" s="21">
        <v>563220</v>
      </c>
      <c r="O774" s="21">
        <v>26820</v>
      </c>
      <c r="P774" s="37">
        <v>2</v>
      </c>
      <c r="Q774" t="s">
        <v>126</v>
      </c>
      <c r="R774" s="37">
        <v>2</v>
      </c>
      <c r="S774" s="37">
        <v>4</v>
      </c>
      <c r="T774" t="s">
        <v>175</v>
      </c>
      <c r="U774" t="s">
        <v>44</v>
      </c>
      <c r="V774" t="s">
        <v>69</v>
      </c>
      <c r="W774" t="str">
        <f t="shared" si="60"/>
        <v>22-30</v>
      </c>
      <c r="X774" t="str">
        <f t="shared" si="61"/>
        <v>21-30 yrs</v>
      </c>
      <c r="Y774" t="str">
        <f t="shared" si="62"/>
        <v>Sep</v>
      </c>
      <c r="Z774">
        <f t="shared" si="63"/>
        <v>2025</v>
      </c>
      <c r="AA774">
        <f t="shared" si="64"/>
        <v>1</v>
      </c>
    </row>
    <row r="775" spans="1:27" ht="15" customHeight="1" x14ac:dyDescent="0.3">
      <c r="A775" t="s">
        <v>1361</v>
      </c>
      <c r="B775" s="20">
        <v>45801</v>
      </c>
      <c r="C775" t="s">
        <v>1362</v>
      </c>
      <c r="D775" t="s">
        <v>35</v>
      </c>
      <c r="E775" s="37">
        <v>55</v>
      </c>
      <c r="F775" t="s">
        <v>36</v>
      </c>
      <c r="G775" t="s">
        <v>37</v>
      </c>
      <c r="H775" t="s">
        <v>66</v>
      </c>
      <c r="I775" t="s">
        <v>82</v>
      </c>
      <c r="J775" t="s">
        <v>93</v>
      </c>
      <c r="K775" s="37">
        <v>24</v>
      </c>
      <c r="L775" t="s">
        <v>41</v>
      </c>
      <c r="M775" s="21">
        <v>74000</v>
      </c>
      <c r="N775" s="21">
        <v>950160</v>
      </c>
      <c r="O775" s="21">
        <v>62160</v>
      </c>
      <c r="P775" s="37">
        <v>5</v>
      </c>
      <c r="Q775" t="s">
        <v>126</v>
      </c>
      <c r="R775" s="37">
        <v>16</v>
      </c>
      <c r="S775" s="37">
        <v>22</v>
      </c>
      <c r="T775" t="s">
        <v>146</v>
      </c>
      <c r="U775" t="s">
        <v>44</v>
      </c>
      <c r="V775" t="s">
        <v>45</v>
      </c>
      <c r="W775" t="str">
        <f t="shared" si="60"/>
        <v>51-58</v>
      </c>
      <c r="X775" t="str">
        <f t="shared" si="61"/>
        <v>21-30 yrs</v>
      </c>
      <c r="Y775" t="str">
        <f t="shared" si="62"/>
        <v>May</v>
      </c>
      <c r="Z775">
        <f t="shared" si="63"/>
        <v>2025</v>
      </c>
      <c r="AA775">
        <f t="shared" si="64"/>
        <v>1</v>
      </c>
    </row>
    <row r="776" spans="1:27" ht="15" customHeight="1" x14ac:dyDescent="0.3">
      <c r="A776" t="s">
        <v>1363</v>
      </c>
      <c r="B776" s="20">
        <v>45679</v>
      </c>
      <c r="C776" t="s">
        <v>348</v>
      </c>
      <c r="D776" t="s">
        <v>48</v>
      </c>
      <c r="E776" s="37">
        <v>43</v>
      </c>
      <c r="F776" t="s">
        <v>36</v>
      </c>
      <c r="G776" t="s">
        <v>37</v>
      </c>
      <c r="H776" t="s">
        <v>66</v>
      </c>
      <c r="I776" t="s">
        <v>82</v>
      </c>
      <c r="J776" t="s">
        <v>161</v>
      </c>
      <c r="K776" s="37">
        <v>16</v>
      </c>
      <c r="L776" t="s">
        <v>52</v>
      </c>
      <c r="M776" s="21">
        <v>75000</v>
      </c>
      <c r="N776" s="21">
        <v>963000</v>
      </c>
      <c r="O776" s="21">
        <v>63000</v>
      </c>
      <c r="P776" s="37">
        <v>5</v>
      </c>
      <c r="Q776" t="s">
        <v>42</v>
      </c>
      <c r="R776" s="37">
        <v>6</v>
      </c>
      <c r="S776" s="37">
        <v>39</v>
      </c>
      <c r="T776" t="s">
        <v>62</v>
      </c>
      <c r="U776" t="s">
        <v>54</v>
      </c>
      <c r="V776" t="s">
        <v>69</v>
      </c>
      <c r="W776" t="str">
        <f t="shared" si="60"/>
        <v>41-50</v>
      </c>
      <c r="X776" t="str">
        <f t="shared" si="61"/>
        <v>11-20 yrs</v>
      </c>
      <c r="Y776" t="str">
        <f t="shared" si="62"/>
        <v>Jan</v>
      </c>
      <c r="Z776">
        <f t="shared" si="63"/>
        <v>2025</v>
      </c>
      <c r="AA776">
        <f t="shared" si="64"/>
        <v>0</v>
      </c>
    </row>
    <row r="777" spans="1:27" ht="15" customHeight="1" x14ac:dyDescent="0.3">
      <c r="A777" t="s">
        <v>1364</v>
      </c>
      <c r="B777" s="20">
        <v>45760</v>
      </c>
      <c r="C777" t="s">
        <v>276</v>
      </c>
      <c r="D777" t="s">
        <v>35</v>
      </c>
      <c r="E777" s="37">
        <v>36</v>
      </c>
      <c r="F777" t="s">
        <v>36</v>
      </c>
      <c r="G777" t="s">
        <v>37</v>
      </c>
      <c r="H777" t="s">
        <v>38</v>
      </c>
      <c r="I777" t="s">
        <v>75</v>
      </c>
      <c r="J777" t="s">
        <v>110</v>
      </c>
      <c r="K777" s="37">
        <v>19</v>
      </c>
      <c r="L777" t="s">
        <v>52</v>
      </c>
      <c r="M777" s="21">
        <v>85200</v>
      </c>
      <c r="N777" s="21">
        <v>1165536</v>
      </c>
      <c r="O777" s="21">
        <v>143136</v>
      </c>
      <c r="P777" s="37">
        <v>3</v>
      </c>
      <c r="Q777" t="s">
        <v>42</v>
      </c>
      <c r="R777" s="37">
        <v>14</v>
      </c>
      <c r="S777" s="37">
        <v>18</v>
      </c>
      <c r="T777" t="s">
        <v>129</v>
      </c>
      <c r="U777" t="s">
        <v>44</v>
      </c>
      <c r="V777" t="s">
        <v>69</v>
      </c>
      <c r="W777" t="str">
        <f t="shared" si="60"/>
        <v>31-40</v>
      </c>
      <c r="X777" t="str">
        <f t="shared" si="61"/>
        <v>11-20 yrs</v>
      </c>
      <c r="Y777" t="str">
        <f t="shared" si="62"/>
        <v>Apr</v>
      </c>
      <c r="Z777">
        <f t="shared" si="63"/>
        <v>2025</v>
      </c>
      <c r="AA777">
        <f t="shared" si="64"/>
        <v>0</v>
      </c>
    </row>
    <row r="778" spans="1:27" ht="15" customHeight="1" x14ac:dyDescent="0.3">
      <c r="A778" t="s">
        <v>1365</v>
      </c>
      <c r="B778" s="20">
        <v>45720</v>
      </c>
      <c r="C778" t="s">
        <v>1366</v>
      </c>
      <c r="D778" t="s">
        <v>35</v>
      </c>
      <c r="E778" s="37">
        <v>49</v>
      </c>
      <c r="F778" t="s">
        <v>72</v>
      </c>
      <c r="G778" t="s">
        <v>73</v>
      </c>
      <c r="H778" t="s">
        <v>66</v>
      </c>
      <c r="I778" t="s">
        <v>39</v>
      </c>
      <c r="J778" t="s">
        <v>149</v>
      </c>
      <c r="K778" s="37">
        <v>13</v>
      </c>
      <c r="L778" t="s">
        <v>52</v>
      </c>
      <c r="M778" s="21">
        <v>43200</v>
      </c>
      <c r="N778" s="21">
        <v>622080</v>
      </c>
      <c r="O778" s="21">
        <v>103680</v>
      </c>
      <c r="P778" s="37">
        <v>4</v>
      </c>
      <c r="Q778" t="s">
        <v>42</v>
      </c>
      <c r="R778" s="37">
        <v>13</v>
      </c>
      <c r="S778" s="37">
        <v>12</v>
      </c>
      <c r="T778" t="s">
        <v>62</v>
      </c>
      <c r="U778" t="s">
        <v>44</v>
      </c>
      <c r="V778" t="s">
        <v>69</v>
      </c>
      <c r="W778" t="str">
        <f t="shared" si="60"/>
        <v>41-50</v>
      </c>
      <c r="X778" t="str">
        <f t="shared" si="61"/>
        <v>11-20 yrs</v>
      </c>
      <c r="Y778" t="str">
        <f t="shared" si="62"/>
        <v>Mar</v>
      </c>
      <c r="Z778">
        <f t="shared" si="63"/>
        <v>2025</v>
      </c>
      <c r="AA778">
        <f t="shared" si="64"/>
        <v>0</v>
      </c>
    </row>
    <row r="779" spans="1:27" ht="15" customHeight="1" x14ac:dyDescent="0.3">
      <c r="A779" t="s">
        <v>1367</v>
      </c>
      <c r="B779" s="20">
        <v>45721</v>
      </c>
      <c r="C779" t="s">
        <v>1368</v>
      </c>
      <c r="D779" t="s">
        <v>35</v>
      </c>
      <c r="E779" s="37">
        <v>24</v>
      </c>
      <c r="F779" t="s">
        <v>49</v>
      </c>
      <c r="G779" t="s">
        <v>50</v>
      </c>
      <c r="H779" t="s">
        <v>74</v>
      </c>
      <c r="I779" t="s">
        <v>39</v>
      </c>
      <c r="J779" t="s">
        <v>115</v>
      </c>
      <c r="K779" s="37">
        <v>10</v>
      </c>
      <c r="L779" t="s">
        <v>52</v>
      </c>
      <c r="M779" s="21">
        <v>34900</v>
      </c>
      <c r="N779" s="21">
        <v>473243</v>
      </c>
      <c r="O779" s="21">
        <v>54444</v>
      </c>
      <c r="P779" s="37">
        <v>3</v>
      </c>
      <c r="Q779" t="s">
        <v>42</v>
      </c>
      <c r="R779" s="37">
        <v>9</v>
      </c>
      <c r="S779" s="37">
        <v>10</v>
      </c>
      <c r="T779" t="s">
        <v>43</v>
      </c>
      <c r="U779" t="s">
        <v>44</v>
      </c>
      <c r="V779" t="s">
        <v>45</v>
      </c>
      <c r="W779" t="str">
        <f t="shared" si="60"/>
        <v>22-30</v>
      </c>
      <c r="X779" t="str">
        <f t="shared" si="61"/>
        <v>6-10 yrs</v>
      </c>
      <c r="Y779" t="str">
        <f t="shared" si="62"/>
        <v>Mar</v>
      </c>
      <c r="Z779">
        <f t="shared" si="63"/>
        <v>2025</v>
      </c>
      <c r="AA779">
        <f t="shared" si="64"/>
        <v>0</v>
      </c>
    </row>
    <row r="780" spans="1:27" ht="15" customHeight="1" x14ac:dyDescent="0.3">
      <c r="A780" t="s">
        <v>1369</v>
      </c>
      <c r="B780" s="20">
        <v>45812</v>
      </c>
      <c r="C780" t="s">
        <v>1075</v>
      </c>
      <c r="D780" t="s">
        <v>35</v>
      </c>
      <c r="E780" s="37">
        <v>47</v>
      </c>
      <c r="F780" t="s">
        <v>91</v>
      </c>
      <c r="G780" t="s">
        <v>92</v>
      </c>
      <c r="H780" t="s">
        <v>38</v>
      </c>
      <c r="I780" t="s">
        <v>75</v>
      </c>
      <c r="J780" t="s">
        <v>110</v>
      </c>
      <c r="K780" s="37">
        <v>21</v>
      </c>
      <c r="L780" t="s">
        <v>52</v>
      </c>
      <c r="M780" s="21">
        <v>86300</v>
      </c>
      <c r="N780" s="21">
        <v>1159872</v>
      </c>
      <c r="O780" s="21">
        <v>124272</v>
      </c>
      <c r="P780" s="37">
        <v>4</v>
      </c>
      <c r="Q780" t="s">
        <v>42</v>
      </c>
      <c r="R780" s="37">
        <v>15</v>
      </c>
      <c r="S780" s="37">
        <v>29</v>
      </c>
      <c r="T780" t="s">
        <v>43</v>
      </c>
      <c r="U780" t="s">
        <v>63</v>
      </c>
      <c r="V780" t="s">
        <v>45</v>
      </c>
      <c r="W780" t="str">
        <f t="shared" si="60"/>
        <v>41-50</v>
      </c>
      <c r="X780" t="str">
        <f t="shared" si="61"/>
        <v>21-30 yrs</v>
      </c>
      <c r="Y780" t="str">
        <f t="shared" si="62"/>
        <v>Jun</v>
      </c>
      <c r="Z780">
        <f t="shared" si="63"/>
        <v>2025</v>
      </c>
      <c r="AA780">
        <f t="shared" si="64"/>
        <v>0</v>
      </c>
    </row>
    <row r="781" spans="1:27" ht="15" customHeight="1" x14ac:dyDescent="0.3">
      <c r="A781" t="s">
        <v>1370</v>
      </c>
      <c r="B781" s="20">
        <v>45718</v>
      </c>
      <c r="C781" t="s">
        <v>1228</v>
      </c>
      <c r="D781" t="s">
        <v>48</v>
      </c>
      <c r="E781" s="37">
        <v>32</v>
      </c>
      <c r="F781" t="s">
        <v>97</v>
      </c>
      <c r="G781" t="s">
        <v>98</v>
      </c>
      <c r="H781" t="s">
        <v>59</v>
      </c>
      <c r="I781" t="s">
        <v>75</v>
      </c>
      <c r="J781" t="s">
        <v>88</v>
      </c>
      <c r="K781" s="37">
        <v>14</v>
      </c>
      <c r="L781" t="s">
        <v>52</v>
      </c>
      <c r="M781" s="21">
        <v>71300</v>
      </c>
      <c r="N781" s="21">
        <v>983939</v>
      </c>
      <c r="O781" s="21">
        <v>128340</v>
      </c>
      <c r="P781" s="37">
        <v>5</v>
      </c>
      <c r="Q781" t="s">
        <v>42</v>
      </c>
      <c r="R781" s="37">
        <v>8</v>
      </c>
      <c r="S781" s="37">
        <v>22</v>
      </c>
      <c r="T781" t="s">
        <v>53</v>
      </c>
      <c r="U781" t="s">
        <v>44</v>
      </c>
      <c r="V781" t="s">
        <v>45</v>
      </c>
      <c r="W781" t="str">
        <f t="shared" si="60"/>
        <v>31-40</v>
      </c>
      <c r="X781" t="str">
        <f t="shared" si="61"/>
        <v>11-20 yrs</v>
      </c>
      <c r="Y781" t="str">
        <f t="shared" si="62"/>
        <v>Mar</v>
      </c>
      <c r="Z781">
        <f t="shared" si="63"/>
        <v>2025</v>
      </c>
      <c r="AA781">
        <f t="shared" si="64"/>
        <v>0</v>
      </c>
    </row>
    <row r="782" spans="1:27" ht="15" customHeight="1" x14ac:dyDescent="0.3">
      <c r="A782" t="s">
        <v>1371</v>
      </c>
      <c r="B782" s="20">
        <v>45945</v>
      </c>
      <c r="C782" t="s">
        <v>1372</v>
      </c>
      <c r="D782" t="s">
        <v>48</v>
      </c>
      <c r="E782" s="37">
        <v>42</v>
      </c>
      <c r="F782" t="s">
        <v>86</v>
      </c>
      <c r="G782" t="s">
        <v>87</v>
      </c>
      <c r="H782" t="s">
        <v>59</v>
      </c>
      <c r="I782" t="s">
        <v>60</v>
      </c>
      <c r="J782" t="s">
        <v>141</v>
      </c>
      <c r="K782" s="37">
        <v>18</v>
      </c>
      <c r="L782" t="s">
        <v>120</v>
      </c>
      <c r="M782" s="21">
        <v>102300</v>
      </c>
      <c r="N782" s="21">
        <v>1350360</v>
      </c>
      <c r="O782" s="21">
        <v>122760</v>
      </c>
      <c r="P782" s="37">
        <v>3</v>
      </c>
      <c r="Q782" t="s">
        <v>126</v>
      </c>
      <c r="R782" s="37">
        <v>11</v>
      </c>
      <c r="S782" s="37">
        <v>35</v>
      </c>
      <c r="T782" t="s">
        <v>94</v>
      </c>
      <c r="U782" t="s">
        <v>63</v>
      </c>
      <c r="V782" t="s">
        <v>45</v>
      </c>
      <c r="W782" t="str">
        <f t="shared" si="60"/>
        <v>41-50</v>
      </c>
      <c r="X782" t="str">
        <f t="shared" si="61"/>
        <v>11-20 yrs</v>
      </c>
      <c r="Y782" t="str">
        <f t="shared" si="62"/>
        <v>Oct</v>
      </c>
      <c r="Z782">
        <f t="shared" si="63"/>
        <v>2025</v>
      </c>
      <c r="AA782">
        <f t="shared" si="64"/>
        <v>1</v>
      </c>
    </row>
    <row r="783" spans="1:27" ht="15" customHeight="1" x14ac:dyDescent="0.3">
      <c r="A783" t="s">
        <v>1373</v>
      </c>
      <c r="B783" s="20">
        <v>45671</v>
      </c>
      <c r="C783" t="s">
        <v>1374</v>
      </c>
      <c r="D783" t="s">
        <v>35</v>
      </c>
      <c r="E783" s="37">
        <v>25</v>
      </c>
      <c r="F783" t="s">
        <v>72</v>
      </c>
      <c r="G783" t="s">
        <v>73</v>
      </c>
      <c r="H783" t="s">
        <v>118</v>
      </c>
      <c r="I783" t="s">
        <v>82</v>
      </c>
      <c r="J783" t="s">
        <v>137</v>
      </c>
      <c r="K783" s="37">
        <v>2</v>
      </c>
      <c r="L783" t="s">
        <v>52</v>
      </c>
      <c r="M783" s="21">
        <v>63800</v>
      </c>
      <c r="N783" s="21">
        <v>903408</v>
      </c>
      <c r="O783" s="21">
        <v>137808</v>
      </c>
      <c r="P783" s="37">
        <v>1</v>
      </c>
      <c r="Q783" t="s">
        <v>126</v>
      </c>
      <c r="R783" s="37">
        <v>3</v>
      </c>
      <c r="S783" s="37">
        <v>34</v>
      </c>
      <c r="T783" t="s">
        <v>105</v>
      </c>
      <c r="U783" t="s">
        <v>63</v>
      </c>
      <c r="V783" t="s">
        <v>45</v>
      </c>
      <c r="W783" t="str">
        <f t="shared" si="60"/>
        <v>22-30</v>
      </c>
      <c r="X783" t="str">
        <f t="shared" si="61"/>
        <v>0-5 yrs</v>
      </c>
      <c r="Y783" t="str">
        <f t="shared" si="62"/>
        <v>Jan</v>
      </c>
      <c r="Z783">
        <f t="shared" si="63"/>
        <v>2025</v>
      </c>
      <c r="AA783">
        <f t="shared" si="64"/>
        <v>1</v>
      </c>
    </row>
    <row r="784" spans="1:27" ht="15" customHeight="1" x14ac:dyDescent="0.3">
      <c r="A784" t="s">
        <v>1375</v>
      </c>
      <c r="B784" s="20">
        <v>45967</v>
      </c>
      <c r="C784" t="s">
        <v>133</v>
      </c>
      <c r="D784" t="s">
        <v>35</v>
      </c>
      <c r="E784" s="37">
        <v>33</v>
      </c>
      <c r="F784" t="s">
        <v>97</v>
      </c>
      <c r="G784" t="s">
        <v>98</v>
      </c>
      <c r="H784" t="s">
        <v>74</v>
      </c>
      <c r="I784" t="s">
        <v>75</v>
      </c>
      <c r="J784" t="s">
        <v>115</v>
      </c>
      <c r="K784" s="37">
        <v>17</v>
      </c>
      <c r="L784" t="s">
        <v>52</v>
      </c>
      <c r="M784" s="21">
        <v>109700</v>
      </c>
      <c r="N784" s="21">
        <v>1566516</v>
      </c>
      <c r="O784" s="21">
        <v>250116</v>
      </c>
      <c r="P784" s="37">
        <v>1</v>
      </c>
      <c r="Q784" t="s">
        <v>126</v>
      </c>
      <c r="R784" s="37">
        <v>10</v>
      </c>
      <c r="S784" s="37">
        <v>27</v>
      </c>
      <c r="T784" t="s">
        <v>43</v>
      </c>
      <c r="U784" t="s">
        <v>54</v>
      </c>
      <c r="V784" t="s">
        <v>45</v>
      </c>
      <c r="W784" t="str">
        <f t="shared" si="60"/>
        <v>31-40</v>
      </c>
      <c r="X784" t="str">
        <f t="shared" si="61"/>
        <v>11-20 yrs</v>
      </c>
      <c r="Y784" t="str">
        <f t="shared" si="62"/>
        <v>Nov</v>
      </c>
      <c r="Z784">
        <f t="shared" si="63"/>
        <v>2025</v>
      </c>
      <c r="AA784">
        <f t="shared" si="64"/>
        <v>1</v>
      </c>
    </row>
    <row r="785" spans="1:27" ht="15" customHeight="1" x14ac:dyDescent="0.3">
      <c r="A785" t="s">
        <v>1376</v>
      </c>
      <c r="B785" s="20">
        <v>45966</v>
      </c>
      <c r="C785" t="s">
        <v>1275</v>
      </c>
      <c r="D785" t="s">
        <v>35</v>
      </c>
      <c r="E785" s="37">
        <v>46</v>
      </c>
      <c r="F785" t="s">
        <v>72</v>
      </c>
      <c r="G785" t="s">
        <v>73</v>
      </c>
      <c r="H785" t="s">
        <v>74</v>
      </c>
      <c r="I785" t="s">
        <v>51</v>
      </c>
      <c r="J785" t="s">
        <v>152</v>
      </c>
      <c r="K785" s="37">
        <v>22</v>
      </c>
      <c r="L785" t="s">
        <v>52</v>
      </c>
      <c r="M785" s="21">
        <v>240100</v>
      </c>
      <c r="N785" s="21">
        <v>3255755</v>
      </c>
      <c r="O785" s="21">
        <v>374556</v>
      </c>
      <c r="P785" s="37">
        <v>4</v>
      </c>
      <c r="Q785" t="s">
        <v>126</v>
      </c>
      <c r="R785" s="37">
        <v>8</v>
      </c>
      <c r="S785" s="37">
        <v>21</v>
      </c>
      <c r="T785" t="s">
        <v>43</v>
      </c>
      <c r="U785" t="s">
        <v>44</v>
      </c>
      <c r="V785" t="s">
        <v>45</v>
      </c>
      <c r="W785" t="str">
        <f t="shared" si="60"/>
        <v>41-50</v>
      </c>
      <c r="X785" t="str">
        <f t="shared" si="61"/>
        <v>21-30 yrs</v>
      </c>
      <c r="Y785" t="str">
        <f t="shared" si="62"/>
        <v>Nov</v>
      </c>
      <c r="Z785">
        <f t="shared" si="63"/>
        <v>2025</v>
      </c>
      <c r="AA785">
        <f t="shared" si="64"/>
        <v>1</v>
      </c>
    </row>
    <row r="786" spans="1:27" ht="15" customHeight="1" x14ac:dyDescent="0.3">
      <c r="A786" t="s">
        <v>1377</v>
      </c>
      <c r="B786" s="20">
        <v>45955</v>
      </c>
      <c r="C786" t="s">
        <v>358</v>
      </c>
      <c r="D786" t="s">
        <v>48</v>
      </c>
      <c r="E786" s="37">
        <v>40</v>
      </c>
      <c r="F786" t="s">
        <v>49</v>
      </c>
      <c r="G786" t="s">
        <v>50</v>
      </c>
      <c r="H786" t="s">
        <v>118</v>
      </c>
      <c r="I786" t="s">
        <v>39</v>
      </c>
      <c r="J786" t="s">
        <v>219</v>
      </c>
      <c r="K786" s="37">
        <v>6</v>
      </c>
      <c r="L786" t="s">
        <v>52</v>
      </c>
      <c r="M786" s="21">
        <v>40000</v>
      </c>
      <c r="N786" s="21">
        <v>566400</v>
      </c>
      <c r="O786" s="21">
        <v>86400</v>
      </c>
      <c r="P786" s="37">
        <v>3</v>
      </c>
      <c r="Q786" t="s">
        <v>42</v>
      </c>
      <c r="R786" s="37">
        <v>6</v>
      </c>
      <c r="S786" s="37">
        <v>3</v>
      </c>
      <c r="T786" t="s">
        <v>129</v>
      </c>
      <c r="U786" t="s">
        <v>63</v>
      </c>
      <c r="V786" t="s">
        <v>69</v>
      </c>
      <c r="W786" t="str">
        <f t="shared" si="60"/>
        <v>31-40</v>
      </c>
      <c r="X786" t="str">
        <f t="shared" si="61"/>
        <v>6-10 yrs</v>
      </c>
      <c r="Y786" t="str">
        <f t="shared" si="62"/>
        <v>Oct</v>
      </c>
      <c r="Z786">
        <f t="shared" si="63"/>
        <v>2025</v>
      </c>
      <c r="AA786">
        <f t="shared" si="64"/>
        <v>0</v>
      </c>
    </row>
    <row r="787" spans="1:27" ht="15" customHeight="1" x14ac:dyDescent="0.3">
      <c r="A787" t="s">
        <v>1378</v>
      </c>
      <c r="B787" s="20">
        <v>46013</v>
      </c>
      <c r="C787" t="s">
        <v>1379</v>
      </c>
      <c r="D787" t="s">
        <v>35</v>
      </c>
      <c r="E787" s="37">
        <v>33</v>
      </c>
      <c r="F787" t="s">
        <v>123</v>
      </c>
      <c r="G787" t="s">
        <v>124</v>
      </c>
      <c r="H787" t="s">
        <v>74</v>
      </c>
      <c r="I787" t="s">
        <v>39</v>
      </c>
      <c r="J787" t="s">
        <v>76</v>
      </c>
      <c r="K787" s="37">
        <v>24</v>
      </c>
      <c r="L787" t="s">
        <v>52</v>
      </c>
      <c r="M787" s="21">
        <v>44600</v>
      </c>
      <c r="N787" s="21">
        <v>599424</v>
      </c>
      <c r="O787" s="21">
        <v>64224</v>
      </c>
      <c r="P787" s="37">
        <v>4</v>
      </c>
      <c r="Q787" t="s">
        <v>42</v>
      </c>
      <c r="R787" s="37">
        <v>10</v>
      </c>
      <c r="S787" s="37">
        <v>6</v>
      </c>
      <c r="T787" t="s">
        <v>105</v>
      </c>
      <c r="U787" t="s">
        <v>63</v>
      </c>
      <c r="V787" t="s">
        <v>69</v>
      </c>
      <c r="W787" t="str">
        <f t="shared" si="60"/>
        <v>31-40</v>
      </c>
      <c r="X787" t="str">
        <f t="shared" si="61"/>
        <v>21-30 yrs</v>
      </c>
      <c r="Y787" t="str">
        <f t="shared" si="62"/>
        <v>Dec</v>
      </c>
      <c r="Z787">
        <f t="shared" si="63"/>
        <v>2025</v>
      </c>
      <c r="AA787">
        <f t="shared" si="64"/>
        <v>0</v>
      </c>
    </row>
    <row r="788" spans="1:27" ht="15" customHeight="1" x14ac:dyDescent="0.3">
      <c r="A788" t="s">
        <v>1380</v>
      </c>
      <c r="B788" s="20">
        <v>45847</v>
      </c>
      <c r="C788" t="s">
        <v>1381</v>
      </c>
      <c r="D788" t="s">
        <v>48</v>
      </c>
      <c r="E788" s="37">
        <v>22</v>
      </c>
      <c r="F788" t="s">
        <v>108</v>
      </c>
      <c r="G788" t="s">
        <v>109</v>
      </c>
      <c r="H788" t="s">
        <v>59</v>
      </c>
      <c r="I788" t="s">
        <v>82</v>
      </c>
      <c r="J788" t="s">
        <v>61</v>
      </c>
      <c r="K788" s="37">
        <v>23</v>
      </c>
      <c r="L788" t="s">
        <v>52</v>
      </c>
      <c r="M788" s="21">
        <v>47600</v>
      </c>
      <c r="N788" s="21">
        <v>679728</v>
      </c>
      <c r="O788" s="21">
        <v>108528</v>
      </c>
      <c r="P788" s="37">
        <v>1</v>
      </c>
      <c r="Q788" t="s">
        <v>126</v>
      </c>
      <c r="R788" s="37">
        <v>1</v>
      </c>
      <c r="S788" s="37">
        <v>33</v>
      </c>
      <c r="T788" t="s">
        <v>77</v>
      </c>
      <c r="U788" t="s">
        <v>63</v>
      </c>
      <c r="V788" t="s">
        <v>69</v>
      </c>
      <c r="W788" t="str">
        <f t="shared" si="60"/>
        <v>22-30</v>
      </c>
      <c r="X788" t="str">
        <f t="shared" si="61"/>
        <v>21-30 yrs</v>
      </c>
      <c r="Y788" t="str">
        <f t="shared" si="62"/>
        <v>Jul</v>
      </c>
      <c r="Z788">
        <f t="shared" si="63"/>
        <v>2025</v>
      </c>
      <c r="AA788">
        <f t="shared" si="64"/>
        <v>1</v>
      </c>
    </row>
    <row r="789" spans="1:27" ht="15" customHeight="1" x14ac:dyDescent="0.3">
      <c r="A789" t="s">
        <v>1382</v>
      </c>
      <c r="B789" s="20">
        <v>45880</v>
      </c>
      <c r="C789" t="s">
        <v>427</v>
      </c>
      <c r="D789" t="s">
        <v>35</v>
      </c>
      <c r="E789" s="37">
        <v>44</v>
      </c>
      <c r="F789" t="s">
        <v>49</v>
      </c>
      <c r="G789" t="s">
        <v>50</v>
      </c>
      <c r="H789" t="s">
        <v>38</v>
      </c>
      <c r="I789" t="s">
        <v>39</v>
      </c>
      <c r="J789" t="s">
        <v>134</v>
      </c>
      <c r="K789" s="37">
        <v>0</v>
      </c>
      <c r="L789" t="s">
        <v>52</v>
      </c>
      <c r="M789" s="21">
        <v>36700</v>
      </c>
      <c r="N789" s="21">
        <v>510863</v>
      </c>
      <c r="O789" s="21">
        <v>70464</v>
      </c>
      <c r="P789" s="37">
        <v>3</v>
      </c>
      <c r="Q789" t="s">
        <v>42</v>
      </c>
      <c r="R789" s="37">
        <v>17</v>
      </c>
      <c r="S789" s="37">
        <v>15</v>
      </c>
      <c r="T789" t="s">
        <v>62</v>
      </c>
      <c r="U789" t="s">
        <v>63</v>
      </c>
      <c r="V789" t="s">
        <v>45</v>
      </c>
      <c r="W789" t="str">
        <f t="shared" si="60"/>
        <v>41-50</v>
      </c>
      <c r="X789" t="str">
        <f t="shared" si="61"/>
        <v>0-5 yrs</v>
      </c>
      <c r="Y789" t="str">
        <f t="shared" si="62"/>
        <v>Aug</v>
      </c>
      <c r="Z789">
        <f t="shared" si="63"/>
        <v>2025</v>
      </c>
      <c r="AA789">
        <f t="shared" si="64"/>
        <v>0</v>
      </c>
    </row>
    <row r="790" spans="1:27" ht="15" customHeight="1" x14ac:dyDescent="0.3">
      <c r="A790" t="s">
        <v>1383</v>
      </c>
      <c r="B790" s="20">
        <v>45673</v>
      </c>
      <c r="C790" t="s">
        <v>192</v>
      </c>
      <c r="D790" t="s">
        <v>35</v>
      </c>
      <c r="E790" s="37">
        <v>52</v>
      </c>
      <c r="F790" t="s">
        <v>91</v>
      </c>
      <c r="G790" t="s">
        <v>92</v>
      </c>
      <c r="H790" t="s">
        <v>66</v>
      </c>
      <c r="I790" t="s">
        <v>75</v>
      </c>
      <c r="J790" t="s">
        <v>170</v>
      </c>
      <c r="K790" s="37">
        <v>29</v>
      </c>
      <c r="L790" t="s">
        <v>52</v>
      </c>
      <c r="M790" s="21">
        <v>84900</v>
      </c>
      <c r="N790" s="21">
        <v>1202184</v>
      </c>
      <c r="O790" s="21">
        <v>183384</v>
      </c>
      <c r="P790" s="37">
        <v>2</v>
      </c>
      <c r="Q790" t="s">
        <v>126</v>
      </c>
      <c r="R790" s="37">
        <v>13</v>
      </c>
      <c r="S790" s="37">
        <v>33</v>
      </c>
      <c r="T790" t="s">
        <v>53</v>
      </c>
      <c r="U790" t="s">
        <v>138</v>
      </c>
      <c r="V790" t="s">
        <v>45</v>
      </c>
      <c r="W790" t="str">
        <f t="shared" si="60"/>
        <v>51-58</v>
      </c>
      <c r="X790" t="str">
        <f t="shared" si="61"/>
        <v>21-30 yrs</v>
      </c>
      <c r="Y790" t="str">
        <f t="shared" si="62"/>
        <v>Jan</v>
      </c>
      <c r="Z790">
        <f t="shared" si="63"/>
        <v>2025</v>
      </c>
      <c r="AA790">
        <f t="shared" si="64"/>
        <v>1</v>
      </c>
    </row>
    <row r="791" spans="1:27" ht="15" customHeight="1" x14ac:dyDescent="0.3">
      <c r="A791" t="s">
        <v>1384</v>
      </c>
      <c r="B791" s="20">
        <v>45692</v>
      </c>
      <c r="C791" t="s">
        <v>701</v>
      </c>
      <c r="D791" t="s">
        <v>48</v>
      </c>
      <c r="E791" s="37">
        <v>22</v>
      </c>
      <c r="F791" t="s">
        <v>80</v>
      </c>
      <c r="G791" t="s">
        <v>81</v>
      </c>
      <c r="H791" t="s">
        <v>118</v>
      </c>
      <c r="I791" t="s">
        <v>82</v>
      </c>
      <c r="J791" t="s">
        <v>250</v>
      </c>
      <c r="K791" s="37">
        <v>19</v>
      </c>
      <c r="L791" t="s">
        <v>52</v>
      </c>
      <c r="M791" s="21">
        <v>53900</v>
      </c>
      <c r="N791" s="21">
        <v>711480</v>
      </c>
      <c r="O791" s="21">
        <v>64680</v>
      </c>
      <c r="P791" s="37">
        <v>3</v>
      </c>
      <c r="Q791" t="s">
        <v>126</v>
      </c>
      <c r="R791" s="37">
        <v>18</v>
      </c>
      <c r="S791" s="37">
        <v>32</v>
      </c>
      <c r="T791" t="s">
        <v>53</v>
      </c>
      <c r="U791" t="s">
        <v>44</v>
      </c>
      <c r="V791" t="s">
        <v>69</v>
      </c>
      <c r="W791" t="str">
        <f t="shared" si="60"/>
        <v>22-30</v>
      </c>
      <c r="X791" t="str">
        <f t="shared" si="61"/>
        <v>11-20 yrs</v>
      </c>
      <c r="Y791" t="str">
        <f t="shared" si="62"/>
        <v>Feb</v>
      </c>
      <c r="Z791">
        <f t="shared" si="63"/>
        <v>2025</v>
      </c>
      <c r="AA791">
        <f t="shared" si="64"/>
        <v>1</v>
      </c>
    </row>
    <row r="792" spans="1:27" ht="15" customHeight="1" x14ac:dyDescent="0.3">
      <c r="A792" t="s">
        <v>1385</v>
      </c>
      <c r="B792" s="20">
        <v>45823</v>
      </c>
      <c r="C792" t="s">
        <v>1386</v>
      </c>
      <c r="D792" t="s">
        <v>35</v>
      </c>
      <c r="E792" s="37">
        <v>36</v>
      </c>
      <c r="F792" t="s">
        <v>86</v>
      </c>
      <c r="G792" t="s">
        <v>87</v>
      </c>
      <c r="H792" t="s">
        <v>66</v>
      </c>
      <c r="I792" t="s">
        <v>39</v>
      </c>
      <c r="J792" t="s">
        <v>170</v>
      </c>
      <c r="K792" s="37">
        <v>18</v>
      </c>
      <c r="L792" t="s">
        <v>52</v>
      </c>
      <c r="M792" s="21">
        <v>41100</v>
      </c>
      <c r="N792" s="21">
        <v>591840</v>
      </c>
      <c r="O792" s="21">
        <v>98640</v>
      </c>
      <c r="P792" s="37">
        <v>3</v>
      </c>
      <c r="Q792" t="s">
        <v>42</v>
      </c>
      <c r="R792" s="37">
        <v>18</v>
      </c>
      <c r="S792" s="37">
        <v>8</v>
      </c>
      <c r="T792" t="s">
        <v>68</v>
      </c>
      <c r="U792" t="s">
        <v>63</v>
      </c>
      <c r="V792" t="s">
        <v>45</v>
      </c>
      <c r="W792" t="str">
        <f t="shared" si="60"/>
        <v>31-40</v>
      </c>
      <c r="X792" t="str">
        <f t="shared" si="61"/>
        <v>11-20 yrs</v>
      </c>
      <c r="Y792" t="str">
        <f t="shared" si="62"/>
        <v>Jun</v>
      </c>
      <c r="Z792">
        <f t="shared" si="63"/>
        <v>2025</v>
      </c>
      <c r="AA792">
        <f t="shared" si="64"/>
        <v>0</v>
      </c>
    </row>
    <row r="793" spans="1:27" ht="15" customHeight="1" x14ac:dyDescent="0.3">
      <c r="A793" t="s">
        <v>1387</v>
      </c>
      <c r="B793" s="20">
        <v>45907</v>
      </c>
      <c r="C793" t="s">
        <v>1069</v>
      </c>
      <c r="D793" t="s">
        <v>35</v>
      </c>
      <c r="E793" s="37">
        <v>53</v>
      </c>
      <c r="F793" t="s">
        <v>72</v>
      </c>
      <c r="G793" t="s">
        <v>73</v>
      </c>
      <c r="H793" t="s">
        <v>38</v>
      </c>
      <c r="I793" t="s">
        <v>60</v>
      </c>
      <c r="J793" t="s">
        <v>134</v>
      </c>
      <c r="K793" s="37">
        <v>12</v>
      </c>
      <c r="L793" t="s">
        <v>41</v>
      </c>
      <c r="M793" s="21">
        <v>145400</v>
      </c>
      <c r="N793" s="21">
        <v>1919280</v>
      </c>
      <c r="O793" s="21">
        <v>174480</v>
      </c>
      <c r="P793" s="37">
        <v>2</v>
      </c>
      <c r="Q793" t="s">
        <v>42</v>
      </c>
      <c r="R793" s="37">
        <v>7</v>
      </c>
      <c r="S793" s="37">
        <v>6</v>
      </c>
      <c r="T793" t="s">
        <v>146</v>
      </c>
      <c r="U793" t="s">
        <v>44</v>
      </c>
      <c r="V793" t="s">
        <v>45</v>
      </c>
      <c r="W793" t="str">
        <f t="shared" si="60"/>
        <v>51-58</v>
      </c>
      <c r="X793" t="str">
        <f t="shared" si="61"/>
        <v>11-20 yrs</v>
      </c>
      <c r="Y793" t="str">
        <f t="shared" si="62"/>
        <v>Sep</v>
      </c>
      <c r="Z793">
        <f t="shared" si="63"/>
        <v>2025</v>
      </c>
      <c r="AA793">
        <f t="shared" si="64"/>
        <v>0</v>
      </c>
    </row>
    <row r="794" spans="1:27" ht="15" customHeight="1" x14ac:dyDescent="0.3">
      <c r="A794" t="s">
        <v>1388</v>
      </c>
      <c r="B794" s="20">
        <v>45820</v>
      </c>
      <c r="C794" t="s">
        <v>158</v>
      </c>
      <c r="D794" t="s">
        <v>48</v>
      </c>
      <c r="E794" s="37">
        <v>24</v>
      </c>
      <c r="F794" t="s">
        <v>97</v>
      </c>
      <c r="G794" t="s">
        <v>98</v>
      </c>
      <c r="H794" t="s">
        <v>74</v>
      </c>
      <c r="I794" t="s">
        <v>75</v>
      </c>
      <c r="J794" t="s">
        <v>115</v>
      </c>
      <c r="K794" s="37">
        <v>6</v>
      </c>
      <c r="L794" t="s">
        <v>52</v>
      </c>
      <c r="M794" s="21">
        <v>81900</v>
      </c>
      <c r="N794" s="21">
        <v>1051596</v>
      </c>
      <c r="O794" s="21">
        <v>68796</v>
      </c>
      <c r="P794" s="37">
        <v>4</v>
      </c>
      <c r="Q794" t="s">
        <v>42</v>
      </c>
      <c r="R794" s="37">
        <v>6</v>
      </c>
      <c r="S794" s="37">
        <v>3</v>
      </c>
      <c r="T794" t="s">
        <v>68</v>
      </c>
      <c r="U794" t="s">
        <v>44</v>
      </c>
      <c r="V794" t="s">
        <v>69</v>
      </c>
      <c r="W794" t="str">
        <f t="shared" si="60"/>
        <v>22-30</v>
      </c>
      <c r="X794" t="str">
        <f t="shared" si="61"/>
        <v>6-10 yrs</v>
      </c>
      <c r="Y794" t="str">
        <f t="shared" si="62"/>
        <v>Jun</v>
      </c>
      <c r="Z794">
        <f t="shared" si="63"/>
        <v>2025</v>
      </c>
      <c r="AA794">
        <f t="shared" si="64"/>
        <v>0</v>
      </c>
    </row>
    <row r="795" spans="1:27" ht="15" customHeight="1" x14ac:dyDescent="0.3">
      <c r="A795" t="s">
        <v>1389</v>
      </c>
      <c r="B795" s="20">
        <v>45944</v>
      </c>
      <c r="C795" t="s">
        <v>821</v>
      </c>
      <c r="D795" t="s">
        <v>35</v>
      </c>
      <c r="E795" s="37">
        <v>46</v>
      </c>
      <c r="F795" t="s">
        <v>57</v>
      </c>
      <c r="G795" t="s">
        <v>58</v>
      </c>
      <c r="H795" t="s">
        <v>74</v>
      </c>
      <c r="I795" t="s">
        <v>82</v>
      </c>
      <c r="J795" t="s">
        <v>115</v>
      </c>
      <c r="K795" s="37">
        <v>8</v>
      </c>
      <c r="L795" t="s">
        <v>52</v>
      </c>
      <c r="M795" s="21">
        <v>55800</v>
      </c>
      <c r="N795" s="21">
        <v>763344</v>
      </c>
      <c r="O795" s="21">
        <v>93744</v>
      </c>
      <c r="P795" s="37">
        <v>4</v>
      </c>
      <c r="Q795" t="s">
        <v>42</v>
      </c>
      <c r="R795" s="37">
        <v>4</v>
      </c>
      <c r="S795" s="37">
        <v>21</v>
      </c>
      <c r="T795" t="s">
        <v>105</v>
      </c>
      <c r="U795" t="s">
        <v>44</v>
      </c>
      <c r="V795" t="s">
        <v>45</v>
      </c>
      <c r="W795" t="str">
        <f t="shared" si="60"/>
        <v>41-50</v>
      </c>
      <c r="X795" t="str">
        <f t="shared" si="61"/>
        <v>6-10 yrs</v>
      </c>
      <c r="Y795" t="str">
        <f t="shared" si="62"/>
        <v>Oct</v>
      </c>
      <c r="Z795">
        <f t="shared" si="63"/>
        <v>2025</v>
      </c>
      <c r="AA795">
        <f t="shared" si="64"/>
        <v>0</v>
      </c>
    </row>
    <row r="796" spans="1:27" ht="15" customHeight="1" x14ac:dyDescent="0.3">
      <c r="A796" t="s">
        <v>1390</v>
      </c>
      <c r="B796" s="20">
        <v>45952</v>
      </c>
      <c r="C796" t="s">
        <v>729</v>
      </c>
      <c r="D796" t="s">
        <v>48</v>
      </c>
      <c r="E796" s="37">
        <v>33</v>
      </c>
      <c r="F796" t="s">
        <v>72</v>
      </c>
      <c r="G796" t="s">
        <v>73</v>
      </c>
      <c r="H796" t="s">
        <v>38</v>
      </c>
      <c r="I796" t="s">
        <v>51</v>
      </c>
      <c r="J796" t="s">
        <v>110</v>
      </c>
      <c r="K796" s="37">
        <v>6</v>
      </c>
      <c r="L796" t="s">
        <v>41</v>
      </c>
      <c r="M796" s="21">
        <v>255700</v>
      </c>
      <c r="N796" s="21">
        <v>3375240</v>
      </c>
      <c r="O796" s="21">
        <v>306840</v>
      </c>
      <c r="P796" s="37">
        <v>4</v>
      </c>
      <c r="Q796" t="s">
        <v>42</v>
      </c>
      <c r="R796" s="37">
        <v>17</v>
      </c>
      <c r="S796" s="37">
        <v>24</v>
      </c>
      <c r="T796" t="s">
        <v>53</v>
      </c>
      <c r="U796" t="s">
        <v>44</v>
      </c>
      <c r="V796" t="s">
        <v>69</v>
      </c>
      <c r="W796" t="str">
        <f t="shared" si="60"/>
        <v>31-40</v>
      </c>
      <c r="X796" t="str">
        <f t="shared" si="61"/>
        <v>6-10 yrs</v>
      </c>
      <c r="Y796" t="str">
        <f t="shared" si="62"/>
        <v>Oct</v>
      </c>
      <c r="Z796">
        <f t="shared" si="63"/>
        <v>2025</v>
      </c>
      <c r="AA796">
        <f t="shared" si="64"/>
        <v>0</v>
      </c>
    </row>
    <row r="797" spans="1:27" ht="15" customHeight="1" x14ac:dyDescent="0.3">
      <c r="A797" t="s">
        <v>1391</v>
      </c>
      <c r="B797" s="20">
        <v>45977</v>
      </c>
      <c r="C797" t="s">
        <v>233</v>
      </c>
      <c r="D797" t="s">
        <v>35</v>
      </c>
      <c r="E797" s="37">
        <v>40</v>
      </c>
      <c r="F797" t="s">
        <v>108</v>
      </c>
      <c r="G797" t="s">
        <v>109</v>
      </c>
      <c r="H797" t="s">
        <v>38</v>
      </c>
      <c r="I797" t="s">
        <v>82</v>
      </c>
      <c r="J797" t="s">
        <v>110</v>
      </c>
      <c r="K797" s="37">
        <v>20</v>
      </c>
      <c r="L797" t="s">
        <v>52</v>
      </c>
      <c r="M797" s="21">
        <v>59900</v>
      </c>
      <c r="N797" s="21">
        <v>826619</v>
      </c>
      <c r="O797" s="21">
        <v>107820</v>
      </c>
      <c r="P797" s="37">
        <v>2</v>
      </c>
      <c r="Q797" t="s">
        <v>42</v>
      </c>
      <c r="R797" s="37">
        <v>7</v>
      </c>
      <c r="S797" s="37">
        <v>33</v>
      </c>
      <c r="T797" t="s">
        <v>175</v>
      </c>
      <c r="U797" t="s">
        <v>44</v>
      </c>
      <c r="V797" t="s">
        <v>69</v>
      </c>
      <c r="W797" t="str">
        <f t="shared" si="60"/>
        <v>31-40</v>
      </c>
      <c r="X797" t="str">
        <f t="shared" si="61"/>
        <v>11-20 yrs</v>
      </c>
      <c r="Y797" t="str">
        <f t="shared" si="62"/>
        <v>Nov</v>
      </c>
      <c r="Z797">
        <f t="shared" si="63"/>
        <v>2025</v>
      </c>
      <c r="AA797">
        <f t="shared" si="64"/>
        <v>0</v>
      </c>
    </row>
    <row r="798" spans="1:27" ht="15" customHeight="1" x14ac:dyDescent="0.3">
      <c r="A798" t="s">
        <v>1392</v>
      </c>
      <c r="B798" s="20">
        <v>45841</v>
      </c>
      <c r="C798" t="s">
        <v>356</v>
      </c>
      <c r="D798" t="s">
        <v>35</v>
      </c>
      <c r="E798" s="37">
        <v>43</v>
      </c>
      <c r="F798" t="s">
        <v>91</v>
      </c>
      <c r="G798" t="s">
        <v>92</v>
      </c>
      <c r="H798" t="s">
        <v>59</v>
      </c>
      <c r="I798" t="s">
        <v>39</v>
      </c>
      <c r="J798" t="s">
        <v>125</v>
      </c>
      <c r="K798" s="37">
        <v>5</v>
      </c>
      <c r="L798" t="s">
        <v>52</v>
      </c>
      <c r="M798" s="21">
        <v>36200</v>
      </c>
      <c r="N798" s="21">
        <v>460464</v>
      </c>
      <c r="O798" s="21">
        <v>26064</v>
      </c>
      <c r="P798" s="37">
        <v>4</v>
      </c>
      <c r="Q798" t="s">
        <v>126</v>
      </c>
      <c r="R798" s="37">
        <v>20</v>
      </c>
      <c r="S798" s="37">
        <v>16</v>
      </c>
      <c r="T798" t="s">
        <v>62</v>
      </c>
      <c r="U798" t="s">
        <v>44</v>
      </c>
      <c r="V798" t="s">
        <v>69</v>
      </c>
      <c r="W798" t="str">
        <f t="shared" si="60"/>
        <v>41-50</v>
      </c>
      <c r="X798" t="str">
        <f t="shared" si="61"/>
        <v>0-5 yrs</v>
      </c>
      <c r="Y798" t="str">
        <f t="shared" si="62"/>
        <v>Jul</v>
      </c>
      <c r="Z798">
        <f t="shared" si="63"/>
        <v>2025</v>
      </c>
      <c r="AA798">
        <f t="shared" si="64"/>
        <v>1</v>
      </c>
    </row>
    <row r="799" spans="1:27" ht="15" customHeight="1" x14ac:dyDescent="0.3">
      <c r="A799" t="s">
        <v>1393</v>
      </c>
      <c r="B799" s="20">
        <v>45856</v>
      </c>
      <c r="C799" t="s">
        <v>1106</v>
      </c>
      <c r="D799" t="s">
        <v>48</v>
      </c>
      <c r="E799" s="37">
        <v>54</v>
      </c>
      <c r="F799" t="s">
        <v>91</v>
      </c>
      <c r="G799" t="s">
        <v>92</v>
      </c>
      <c r="H799" t="s">
        <v>38</v>
      </c>
      <c r="I799" t="s">
        <v>82</v>
      </c>
      <c r="J799" t="s">
        <v>110</v>
      </c>
      <c r="K799" s="37">
        <v>15</v>
      </c>
      <c r="L799" t="s">
        <v>52</v>
      </c>
      <c r="M799" s="21">
        <v>52100</v>
      </c>
      <c r="N799" s="21">
        <v>712728</v>
      </c>
      <c r="O799" s="21">
        <v>87528</v>
      </c>
      <c r="P799" s="37">
        <v>3</v>
      </c>
      <c r="Q799" t="s">
        <v>42</v>
      </c>
      <c r="R799" s="37">
        <v>18</v>
      </c>
      <c r="S799" s="37">
        <v>29</v>
      </c>
      <c r="T799" t="s">
        <v>53</v>
      </c>
      <c r="U799" t="s">
        <v>44</v>
      </c>
      <c r="V799" t="s">
        <v>69</v>
      </c>
      <c r="W799" t="str">
        <f t="shared" si="60"/>
        <v>51-58</v>
      </c>
      <c r="X799" t="str">
        <f t="shared" si="61"/>
        <v>11-20 yrs</v>
      </c>
      <c r="Y799" t="str">
        <f t="shared" si="62"/>
        <v>Jul</v>
      </c>
      <c r="Z799">
        <f t="shared" si="63"/>
        <v>2025</v>
      </c>
      <c r="AA799">
        <f t="shared" si="64"/>
        <v>0</v>
      </c>
    </row>
    <row r="800" spans="1:27" ht="15" customHeight="1" x14ac:dyDescent="0.3">
      <c r="A800" t="s">
        <v>1394</v>
      </c>
      <c r="B800" s="20">
        <v>45874</v>
      </c>
      <c r="C800" t="s">
        <v>203</v>
      </c>
      <c r="D800" t="s">
        <v>48</v>
      </c>
      <c r="E800" s="37">
        <v>52</v>
      </c>
      <c r="F800" t="s">
        <v>91</v>
      </c>
      <c r="G800" t="s">
        <v>92</v>
      </c>
      <c r="H800" t="s">
        <v>59</v>
      </c>
      <c r="I800" t="s">
        <v>60</v>
      </c>
      <c r="J800" t="s">
        <v>61</v>
      </c>
      <c r="K800" s="37">
        <v>16</v>
      </c>
      <c r="L800" t="s">
        <v>52</v>
      </c>
      <c r="M800" s="21">
        <v>146300</v>
      </c>
      <c r="N800" s="21">
        <v>2036495</v>
      </c>
      <c r="O800" s="21">
        <v>280896</v>
      </c>
      <c r="P800" s="37">
        <v>2</v>
      </c>
      <c r="Q800" t="s">
        <v>42</v>
      </c>
      <c r="R800" s="37">
        <v>1</v>
      </c>
      <c r="S800" s="37">
        <v>3</v>
      </c>
      <c r="T800" t="s">
        <v>62</v>
      </c>
      <c r="U800" t="s">
        <v>44</v>
      </c>
      <c r="V800" t="s">
        <v>69</v>
      </c>
      <c r="W800" t="str">
        <f t="shared" si="60"/>
        <v>51-58</v>
      </c>
      <c r="X800" t="str">
        <f t="shared" si="61"/>
        <v>11-20 yrs</v>
      </c>
      <c r="Y800" t="str">
        <f t="shared" si="62"/>
        <v>Aug</v>
      </c>
      <c r="Z800">
        <f t="shared" si="63"/>
        <v>2025</v>
      </c>
      <c r="AA800">
        <f t="shared" si="64"/>
        <v>0</v>
      </c>
    </row>
    <row r="801" spans="1:27" ht="15" customHeight="1" x14ac:dyDescent="0.3">
      <c r="A801" t="s">
        <v>1395</v>
      </c>
      <c r="B801" s="20">
        <v>45913</v>
      </c>
      <c r="C801" t="s">
        <v>1329</v>
      </c>
      <c r="D801" t="s">
        <v>48</v>
      </c>
      <c r="E801" s="37">
        <v>43</v>
      </c>
      <c r="F801" t="s">
        <v>91</v>
      </c>
      <c r="G801" t="s">
        <v>92</v>
      </c>
      <c r="H801" t="s">
        <v>66</v>
      </c>
      <c r="I801" t="s">
        <v>82</v>
      </c>
      <c r="J801" t="s">
        <v>67</v>
      </c>
      <c r="K801" s="37">
        <v>2</v>
      </c>
      <c r="L801" t="s">
        <v>52</v>
      </c>
      <c r="M801" s="21">
        <v>74600</v>
      </c>
      <c r="N801" s="21">
        <v>1002624</v>
      </c>
      <c r="O801" s="21">
        <v>107424</v>
      </c>
      <c r="P801" s="37">
        <v>4</v>
      </c>
      <c r="Q801" t="s">
        <v>42</v>
      </c>
      <c r="R801" s="37">
        <v>15</v>
      </c>
      <c r="S801" s="37">
        <v>13</v>
      </c>
      <c r="T801" t="s">
        <v>68</v>
      </c>
      <c r="U801" t="s">
        <v>63</v>
      </c>
      <c r="V801" t="s">
        <v>45</v>
      </c>
      <c r="W801" t="str">
        <f t="shared" si="60"/>
        <v>41-50</v>
      </c>
      <c r="X801" t="str">
        <f t="shared" si="61"/>
        <v>0-5 yrs</v>
      </c>
      <c r="Y801" t="str">
        <f t="shared" si="62"/>
        <v>Sep</v>
      </c>
      <c r="Z801">
        <f t="shared" si="63"/>
        <v>2025</v>
      </c>
      <c r="AA801">
        <f t="shared" si="64"/>
        <v>0</v>
      </c>
    </row>
    <row r="802" spans="1:27" ht="15" customHeight="1" x14ac:dyDescent="0.3">
      <c r="A802" t="s">
        <v>1396</v>
      </c>
      <c r="B802" s="20">
        <v>45700</v>
      </c>
      <c r="C802" t="s">
        <v>1397</v>
      </c>
      <c r="D802" t="s">
        <v>48</v>
      </c>
      <c r="E802" s="37">
        <v>58</v>
      </c>
      <c r="F802" t="s">
        <v>57</v>
      </c>
      <c r="G802" t="s">
        <v>58</v>
      </c>
      <c r="H802" t="s">
        <v>38</v>
      </c>
      <c r="I802" t="s">
        <v>39</v>
      </c>
      <c r="J802" t="s">
        <v>134</v>
      </c>
      <c r="K802" s="37">
        <v>15</v>
      </c>
      <c r="L802" t="s">
        <v>52</v>
      </c>
      <c r="M802" s="21">
        <v>39200</v>
      </c>
      <c r="N802" s="21">
        <v>545664</v>
      </c>
      <c r="O802" s="21">
        <v>75264</v>
      </c>
      <c r="P802" s="37">
        <v>3</v>
      </c>
      <c r="Q802" t="s">
        <v>42</v>
      </c>
      <c r="R802" s="37">
        <v>0</v>
      </c>
      <c r="S802" s="37">
        <v>33</v>
      </c>
      <c r="T802" t="s">
        <v>175</v>
      </c>
      <c r="U802" t="s">
        <v>54</v>
      </c>
      <c r="V802" t="s">
        <v>69</v>
      </c>
      <c r="W802" t="str">
        <f t="shared" si="60"/>
        <v>51-58</v>
      </c>
      <c r="X802" t="str">
        <f t="shared" si="61"/>
        <v>11-20 yrs</v>
      </c>
      <c r="Y802" t="str">
        <f t="shared" si="62"/>
        <v>Feb</v>
      </c>
      <c r="Z802">
        <f t="shared" si="63"/>
        <v>2025</v>
      </c>
      <c r="AA802">
        <f t="shared" si="64"/>
        <v>0</v>
      </c>
    </row>
    <row r="803" spans="1:27" ht="15" customHeight="1" x14ac:dyDescent="0.3">
      <c r="A803" t="s">
        <v>1398</v>
      </c>
      <c r="B803" s="20">
        <v>45816</v>
      </c>
      <c r="C803" t="s">
        <v>1399</v>
      </c>
      <c r="D803" t="s">
        <v>35</v>
      </c>
      <c r="E803" s="37">
        <v>45</v>
      </c>
      <c r="F803" t="s">
        <v>91</v>
      </c>
      <c r="G803" t="s">
        <v>92</v>
      </c>
      <c r="H803" t="s">
        <v>66</v>
      </c>
      <c r="I803" t="s">
        <v>60</v>
      </c>
      <c r="J803" t="s">
        <v>93</v>
      </c>
      <c r="K803" s="37">
        <v>8</v>
      </c>
      <c r="L803" t="s">
        <v>52</v>
      </c>
      <c r="M803" s="21">
        <v>138200</v>
      </c>
      <c r="N803" s="21">
        <v>1824240</v>
      </c>
      <c r="O803" s="21">
        <v>165840</v>
      </c>
      <c r="P803" s="37">
        <v>4</v>
      </c>
      <c r="Q803" t="s">
        <v>42</v>
      </c>
      <c r="R803" s="37">
        <v>5</v>
      </c>
      <c r="S803" s="37">
        <v>0</v>
      </c>
      <c r="T803" t="s">
        <v>53</v>
      </c>
      <c r="U803" t="s">
        <v>63</v>
      </c>
      <c r="V803" t="s">
        <v>69</v>
      </c>
      <c r="W803" t="str">
        <f t="shared" si="60"/>
        <v>41-50</v>
      </c>
      <c r="X803" t="str">
        <f t="shared" si="61"/>
        <v>6-10 yrs</v>
      </c>
      <c r="Y803" t="str">
        <f t="shared" si="62"/>
        <v>Jun</v>
      </c>
      <c r="Z803">
        <f t="shared" si="63"/>
        <v>2025</v>
      </c>
      <c r="AA803">
        <f t="shared" si="64"/>
        <v>0</v>
      </c>
    </row>
    <row r="804" spans="1:27" ht="15" customHeight="1" x14ac:dyDescent="0.3">
      <c r="A804" t="s">
        <v>1400</v>
      </c>
      <c r="B804" s="20">
        <v>45731</v>
      </c>
      <c r="C804" t="s">
        <v>1065</v>
      </c>
      <c r="D804" t="s">
        <v>35</v>
      </c>
      <c r="E804" s="37">
        <v>48</v>
      </c>
      <c r="F804" t="s">
        <v>86</v>
      </c>
      <c r="G804" t="s">
        <v>87</v>
      </c>
      <c r="H804" t="s">
        <v>38</v>
      </c>
      <c r="I804" t="s">
        <v>39</v>
      </c>
      <c r="J804" t="s">
        <v>40</v>
      </c>
      <c r="K804" s="37">
        <v>6</v>
      </c>
      <c r="L804" t="s">
        <v>52</v>
      </c>
      <c r="M804" s="21">
        <v>40600</v>
      </c>
      <c r="N804" s="21">
        <v>535920</v>
      </c>
      <c r="O804" s="21">
        <v>48720</v>
      </c>
      <c r="P804" s="37">
        <v>5</v>
      </c>
      <c r="Q804" t="s">
        <v>42</v>
      </c>
      <c r="R804" s="37">
        <v>5</v>
      </c>
      <c r="S804" s="37">
        <v>3</v>
      </c>
      <c r="T804" t="s">
        <v>77</v>
      </c>
      <c r="U804" t="s">
        <v>138</v>
      </c>
      <c r="V804" t="s">
        <v>45</v>
      </c>
      <c r="W804" t="str">
        <f t="shared" si="60"/>
        <v>41-50</v>
      </c>
      <c r="X804" t="str">
        <f t="shared" si="61"/>
        <v>6-10 yrs</v>
      </c>
      <c r="Y804" t="str">
        <f t="shared" si="62"/>
        <v>Mar</v>
      </c>
      <c r="Z804">
        <f t="shared" si="63"/>
        <v>2025</v>
      </c>
      <c r="AA804">
        <f t="shared" si="64"/>
        <v>0</v>
      </c>
    </row>
    <row r="805" spans="1:27" ht="15" customHeight="1" x14ac:dyDescent="0.3">
      <c r="A805" t="s">
        <v>1401</v>
      </c>
      <c r="B805" s="20">
        <v>45944</v>
      </c>
      <c r="C805" t="s">
        <v>1402</v>
      </c>
      <c r="D805" t="s">
        <v>48</v>
      </c>
      <c r="E805" s="37">
        <v>50</v>
      </c>
      <c r="F805" t="s">
        <v>72</v>
      </c>
      <c r="G805" t="s">
        <v>73</v>
      </c>
      <c r="H805" t="s">
        <v>118</v>
      </c>
      <c r="I805" t="s">
        <v>39</v>
      </c>
      <c r="J805" t="s">
        <v>137</v>
      </c>
      <c r="K805" s="37">
        <v>24</v>
      </c>
      <c r="L805" t="s">
        <v>52</v>
      </c>
      <c r="M805" s="21">
        <v>31800</v>
      </c>
      <c r="N805" s="21">
        <v>446472</v>
      </c>
      <c r="O805" s="21">
        <v>64872</v>
      </c>
      <c r="P805" s="37">
        <v>5</v>
      </c>
      <c r="Q805" t="s">
        <v>42</v>
      </c>
      <c r="R805" s="37">
        <v>5</v>
      </c>
      <c r="S805" s="37">
        <v>29</v>
      </c>
      <c r="T805" t="s">
        <v>94</v>
      </c>
      <c r="U805" t="s">
        <v>63</v>
      </c>
      <c r="V805" t="s">
        <v>45</v>
      </c>
      <c r="W805" t="str">
        <f t="shared" si="60"/>
        <v>41-50</v>
      </c>
      <c r="X805" t="str">
        <f t="shared" si="61"/>
        <v>21-30 yrs</v>
      </c>
      <c r="Y805" t="str">
        <f t="shared" si="62"/>
        <v>Oct</v>
      </c>
      <c r="Z805">
        <f t="shared" si="63"/>
        <v>2025</v>
      </c>
      <c r="AA805">
        <f t="shared" si="64"/>
        <v>0</v>
      </c>
    </row>
    <row r="806" spans="1:27" ht="15" customHeight="1" x14ac:dyDescent="0.3">
      <c r="A806" t="s">
        <v>1403</v>
      </c>
      <c r="B806" s="20">
        <v>45906</v>
      </c>
      <c r="C806" t="s">
        <v>768</v>
      </c>
      <c r="D806" t="s">
        <v>35</v>
      </c>
      <c r="E806" s="37">
        <v>48</v>
      </c>
      <c r="F806" t="s">
        <v>49</v>
      </c>
      <c r="G806" t="s">
        <v>50</v>
      </c>
      <c r="H806" t="s">
        <v>66</v>
      </c>
      <c r="I806" t="s">
        <v>75</v>
      </c>
      <c r="J806" t="s">
        <v>67</v>
      </c>
      <c r="K806" s="37">
        <v>28</v>
      </c>
      <c r="L806" t="s">
        <v>52</v>
      </c>
      <c r="M806" s="21">
        <v>109600</v>
      </c>
      <c r="N806" s="21">
        <v>1407264</v>
      </c>
      <c r="O806" s="21">
        <v>92064</v>
      </c>
      <c r="P806" s="37">
        <v>3</v>
      </c>
      <c r="Q806" t="s">
        <v>42</v>
      </c>
      <c r="R806" s="37">
        <v>7</v>
      </c>
      <c r="S806" s="37">
        <v>40</v>
      </c>
      <c r="T806" t="s">
        <v>175</v>
      </c>
      <c r="U806" t="s">
        <v>44</v>
      </c>
      <c r="V806" t="s">
        <v>45</v>
      </c>
      <c r="W806" t="str">
        <f t="shared" si="60"/>
        <v>41-50</v>
      </c>
      <c r="X806" t="str">
        <f t="shared" si="61"/>
        <v>21-30 yrs</v>
      </c>
      <c r="Y806" t="str">
        <f t="shared" si="62"/>
        <v>Sep</v>
      </c>
      <c r="Z806">
        <f t="shared" si="63"/>
        <v>2025</v>
      </c>
      <c r="AA806">
        <f t="shared" si="64"/>
        <v>0</v>
      </c>
    </row>
    <row r="807" spans="1:27" ht="15" customHeight="1" x14ac:dyDescent="0.3">
      <c r="A807" t="s">
        <v>1404</v>
      </c>
      <c r="B807" s="20">
        <v>45793</v>
      </c>
      <c r="C807" t="s">
        <v>1315</v>
      </c>
      <c r="D807" t="s">
        <v>48</v>
      </c>
      <c r="E807" s="37">
        <v>34</v>
      </c>
      <c r="F807" t="s">
        <v>57</v>
      </c>
      <c r="G807" t="s">
        <v>58</v>
      </c>
      <c r="H807" t="s">
        <v>118</v>
      </c>
      <c r="I807" t="s">
        <v>39</v>
      </c>
      <c r="J807" t="s">
        <v>137</v>
      </c>
      <c r="K807" s="37">
        <v>13</v>
      </c>
      <c r="L807" t="s">
        <v>52</v>
      </c>
      <c r="M807" s="21">
        <v>28400</v>
      </c>
      <c r="N807" s="21">
        <v>371472</v>
      </c>
      <c r="O807" s="21">
        <v>30672</v>
      </c>
      <c r="P807" s="37">
        <v>3</v>
      </c>
      <c r="Q807" t="s">
        <v>42</v>
      </c>
      <c r="R807" s="37">
        <v>7</v>
      </c>
      <c r="S807" s="37">
        <v>20</v>
      </c>
      <c r="T807" t="s">
        <v>146</v>
      </c>
      <c r="U807" t="s">
        <v>63</v>
      </c>
      <c r="V807" t="s">
        <v>45</v>
      </c>
      <c r="W807" t="str">
        <f t="shared" si="60"/>
        <v>31-40</v>
      </c>
      <c r="X807" t="str">
        <f t="shared" si="61"/>
        <v>11-20 yrs</v>
      </c>
      <c r="Y807" t="str">
        <f t="shared" si="62"/>
        <v>May</v>
      </c>
      <c r="Z807">
        <f t="shared" si="63"/>
        <v>2025</v>
      </c>
      <c r="AA807">
        <f t="shared" si="64"/>
        <v>0</v>
      </c>
    </row>
    <row r="808" spans="1:27" ht="15" customHeight="1" x14ac:dyDescent="0.3">
      <c r="A808" t="s">
        <v>1405</v>
      </c>
      <c r="B808" s="20">
        <v>45698</v>
      </c>
      <c r="C808" t="s">
        <v>1406</v>
      </c>
      <c r="D808" t="s">
        <v>35</v>
      </c>
      <c r="E808" s="37">
        <v>58</v>
      </c>
      <c r="F808" t="s">
        <v>123</v>
      </c>
      <c r="G808" t="s">
        <v>124</v>
      </c>
      <c r="H808" t="s">
        <v>66</v>
      </c>
      <c r="I808" t="s">
        <v>82</v>
      </c>
      <c r="J808" t="s">
        <v>149</v>
      </c>
      <c r="K808" s="37">
        <v>25</v>
      </c>
      <c r="L808" t="s">
        <v>52</v>
      </c>
      <c r="M808" s="21">
        <v>78700</v>
      </c>
      <c r="N808" s="21">
        <v>1029396</v>
      </c>
      <c r="O808" s="21">
        <v>84996</v>
      </c>
      <c r="P808" s="37">
        <v>4</v>
      </c>
      <c r="Q808" t="s">
        <v>42</v>
      </c>
      <c r="R808" s="37">
        <v>15</v>
      </c>
      <c r="S808" s="37">
        <v>32</v>
      </c>
      <c r="T808" t="s">
        <v>53</v>
      </c>
      <c r="U808" t="s">
        <v>63</v>
      </c>
      <c r="V808" t="s">
        <v>69</v>
      </c>
      <c r="W808" t="str">
        <f t="shared" si="60"/>
        <v>51-58</v>
      </c>
      <c r="X808" t="str">
        <f t="shared" si="61"/>
        <v>21-30 yrs</v>
      </c>
      <c r="Y808" t="str">
        <f t="shared" si="62"/>
        <v>Feb</v>
      </c>
      <c r="Z808">
        <f t="shared" si="63"/>
        <v>2025</v>
      </c>
      <c r="AA808">
        <f t="shared" si="64"/>
        <v>0</v>
      </c>
    </row>
    <row r="809" spans="1:27" ht="15" customHeight="1" x14ac:dyDescent="0.3">
      <c r="A809" t="s">
        <v>1407</v>
      </c>
      <c r="B809" s="20">
        <v>45985</v>
      </c>
      <c r="C809" t="s">
        <v>546</v>
      </c>
      <c r="D809" t="s">
        <v>48</v>
      </c>
      <c r="E809" s="37">
        <v>37</v>
      </c>
      <c r="F809" t="s">
        <v>49</v>
      </c>
      <c r="G809" t="s">
        <v>50</v>
      </c>
      <c r="H809" t="s">
        <v>66</v>
      </c>
      <c r="I809" t="s">
        <v>75</v>
      </c>
      <c r="J809" t="s">
        <v>161</v>
      </c>
      <c r="K809" s="37">
        <v>6</v>
      </c>
      <c r="L809" t="s">
        <v>52</v>
      </c>
      <c r="M809" s="21">
        <v>84700</v>
      </c>
      <c r="N809" s="21">
        <v>1168860</v>
      </c>
      <c r="O809" s="21">
        <v>152460</v>
      </c>
      <c r="P809" s="37">
        <v>3</v>
      </c>
      <c r="Q809" t="s">
        <v>42</v>
      </c>
      <c r="R809" s="37">
        <v>13</v>
      </c>
      <c r="S809" s="37">
        <v>6</v>
      </c>
      <c r="T809" t="s">
        <v>94</v>
      </c>
      <c r="U809" t="s">
        <v>44</v>
      </c>
      <c r="V809" t="s">
        <v>45</v>
      </c>
      <c r="W809" t="str">
        <f t="shared" si="60"/>
        <v>31-40</v>
      </c>
      <c r="X809" t="str">
        <f t="shared" si="61"/>
        <v>6-10 yrs</v>
      </c>
      <c r="Y809" t="str">
        <f t="shared" si="62"/>
        <v>Nov</v>
      </c>
      <c r="Z809">
        <f t="shared" si="63"/>
        <v>2025</v>
      </c>
      <c r="AA809">
        <f t="shared" si="64"/>
        <v>0</v>
      </c>
    </row>
    <row r="810" spans="1:27" ht="15" customHeight="1" x14ac:dyDescent="0.3">
      <c r="A810" t="s">
        <v>1408</v>
      </c>
      <c r="B810" s="20">
        <v>45682</v>
      </c>
      <c r="C810" t="s">
        <v>1409</v>
      </c>
      <c r="D810" t="s">
        <v>35</v>
      </c>
      <c r="E810" s="37">
        <v>40</v>
      </c>
      <c r="F810" t="s">
        <v>57</v>
      </c>
      <c r="G810" t="s">
        <v>58</v>
      </c>
      <c r="H810" t="s">
        <v>74</v>
      </c>
      <c r="I810" t="s">
        <v>75</v>
      </c>
      <c r="J810" t="s">
        <v>76</v>
      </c>
      <c r="K810" s="37">
        <v>7</v>
      </c>
      <c r="L810" t="s">
        <v>52</v>
      </c>
      <c r="M810" s="21">
        <v>88400</v>
      </c>
      <c r="N810" s="21">
        <v>1135056</v>
      </c>
      <c r="O810" s="21">
        <v>74256</v>
      </c>
      <c r="P810" s="37">
        <v>5</v>
      </c>
      <c r="Q810" t="s">
        <v>42</v>
      </c>
      <c r="R810" s="37">
        <v>11</v>
      </c>
      <c r="S810" s="37">
        <v>9</v>
      </c>
      <c r="T810" t="s">
        <v>175</v>
      </c>
      <c r="U810" t="s">
        <v>63</v>
      </c>
      <c r="V810" t="s">
        <v>45</v>
      </c>
      <c r="W810" t="str">
        <f t="shared" si="60"/>
        <v>31-40</v>
      </c>
      <c r="X810" t="str">
        <f t="shared" si="61"/>
        <v>6-10 yrs</v>
      </c>
      <c r="Y810" t="str">
        <f t="shared" si="62"/>
        <v>Jan</v>
      </c>
      <c r="Z810">
        <f t="shared" si="63"/>
        <v>2025</v>
      </c>
      <c r="AA810">
        <f t="shared" si="64"/>
        <v>0</v>
      </c>
    </row>
    <row r="811" spans="1:27" ht="15" customHeight="1" x14ac:dyDescent="0.3">
      <c r="A811" t="s">
        <v>1410</v>
      </c>
      <c r="B811" s="20">
        <v>45932</v>
      </c>
      <c r="C811" t="s">
        <v>441</v>
      </c>
      <c r="D811" t="s">
        <v>35</v>
      </c>
      <c r="E811" s="37">
        <v>47</v>
      </c>
      <c r="F811" t="s">
        <v>80</v>
      </c>
      <c r="G811" t="s">
        <v>81</v>
      </c>
      <c r="H811" t="s">
        <v>118</v>
      </c>
      <c r="I811" t="s">
        <v>75</v>
      </c>
      <c r="J811" t="s">
        <v>219</v>
      </c>
      <c r="K811" s="37">
        <v>10</v>
      </c>
      <c r="L811" t="s">
        <v>52</v>
      </c>
      <c r="M811" s="21">
        <v>88800</v>
      </c>
      <c r="N811" s="21">
        <v>1278720</v>
      </c>
      <c r="O811" s="21">
        <v>213120</v>
      </c>
      <c r="P811" s="37">
        <v>3</v>
      </c>
      <c r="Q811" t="s">
        <v>126</v>
      </c>
      <c r="R811" s="37">
        <v>10</v>
      </c>
      <c r="S811" s="37">
        <v>33</v>
      </c>
      <c r="T811" t="s">
        <v>77</v>
      </c>
      <c r="U811" t="s">
        <v>44</v>
      </c>
      <c r="V811" t="s">
        <v>45</v>
      </c>
      <c r="W811" t="str">
        <f t="shared" si="60"/>
        <v>41-50</v>
      </c>
      <c r="X811" t="str">
        <f t="shared" si="61"/>
        <v>6-10 yrs</v>
      </c>
      <c r="Y811" t="str">
        <f t="shared" si="62"/>
        <v>Oct</v>
      </c>
      <c r="Z811">
        <f t="shared" si="63"/>
        <v>2025</v>
      </c>
      <c r="AA811">
        <f t="shared" si="64"/>
        <v>1</v>
      </c>
    </row>
    <row r="812" spans="1:27" ht="15" customHeight="1" x14ac:dyDescent="0.3">
      <c r="A812" t="s">
        <v>1411</v>
      </c>
      <c r="B812" s="20">
        <v>45694</v>
      </c>
      <c r="C812" t="s">
        <v>1412</v>
      </c>
      <c r="D812" t="s">
        <v>35</v>
      </c>
      <c r="E812" s="37">
        <v>50</v>
      </c>
      <c r="F812" t="s">
        <v>123</v>
      </c>
      <c r="G812" t="s">
        <v>124</v>
      </c>
      <c r="H812" t="s">
        <v>66</v>
      </c>
      <c r="I812" t="s">
        <v>82</v>
      </c>
      <c r="J812" t="s">
        <v>93</v>
      </c>
      <c r="K812" s="37">
        <v>2</v>
      </c>
      <c r="L812" t="s">
        <v>120</v>
      </c>
      <c r="M812" s="21">
        <v>78200</v>
      </c>
      <c r="N812" s="21">
        <v>1004088</v>
      </c>
      <c r="O812" s="21">
        <v>65688</v>
      </c>
      <c r="P812" s="37">
        <v>3</v>
      </c>
      <c r="Q812" t="s">
        <v>42</v>
      </c>
      <c r="R812" s="37">
        <v>6</v>
      </c>
      <c r="S812" s="37">
        <v>6</v>
      </c>
      <c r="T812" t="s">
        <v>146</v>
      </c>
      <c r="U812" t="s">
        <v>44</v>
      </c>
      <c r="V812" t="s">
        <v>45</v>
      </c>
      <c r="W812" t="str">
        <f t="shared" si="60"/>
        <v>41-50</v>
      </c>
      <c r="X812" t="str">
        <f t="shared" si="61"/>
        <v>0-5 yrs</v>
      </c>
      <c r="Y812" t="str">
        <f t="shared" si="62"/>
        <v>Feb</v>
      </c>
      <c r="Z812">
        <f t="shared" si="63"/>
        <v>2025</v>
      </c>
      <c r="AA812">
        <f t="shared" si="64"/>
        <v>0</v>
      </c>
    </row>
    <row r="813" spans="1:27" ht="15" customHeight="1" x14ac:dyDescent="0.3">
      <c r="A813" t="s">
        <v>1413</v>
      </c>
      <c r="B813" s="20">
        <v>45753</v>
      </c>
      <c r="C813" t="s">
        <v>885</v>
      </c>
      <c r="D813" t="s">
        <v>35</v>
      </c>
      <c r="E813" s="37">
        <v>37</v>
      </c>
      <c r="F813" t="s">
        <v>36</v>
      </c>
      <c r="G813" t="s">
        <v>37</v>
      </c>
      <c r="H813" t="s">
        <v>118</v>
      </c>
      <c r="I813" t="s">
        <v>39</v>
      </c>
      <c r="J813" t="s">
        <v>182</v>
      </c>
      <c r="K813" s="37">
        <v>7</v>
      </c>
      <c r="L813" t="s">
        <v>120</v>
      </c>
      <c r="M813" s="21">
        <v>40200</v>
      </c>
      <c r="N813" s="21">
        <v>574056</v>
      </c>
      <c r="O813" s="21">
        <v>91656</v>
      </c>
      <c r="P813" s="37">
        <v>5</v>
      </c>
      <c r="Q813" t="s">
        <v>42</v>
      </c>
      <c r="R813" s="37">
        <v>8</v>
      </c>
      <c r="S813" s="37">
        <v>29</v>
      </c>
      <c r="T813" t="s">
        <v>77</v>
      </c>
      <c r="U813" t="s">
        <v>63</v>
      </c>
      <c r="V813" t="s">
        <v>45</v>
      </c>
      <c r="W813" t="str">
        <f t="shared" si="60"/>
        <v>31-40</v>
      </c>
      <c r="X813" t="str">
        <f t="shared" si="61"/>
        <v>6-10 yrs</v>
      </c>
      <c r="Y813" t="str">
        <f t="shared" si="62"/>
        <v>Apr</v>
      </c>
      <c r="Z813">
        <f t="shared" si="63"/>
        <v>2025</v>
      </c>
      <c r="AA813">
        <f t="shared" si="64"/>
        <v>0</v>
      </c>
    </row>
    <row r="814" spans="1:27" ht="15" customHeight="1" x14ac:dyDescent="0.3">
      <c r="A814" t="s">
        <v>1414</v>
      </c>
      <c r="B814" s="20">
        <v>45852</v>
      </c>
      <c r="C814" t="s">
        <v>1415</v>
      </c>
      <c r="D814" t="s">
        <v>35</v>
      </c>
      <c r="E814" s="37">
        <v>44</v>
      </c>
      <c r="F814" t="s">
        <v>108</v>
      </c>
      <c r="G814" t="s">
        <v>109</v>
      </c>
      <c r="H814" t="s">
        <v>118</v>
      </c>
      <c r="I814" t="s">
        <v>39</v>
      </c>
      <c r="J814" t="s">
        <v>137</v>
      </c>
      <c r="K814" s="37">
        <v>21</v>
      </c>
      <c r="L814" t="s">
        <v>120</v>
      </c>
      <c r="M814" s="21">
        <v>32900</v>
      </c>
      <c r="N814" s="21">
        <v>442176</v>
      </c>
      <c r="O814" s="21">
        <v>47376</v>
      </c>
      <c r="P814" s="37">
        <v>5</v>
      </c>
      <c r="Q814" t="s">
        <v>42</v>
      </c>
      <c r="R814" s="37">
        <v>13</v>
      </c>
      <c r="S814" s="37">
        <v>38</v>
      </c>
      <c r="T814" t="s">
        <v>146</v>
      </c>
      <c r="U814" t="s">
        <v>54</v>
      </c>
      <c r="V814" t="s">
        <v>69</v>
      </c>
      <c r="W814" t="str">
        <f t="shared" si="60"/>
        <v>41-50</v>
      </c>
      <c r="X814" t="str">
        <f t="shared" si="61"/>
        <v>21-30 yrs</v>
      </c>
      <c r="Y814" t="str">
        <f t="shared" si="62"/>
        <v>Jul</v>
      </c>
      <c r="Z814">
        <f t="shared" si="63"/>
        <v>2025</v>
      </c>
      <c r="AA814">
        <f t="shared" si="64"/>
        <v>0</v>
      </c>
    </row>
    <row r="815" spans="1:27" ht="15" customHeight="1" x14ac:dyDescent="0.3">
      <c r="A815" t="s">
        <v>1416</v>
      </c>
      <c r="B815" s="20">
        <v>45770</v>
      </c>
      <c r="C815" t="s">
        <v>1417</v>
      </c>
      <c r="D815" t="s">
        <v>48</v>
      </c>
      <c r="E815" s="37">
        <v>25</v>
      </c>
      <c r="F815" t="s">
        <v>86</v>
      </c>
      <c r="G815" t="s">
        <v>87</v>
      </c>
      <c r="H815" t="s">
        <v>118</v>
      </c>
      <c r="I815" t="s">
        <v>75</v>
      </c>
      <c r="J815" t="s">
        <v>250</v>
      </c>
      <c r="K815" s="37">
        <v>23</v>
      </c>
      <c r="L815" t="s">
        <v>52</v>
      </c>
      <c r="M815" s="21">
        <v>81000</v>
      </c>
      <c r="N815" s="21">
        <v>1156680</v>
      </c>
      <c r="O815" s="21">
        <v>184680</v>
      </c>
      <c r="P815" s="37">
        <v>5</v>
      </c>
      <c r="Q815" t="s">
        <v>42</v>
      </c>
      <c r="R815" s="37">
        <v>10</v>
      </c>
      <c r="S815" s="37">
        <v>4</v>
      </c>
      <c r="T815" t="s">
        <v>175</v>
      </c>
      <c r="U815" t="s">
        <v>63</v>
      </c>
      <c r="V815" t="s">
        <v>69</v>
      </c>
      <c r="W815" t="str">
        <f t="shared" si="60"/>
        <v>22-30</v>
      </c>
      <c r="X815" t="str">
        <f t="shared" si="61"/>
        <v>21-30 yrs</v>
      </c>
      <c r="Y815" t="str">
        <f t="shared" si="62"/>
        <v>Apr</v>
      </c>
      <c r="Z815">
        <f t="shared" si="63"/>
        <v>2025</v>
      </c>
      <c r="AA815">
        <f t="shared" si="64"/>
        <v>0</v>
      </c>
    </row>
    <row r="816" spans="1:27" ht="15" customHeight="1" x14ac:dyDescent="0.3">
      <c r="A816" t="s">
        <v>1418</v>
      </c>
      <c r="B816" s="20">
        <v>45889</v>
      </c>
      <c r="C816" t="s">
        <v>319</v>
      </c>
      <c r="D816" t="s">
        <v>35</v>
      </c>
      <c r="E816" s="37">
        <v>30</v>
      </c>
      <c r="F816" t="s">
        <v>57</v>
      </c>
      <c r="G816" t="s">
        <v>58</v>
      </c>
      <c r="H816" t="s">
        <v>66</v>
      </c>
      <c r="I816" t="s">
        <v>60</v>
      </c>
      <c r="J816" t="s">
        <v>161</v>
      </c>
      <c r="K816" s="37">
        <v>4</v>
      </c>
      <c r="L816" t="s">
        <v>52</v>
      </c>
      <c r="M816" s="21">
        <v>183300</v>
      </c>
      <c r="N816" s="21">
        <v>2353572</v>
      </c>
      <c r="O816" s="21">
        <v>153972</v>
      </c>
      <c r="P816" s="37">
        <v>2</v>
      </c>
      <c r="Q816" t="s">
        <v>42</v>
      </c>
      <c r="R816" s="37">
        <v>9</v>
      </c>
      <c r="S816" s="37">
        <v>6</v>
      </c>
      <c r="T816" t="s">
        <v>146</v>
      </c>
      <c r="U816" t="s">
        <v>44</v>
      </c>
      <c r="V816" t="s">
        <v>69</v>
      </c>
      <c r="W816" t="str">
        <f t="shared" si="60"/>
        <v>22-30</v>
      </c>
      <c r="X816" t="str">
        <f t="shared" si="61"/>
        <v>0-5 yrs</v>
      </c>
      <c r="Y816" t="str">
        <f t="shared" si="62"/>
        <v>Aug</v>
      </c>
      <c r="Z816">
        <f t="shared" si="63"/>
        <v>2025</v>
      </c>
      <c r="AA816">
        <f t="shared" si="64"/>
        <v>0</v>
      </c>
    </row>
    <row r="817" spans="1:27" ht="15" customHeight="1" x14ac:dyDescent="0.3">
      <c r="A817" t="s">
        <v>1419</v>
      </c>
      <c r="B817" s="20">
        <v>45773</v>
      </c>
      <c r="C817" t="s">
        <v>71</v>
      </c>
      <c r="D817" t="s">
        <v>35</v>
      </c>
      <c r="E817" s="37">
        <v>44</v>
      </c>
      <c r="F817" t="s">
        <v>86</v>
      </c>
      <c r="G817" t="s">
        <v>87</v>
      </c>
      <c r="H817" t="s">
        <v>118</v>
      </c>
      <c r="I817" t="s">
        <v>82</v>
      </c>
      <c r="J817" t="s">
        <v>137</v>
      </c>
      <c r="K817" s="37">
        <v>27</v>
      </c>
      <c r="L817" t="s">
        <v>52</v>
      </c>
      <c r="M817" s="21">
        <v>60100</v>
      </c>
      <c r="N817" s="21">
        <v>778896</v>
      </c>
      <c r="O817" s="21">
        <v>57696</v>
      </c>
      <c r="P817" s="37">
        <v>4</v>
      </c>
      <c r="Q817" t="s">
        <v>42</v>
      </c>
      <c r="R817" s="37">
        <v>11</v>
      </c>
      <c r="S817" s="37">
        <v>15</v>
      </c>
      <c r="T817" t="s">
        <v>146</v>
      </c>
      <c r="U817" t="s">
        <v>44</v>
      </c>
      <c r="V817" t="s">
        <v>69</v>
      </c>
      <c r="W817" t="str">
        <f t="shared" si="60"/>
        <v>41-50</v>
      </c>
      <c r="X817" t="str">
        <f t="shared" si="61"/>
        <v>21-30 yrs</v>
      </c>
      <c r="Y817" t="str">
        <f t="shared" si="62"/>
        <v>Apr</v>
      </c>
      <c r="Z817">
        <f t="shared" si="63"/>
        <v>2025</v>
      </c>
      <c r="AA817">
        <f t="shared" si="64"/>
        <v>0</v>
      </c>
    </row>
    <row r="818" spans="1:27" ht="15" customHeight="1" x14ac:dyDescent="0.3">
      <c r="A818" t="s">
        <v>1420</v>
      </c>
      <c r="B818" s="20">
        <v>45779</v>
      </c>
      <c r="C818" t="s">
        <v>1362</v>
      </c>
      <c r="D818" t="s">
        <v>35</v>
      </c>
      <c r="E818" s="37">
        <v>38</v>
      </c>
      <c r="F818" t="s">
        <v>108</v>
      </c>
      <c r="G818" t="s">
        <v>109</v>
      </c>
      <c r="H818" t="s">
        <v>66</v>
      </c>
      <c r="I818" t="s">
        <v>75</v>
      </c>
      <c r="J818" t="s">
        <v>149</v>
      </c>
      <c r="K818" s="37">
        <v>12</v>
      </c>
      <c r="L818" t="s">
        <v>52</v>
      </c>
      <c r="M818" s="21">
        <v>103100</v>
      </c>
      <c r="N818" s="21">
        <v>1472268</v>
      </c>
      <c r="O818" s="21">
        <v>235068</v>
      </c>
      <c r="P818" s="37">
        <v>4</v>
      </c>
      <c r="Q818" t="s">
        <v>42</v>
      </c>
      <c r="R818" s="37">
        <v>2</v>
      </c>
      <c r="S818" s="37">
        <v>14</v>
      </c>
      <c r="T818" t="s">
        <v>68</v>
      </c>
      <c r="U818" t="s">
        <v>63</v>
      </c>
      <c r="V818" t="s">
        <v>69</v>
      </c>
      <c r="W818" t="str">
        <f t="shared" si="60"/>
        <v>31-40</v>
      </c>
      <c r="X818" t="str">
        <f t="shared" si="61"/>
        <v>11-20 yrs</v>
      </c>
      <c r="Y818" t="str">
        <f t="shared" si="62"/>
        <v>May</v>
      </c>
      <c r="Z818">
        <f t="shared" si="63"/>
        <v>2025</v>
      </c>
      <c r="AA818">
        <f t="shared" si="64"/>
        <v>0</v>
      </c>
    </row>
    <row r="819" spans="1:27" ht="15" customHeight="1" x14ac:dyDescent="0.3">
      <c r="A819" t="s">
        <v>1421</v>
      </c>
      <c r="B819" s="20">
        <v>45724</v>
      </c>
      <c r="C819" t="s">
        <v>1422</v>
      </c>
      <c r="D819" t="s">
        <v>48</v>
      </c>
      <c r="E819" s="37">
        <v>58</v>
      </c>
      <c r="F819" t="s">
        <v>80</v>
      </c>
      <c r="G819" t="s">
        <v>81</v>
      </c>
      <c r="H819" t="s">
        <v>59</v>
      </c>
      <c r="I819" t="s">
        <v>82</v>
      </c>
      <c r="J819" t="s">
        <v>61</v>
      </c>
      <c r="K819" s="37">
        <v>24</v>
      </c>
      <c r="L819" t="s">
        <v>52</v>
      </c>
      <c r="M819" s="21">
        <v>58100</v>
      </c>
      <c r="N819" s="21">
        <v>752976</v>
      </c>
      <c r="O819" s="21">
        <v>55776</v>
      </c>
      <c r="P819" s="37">
        <v>4</v>
      </c>
      <c r="Q819" t="s">
        <v>42</v>
      </c>
      <c r="R819" s="37">
        <v>16</v>
      </c>
      <c r="S819" s="37">
        <v>36</v>
      </c>
      <c r="T819" t="s">
        <v>94</v>
      </c>
      <c r="U819" t="s">
        <v>63</v>
      </c>
      <c r="V819" t="s">
        <v>45</v>
      </c>
      <c r="W819" t="str">
        <f t="shared" si="60"/>
        <v>51-58</v>
      </c>
      <c r="X819" t="str">
        <f t="shared" si="61"/>
        <v>21-30 yrs</v>
      </c>
      <c r="Y819" t="str">
        <f t="shared" si="62"/>
        <v>Mar</v>
      </c>
      <c r="Z819">
        <f t="shared" si="63"/>
        <v>2025</v>
      </c>
      <c r="AA819">
        <f t="shared" si="64"/>
        <v>0</v>
      </c>
    </row>
    <row r="820" spans="1:27" ht="15" customHeight="1" x14ac:dyDescent="0.3">
      <c r="A820" t="s">
        <v>1423</v>
      </c>
      <c r="B820" s="20">
        <v>45942</v>
      </c>
      <c r="C820" t="s">
        <v>1424</v>
      </c>
      <c r="D820" t="s">
        <v>48</v>
      </c>
      <c r="E820" s="37">
        <v>39</v>
      </c>
      <c r="F820" t="s">
        <v>80</v>
      </c>
      <c r="G820" t="s">
        <v>81</v>
      </c>
      <c r="H820" t="s">
        <v>38</v>
      </c>
      <c r="I820" t="s">
        <v>75</v>
      </c>
      <c r="J820" t="s">
        <v>40</v>
      </c>
      <c r="K820" s="37">
        <v>22</v>
      </c>
      <c r="L820" t="s">
        <v>52</v>
      </c>
      <c r="M820" s="21">
        <v>78800</v>
      </c>
      <c r="N820" s="21">
        <v>1049616</v>
      </c>
      <c r="O820" s="21">
        <v>104016</v>
      </c>
      <c r="P820" s="37">
        <v>3</v>
      </c>
      <c r="Q820" t="s">
        <v>42</v>
      </c>
      <c r="R820" s="37">
        <v>0</v>
      </c>
      <c r="S820" s="37">
        <v>39</v>
      </c>
      <c r="T820" t="s">
        <v>105</v>
      </c>
      <c r="U820" t="s">
        <v>138</v>
      </c>
      <c r="V820" t="s">
        <v>69</v>
      </c>
      <c r="W820" t="str">
        <f t="shared" si="60"/>
        <v>31-40</v>
      </c>
      <c r="X820" t="str">
        <f t="shared" si="61"/>
        <v>21-30 yrs</v>
      </c>
      <c r="Y820" t="str">
        <f t="shared" si="62"/>
        <v>Oct</v>
      </c>
      <c r="Z820">
        <f t="shared" si="63"/>
        <v>2025</v>
      </c>
      <c r="AA820">
        <f t="shared" si="64"/>
        <v>0</v>
      </c>
    </row>
    <row r="821" spans="1:27" ht="15" customHeight="1" x14ac:dyDescent="0.3">
      <c r="A821" t="s">
        <v>1425</v>
      </c>
      <c r="B821" s="20">
        <v>45875</v>
      </c>
      <c r="C821" t="s">
        <v>1075</v>
      </c>
      <c r="D821" t="s">
        <v>35</v>
      </c>
      <c r="E821" s="37">
        <v>30</v>
      </c>
      <c r="F821" t="s">
        <v>72</v>
      </c>
      <c r="G821" t="s">
        <v>73</v>
      </c>
      <c r="H821" t="s">
        <v>66</v>
      </c>
      <c r="I821" t="s">
        <v>39</v>
      </c>
      <c r="J821" t="s">
        <v>149</v>
      </c>
      <c r="K821" s="37">
        <v>2</v>
      </c>
      <c r="L821" t="s">
        <v>52</v>
      </c>
      <c r="M821" s="21">
        <v>38700</v>
      </c>
      <c r="N821" s="21">
        <v>524772</v>
      </c>
      <c r="O821" s="21">
        <v>60372</v>
      </c>
      <c r="P821" s="37">
        <v>2</v>
      </c>
      <c r="Q821" t="s">
        <v>42</v>
      </c>
      <c r="R821" s="37">
        <v>18</v>
      </c>
      <c r="S821" s="37">
        <v>29</v>
      </c>
      <c r="T821" t="s">
        <v>129</v>
      </c>
      <c r="U821" t="s">
        <v>44</v>
      </c>
      <c r="V821" t="s">
        <v>45</v>
      </c>
      <c r="W821" t="str">
        <f t="shared" si="60"/>
        <v>22-30</v>
      </c>
      <c r="X821" t="str">
        <f t="shared" si="61"/>
        <v>0-5 yrs</v>
      </c>
      <c r="Y821" t="str">
        <f t="shared" si="62"/>
        <v>Aug</v>
      </c>
      <c r="Z821">
        <f t="shared" si="63"/>
        <v>2025</v>
      </c>
      <c r="AA821">
        <f t="shared" si="64"/>
        <v>0</v>
      </c>
    </row>
    <row r="822" spans="1:27" ht="15" customHeight="1" x14ac:dyDescent="0.3">
      <c r="A822" t="s">
        <v>1426</v>
      </c>
      <c r="B822" s="20">
        <v>45913</v>
      </c>
      <c r="C822" t="s">
        <v>1427</v>
      </c>
      <c r="D822" t="s">
        <v>35</v>
      </c>
      <c r="E822" s="37">
        <v>55</v>
      </c>
      <c r="F822" t="s">
        <v>86</v>
      </c>
      <c r="G822" t="s">
        <v>87</v>
      </c>
      <c r="H822" t="s">
        <v>66</v>
      </c>
      <c r="I822" t="s">
        <v>82</v>
      </c>
      <c r="J822" t="s">
        <v>67</v>
      </c>
      <c r="K822" s="37">
        <v>19</v>
      </c>
      <c r="L822" t="s">
        <v>52</v>
      </c>
      <c r="M822" s="21">
        <v>77600</v>
      </c>
      <c r="N822" s="21">
        <v>1015008</v>
      </c>
      <c r="O822" s="21">
        <v>83808</v>
      </c>
      <c r="P822" s="37">
        <v>5</v>
      </c>
      <c r="Q822" t="s">
        <v>42</v>
      </c>
      <c r="R822" s="37">
        <v>19</v>
      </c>
      <c r="S822" s="37">
        <v>14</v>
      </c>
      <c r="T822" t="s">
        <v>68</v>
      </c>
      <c r="U822" t="s">
        <v>63</v>
      </c>
      <c r="V822" t="s">
        <v>69</v>
      </c>
      <c r="W822" t="str">
        <f t="shared" si="60"/>
        <v>51-58</v>
      </c>
      <c r="X822" t="str">
        <f t="shared" si="61"/>
        <v>11-20 yrs</v>
      </c>
      <c r="Y822" t="str">
        <f t="shared" si="62"/>
        <v>Sep</v>
      </c>
      <c r="Z822">
        <f t="shared" si="63"/>
        <v>2025</v>
      </c>
      <c r="AA822">
        <f t="shared" si="64"/>
        <v>0</v>
      </c>
    </row>
    <row r="823" spans="1:27" ht="15" customHeight="1" x14ac:dyDescent="0.3">
      <c r="A823" t="s">
        <v>1428</v>
      </c>
      <c r="B823" s="20">
        <v>45710</v>
      </c>
      <c r="C823" t="s">
        <v>967</v>
      </c>
      <c r="D823" t="s">
        <v>48</v>
      </c>
      <c r="E823" s="37">
        <v>28</v>
      </c>
      <c r="F823" t="s">
        <v>72</v>
      </c>
      <c r="G823" t="s">
        <v>73</v>
      </c>
      <c r="H823" t="s">
        <v>38</v>
      </c>
      <c r="I823" t="s">
        <v>82</v>
      </c>
      <c r="J823" t="s">
        <v>190</v>
      </c>
      <c r="K823" s="37">
        <v>13</v>
      </c>
      <c r="L823" t="s">
        <v>52</v>
      </c>
      <c r="M823" s="21">
        <v>51700</v>
      </c>
      <c r="N823" s="21">
        <v>676236</v>
      </c>
      <c r="O823" s="21">
        <v>55836</v>
      </c>
      <c r="P823" s="37">
        <v>4</v>
      </c>
      <c r="Q823" t="s">
        <v>42</v>
      </c>
      <c r="R823" s="37">
        <v>13</v>
      </c>
      <c r="S823" s="37">
        <v>13</v>
      </c>
      <c r="T823" t="s">
        <v>62</v>
      </c>
      <c r="U823" t="s">
        <v>54</v>
      </c>
      <c r="V823" t="s">
        <v>45</v>
      </c>
      <c r="W823" t="str">
        <f t="shared" si="60"/>
        <v>22-30</v>
      </c>
      <c r="X823" t="str">
        <f t="shared" si="61"/>
        <v>11-20 yrs</v>
      </c>
      <c r="Y823" t="str">
        <f t="shared" si="62"/>
        <v>Feb</v>
      </c>
      <c r="Z823">
        <f t="shared" si="63"/>
        <v>2025</v>
      </c>
      <c r="AA823">
        <f t="shared" si="64"/>
        <v>0</v>
      </c>
    </row>
    <row r="824" spans="1:27" ht="15" customHeight="1" x14ac:dyDescent="0.3">
      <c r="A824" t="s">
        <v>1429</v>
      </c>
      <c r="B824" s="20">
        <v>45798</v>
      </c>
      <c r="C824" t="s">
        <v>429</v>
      </c>
      <c r="D824" t="s">
        <v>48</v>
      </c>
      <c r="E824" s="37">
        <v>49</v>
      </c>
      <c r="F824" t="s">
        <v>123</v>
      </c>
      <c r="G824" t="s">
        <v>124</v>
      </c>
      <c r="H824" t="s">
        <v>66</v>
      </c>
      <c r="I824" t="s">
        <v>39</v>
      </c>
      <c r="J824" t="s">
        <v>161</v>
      </c>
      <c r="K824" s="37">
        <v>15</v>
      </c>
      <c r="L824" t="s">
        <v>52</v>
      </c>
      <c r="M824" s="21">
        <v>36400</v>
      </c>
      <c r="N824" s="21">
        <v>524160</v>
      </c>
      <c r="O824" s="21">
        <v>87360</v>
      </c>
      <c r="P824" s="37">
        <v>2</v>
      </c>
      <c r="Q824" t="s">
        <v>42</v>
      </c>
      <c r="R824" s="37">
        <v>6</v>
      </c>
      <c r="S824" s="37">
        <v>12</v>
      </c>
      <c r="T824" t="s">
        <v>53</v>
      </c>
      <c r="U824" t="s">
        <v>44</v>
      </c>
      <c r="V824" t="s">
        <v>69</v>
      </c>
      <c r="W824" t="str">
        <f t="shared" si="60"/>
        <v>41-50</v>
      </c>
      <c r="X824" t="str">
        <f t="shared" si="61"/>
        <v>11-20 yrs</v>
      </c>
      <c r="Y824" t="str">
        <f t="shared" si="62"/>
        <v>May</v>
      </c>
      <c r="Z824">
        <f t="shared" si="63"/>
        <v>2025</v>
      </c>
      <c r="AA824">
        <f t="shared" si="64"/>
        <v>0</v>
      </c>
    </row>
    <row r="825" spans="1:27" ht="15" customHeight="1" x14ac:dyDescent="0.3">
      <c r="A825" t="s">
        <v>1430</v>
      </c>
      <c r="B825" s="20">
        <v>45895</v>
      </c>
      <c r="C825" t="s">
        <v>1431</v>
      </c>
      <c r="D825" t="s">
        <v>48</v>
      </c>
      <c r="E825" s="37">
        <v>33</v>
      </c>
      <c r="F825" t="s">
        <v>86</v>
      </c>
      <c r="G825" t="s">
        <v>87</v>
      </c>
      <c r="H825" t="s">
        <v>66</v>
      </c>
      <c r="I825" t="s">
        <v>75</v>
      </c>
      <c r="J825" t="s">
        <v>170</v>
      </c>
      <c r="K825" s="37">
        <v>27</v>
      </c>
      <c r="L825" t="s">
        <v>52</v>
      </c>
      <c r="M825" s="21">
        <v>89200</v>
      </c>
      <c r="N825" s="21">
        <v>1209552</v>
      </c>
      <c r="O825" s="21">
        <v>139152</v>
      </c>
      <c r="P825" s="37">
        <v>5</v>
      </c>
      <c r="Q825" t="s">
        <v>42</v>
      </c>
      <c r="R825" s="37">
        <v>20</v>
      </c>
      <c r="S825" s="37">
        <v>19</v>
      </c>
      <c r="T825" t="s">
        <v>68</v>
      </c>
      <c r="U825" t="s">
        <v>54</v>
      </c>
      <c r="V825" t="s">
        <v>45</v>
      </c>
      <c r="W825" t="str">
        <f t="shared" si="60"/>
        <v>31-40</v>
      </c>
      <c r="X825" t="str">
        <f t="shared" si="61"/>
        <v>21-30 yrs</v>
      </c>
      <c r="Y825" t="str">
        <f t="shared" si="62"/>
        <v>Aug</v>
      </c>
      <c r="Z825">
        <f t="shared" si="63"/>
        <v>2025</v>
      </c>
      <c r="AA825">
        <f t="shared" si="64"/>
        <v>0</v>
      </c>
    </row>
    <row r="826" spans="1:27" ht="15" customHeight="1" x14ac:dyDescent="0.3">
      <c r="A826" t="s">
        <v>1432</v>
      </c>
      <c r="B826" s="20">
        <v>45724</v>
      </c>
      <c r="C826" t="s">
        <v>1315</v>
      </c>
      <c r="D826" t="s">
        <v>48</v>
      </c>
      <c r="E826" s="37">
        <v>58</v>
      </c>
      <c r="F826" t="s">
        <v>97</v>
      </c>
      <c r="G826" t="s">
        <v>98</v>
      </c>
      <c r="H826" t="s">
        <v>38</v>
      </c>
      <c r="I826" t="s">
        <v>82</v>
      </c>
      <c r="J826" t="s">
        <v>190</v>
      </c>
      <c r="K826" s="37">
        <v>21</v>
      </c>
      <c r="L826" t="s">
        <v>120</v>
      </c>
      <c r="M826" s="21">
        <v>54900</v>
      </c>
      <c r="N826" s="21">
        <v>764208</v>
      </c>
      <c r="O826" s="21">
        <v>105408</v>
      </c>
      <c r="P826" s="37">
        <v>4</v>
      </c>
      <c r="Q826" t="s">
        <v>42</v>
      </c>
      <c r="R826" s="37">
        <v>4</v>
      </c>
      <c r="S826" s="37">
        <v>23</v>
      </c>
      <c r="T826" t="s">
        <v>94</v>
      </c>
      <c r="U826" t="s">
        <v>63</v>
      </c>
      <c r="V826" t="s">
        <v>45</v>
      </c>
      <c r="W826" t="str">
        <f t="shared" si="60"/>
        <v>51-58</v>
      </c>
      <c r="X826" t="str">
        <f t="shared" si="61"/>
        <v>21-30 yrs</v>
      </c>
      <c r="Y826" t="str">
        <f t="shared" si="62"/>
        <v>Mar</v>
      </c>
      <c r="Z826">
        <f t="shared" si="63"/>
        <v>2025</v>
      </c>
      <c r="AA826">
        <f t="shared" si="64"/>
        <v>0</v>
      </c>
    </row>
    <row r="827" spans="1:27" ht="15" customHeight="1" x14ac:dyDescent="0.3">
      <c r="A827" t="s">
        <v>1433</v>
      </c>
      <c r="B827" s="20">
        <v>45738</v>
      </c>
      <c r="C827" t="s">
        <v>184</v>
      </c>
      <c r="D827" t="s">
        <v>35</v>
      </c>
      <c r="E827" s="37">
        <v>22</v>
      </c>
      <c r="F827" t="s">
        <v>97</v>
      </c>
      <c r="G827" t="s">
        <v>98</v>
      </c>
      <c r="H827" t="s">
        <v>118</v>
      </c>
      <c r="I827" t="s">
        <v>82</v>
      </c>
      <c r="J827" t="s">
        <v>119</v>
      </c>
      <c r="K827" s="37">
        <v>11</v>
      </c>
      <c r="L827" t="s">
        <v>52</v>
      </c>
      <c r="M827" s="21">
        <v>52600</v>
      </c>
      <c r="N827" s="21">
        <v>675384</v>
      </c>
      <c r="O827" s="21">
        <v>44184</v>
      </c>
      <c r="P827" s="37">
        <v>5</v>
      </c>
      <c r="Q827" t="s">
        <v>42</v>
      </c>
      <c r="R827" s="37">
        <v>3</v>
      </c>
      <c r="S827" s="37">
        <v>35</v>
      </c>
      <c r="T827" t="s">
        <v>94</v>
      </c>
      <c r="U827" t="s">
        <v>44</v>
      </c>
      <c r="V827" t="s">
        <v>69</v>
      </c>
      <c r="W827" t="str">
        <f t="shared" si="60"/>
        <v>22-30</v>
      </c>
      <c r="X827" t="str">
        <f t="shared" si="61"/>
        <v>11-20 yrs</v>
      </c>
      <c r="Y827" t="str">
        <f t="shared" si="62"/>
        <v>Mar</v>
      </c>
      <c r="Z827">
        <f t="shared" si="63"/>
        <v>2025</v>
      </c>
      <c r="AA827">
        <f t="shared" si="64"/>
        <v>0</v>
      </c>
    </row>
    <row r="828" spans="1:27" ht="15" customHeight="1" x14ac:dyDescent="0.3">
      <c r="A828" t="s">
        <v>1434</v>
      </c>
      <c r="B828" s="20">
        <v>45755</v>
      </c>
      <c r="C828" t="s">
        <v>732</v>
      </c>
      <c r="D828" t="s">
        <v>35</v>
      </c>
      <c r="E828" s="37">
        <v>54</v>
      </c>
      <c r="F828" t="s">
        <v>80</v>
      </c>
      <c r="G828" t="s">
        <v>81</v>
      </c>
      <c r="H828" t="s">
        <v>38</v>
      </c>
      <c r="I828" t="s">
        <v>51</v>
      </c>
      <c r="J828" t="s">
        <v>110</v>
      </c>
      <c r="K828" s="37">
        <v>14</v>
      </c>
      <c r="L828" t="s">
        <v>41</v>
      </c>
      <c r="M828" s="21">
        <v>249700</v>
      </c>
      <c r="N828" s="21">
        <v>3385931</v>
      </c>
      <c r="O828" s="21">
        <v>389532</v>
      </c>
      <c r="P828" s="37">
        <v>4</v>
      </c>
      <c r="Q828" t="s">
        <v>42</v>
      </c>
      <c r="R828" s="37">
        <v>8</v>
      </c>
      <c r="S828" s="37">
        <v>28</v>
      </c>
      <c r="T828" t="s">
        <v>68</v>
      </c>
      <c r="U828" t="s">
        <v>54</v>
      </c>
      <c r="V828" t="s">
        <v>69</v>
      </c>
      <c r="W828" t="str">
        <f t="shared" si="60"/>
        <v>51-58</v>
      </c>
      <c r="X828" t="str">
        <f t="shared" si="61"/>
        <v>11-20 yrs</v>
      </c>
      <c r="Y828" t="str">
        <f t="shared" si="62"/>
        <v>Apr</v>
      </c>
      <c r="Z828">
        <f t="shared" si="63"/>
        <v>2025</v>
      </c>
      <c r="AA828">
        <f t="shared" si="64"/>
        <v>0</v>
      </c>
    </row>
    <row r="829" spans="1:27" ht="15" customHeight="1" x14ac:dyDescent="0.3">
      <c r="A829" t="s">
        <v>1435</v>
      </c>
      <c r="B829" s="20">
        <v>45964</v>
      </c>
      <c r="C829" t="s">
        <v>1436</v>
      </c>
      <c r="D829" t="s">
        <v>35</v>
      </c>
      <c r="E829" s="37">
        <v>53</v>
      </c>
      <c r="F829" t="s">
        <v>49</v>
      </c>
      <c r="G829" t="s">
        <v>50</v>
      </c>
      <c r="H829" t="s">
        <v>66</v>
      </c>
      <c r="I829" t="s">
        <v>75</v>
      </c>
      <c r="J829" t="s">
        <v>67</v>
      </c>
      <c r="K829" s="37">
        <v>10</v>
      </c>
      <c r="L829" t="s">
        <v>52</v>
      </c>
      <c r="M829" s="21">
        <v>119000</v>
      </c>
      <c r="N829" s="21">
        <v>1627920</v>
      </c>
      <c r="O829" s="21">
        <v>199920</v>
      </c>
      <c r="P829" s="37">
        <v>4</v>
      </c>
      <c r="Q829" t="s">
        <v>42</v>
      </c>
      <c r="R829" s="37">
        <v>6</v>
      </c>
      <c r="S829" s="37">
        <v>32</v>
      </c>
      <c r="T829" t="s">
        <v>175</v>
      </c>
      <c r="U829" t="s">
        <v>44</v>
      </c>
      <c r="V829" t="s">
        <v>45</v>
      </c>
      <c r="W829" t="str">
        <f t="shared" si="60"/>
        <v>51-58</v>
      </c>
      <c r="X829" t="str">
        <f t="shared" si="61"/>
        <v>6-10 yrs</v>
      </c>
      <c r="Y829" t="str">
        <f t="shared" si="62"/>
        <v>Nov</v>
      </c>
      <c r="Z829">
        <f t="shared" si="63"/>
        <v>2025</v>
      </c>
      <c r="AA829">
        <f t="shared" si="64"/>
        <v>0</v>
      </c>
    </row>
    <row r="830" spans="1:27" ht="15" customHeight="1" x14ac:dyDescent="0.3">
      <c r="A830" t="s">
        <v>1437</v>
      </c>
      <c r="B830" s="20">
        <v>45840</v>
      </c>
      <c r="C830" t="s">
        <v>461</v>
      </c>
      <c r="D830" t="s">
        <v>35</v>
      </c>
      <c r="E830" s="37">
        <v>42</v>
      </c>
      <c r="F830" t="s">
        <v>91</v>
      </c>
      <c r="G830" t="s">
        <v>92</v>
      </c>
      <c r="H830" t="s">
        <v>38</v>
      </c>
      <c r="I830" t="s">
        <v>82</v>
      </c>
      <c r="J830" t="s">
        <v>110</v>
      </c>
      <c r="K830" s="37">
        <v>10</v>
      </c>
      <c r="L830" t="s">
        <v>52</v>
      </c>
      <c r="M830" s="21">
        <v>65800</v>
      </c>
      <c r="N830" s="21">
        <v>923832</v>
      </c>
      <c r="O830" s="21">
        <v>134232</v>
      </c>
      <c r="P830" s="37">
        <v>2</v>
      </c>
      <c r="Q830" t="s">
        <v>42</v>
      </c>
      <c r="R830" s="37">
        <v>3</v>
      </c>
      <c r="S830" s="37">
        <v>7</v>
      </c>
      <c r="T830" t="s">
        <v>62</v>
      </c>
      <c r="U830" t="s">
        <v>44</v>
      </c>
      <c r="V830" t="s">
        <v>69</v>
      </c>
      <c r="W830" t="str">
        <f t="shared" si="60"/>
        <v>41-50</v>
      </c>
      <c r="X830" t="str">
        <f t="shared" si="61"/>
        <v>6-10 yrs</v>
      </c>
      <c r="Y830" t="str">
        <f t="shared" si="62"/>
        <v>Jul</v>
      </c>
      <c r="Z830">
        <f t="shared" si="63"/>
        <v>2025</v>
      </c>
      <c r="AA830">
        <f t="shared" si="64"/>
        <v>0</v>
      </c>
    </row>
    <row r="831" spans="1:27" ht="15" customHeight="1" x14ac:dyDescent="0.3">
      <c r="A831" t="s">
        <v>1438</v>
      </c>
      <c r="B831" s="20">
        <v>45712</v>
      </c>
      <c r="C831" t="s">
        <v>239</v>
      </c>
      <c r="D831" t="s">
        <v>35</v>
      </c>
      <c r="E831" s="37">
        <v>28</v>
      </c>
      <c r="F831" t="s">
        <v>72</v>
      </c>
      <c r="G831" t="s">
        <v>73</v>
      </c>
      <c r="H831" t="s">
        <v>59</v>
      </c>
      <c r="I831" t="s">
        <v>39</v>
      </c>
      <c r="J831" t="s">
        <v>141</v>
      </c>
      <c r="K831" s="37">
        <v>12</v>
      </c>
      <c r="L831" t="s">
        <v>52</v>
      </c>
      <c r="M831" s="21">
        <v>33600</v>
      </c>
      <c r="N831" s="21">
        <v>443520</v>
      </c>
      <c r="O831" s="21">
        <v>40320</v>
      </c>
      <c r="P831" s="37">
        <v>3</v>
      </c>
      <c r="Q831" t="s">
        <v>42</v>
      </c>
      <c r="R831" s="37">
        <v>20</v>
      </c>
      <c r="S831" s="37">
        <v>31</v>
      </c>
      <c r="T831" t="s">
        <v>94</v>
      </c>
      <c r="U831" t="s">
        <v>44</v>
      </c>
      <c r="V831" t="s">
        <v>69</v>
      </c>
      <c r="W831" t="str">
        <f t="shared" si="60"/>
        <v>22-30</v>
      </c>
      <c r="X831" t="str">
        <f t="shared" si="61"/>
        <v>11-20 yrs</v>
      </c>
      <c r="Y831" t="str">
        <f t="shared" si="62"/>
        <v>Feb</v>
      </c>
      <c r="Z831">
        <f t="shared" si="63"/>
        <v>2025</v>
      </c>
      <c r="AA831">
        <f t="shared" si="64"/>
        <v>0</v>
      </c>
    </row>
    <row r="832" spans="1:27" ht="15" customHeight="1" x14ac:dyDescent="0.3">
      <c r="A832" t="s">
        <v>1439</v>
      </c>
      <c r="B832" s="20">
        <v>45884</v>
      </c>
      <c r="C832" t="s">
        <v>1106</v>
      </c>
      <c r="D832" t="s">
        <v>48</v>
      </c>
      <c r="E832" s="37">
        <v>46</v>
      </c>
      <c r="F832" t="s">
        <v>72</v>
      </c>
      <c r="G832" t="s">
        <v>73</v>
      </c>
      <c r="H832" t="s">
        <v>66</v>
      </c>
      <c r="I832" t="s">
        <v>39</v>
      </c>
      <c r="J832" t="s">
        <v>149</v>
      </c>
      <c r="K832" s="37">
        <v>29</v>
      </c>
      <c r="L832" t="s">
        <v>52</v>
      </c>
      <c r="M832" s="21">
        <v>47200</v>
      </c>
      <c r="N832" s="21">
        <v>606048</v>
      </c>
      <c r="O832" s="21">
        <v>39648</v>
      </c>
      <c r="P832" s="37">
        <v>4</v>
      </c>
      <c r="Q832" t="s">
        <v>42</v>
      </c>
      <c r="R832" s="37">
        <v>2</v>
      </c>
      <c r="S832" s="37">
        <v>5</v>
      </c>
      <c r="T832" t="s">
        <v>43</v>
      </c>
      <c r="U832" t="s">
        <v>63</v>
      </c>
      <c r="V832" t="s">
        <v>45</v>
      </c>
      <c r="W832" t="str">
        <f t="shared" si="60"/>
        <v>41-50</v>
      </c>
      <c r="X832" t="str">
        <f t="shared" si="61"/>
        <v>21-30 yrs</v>
      </c>
      <c r="Y832" t="str">
        <f t="shared" si="62"/>
        <v>Aug</v>
      </c>
      <c r="Z832">
        <f t="shared" si="63"/>
        <v>2025</v>
      </c>
      <c r="AA832">
        <f t="shared" si="64"/>
        <v>0</v>
      </c>
    </row>
    <row r="833" spans="1:27" ht="15" customHeight="1" x14ac:dyDescent="0.3">
      <c r="A833" t="s">
        <v>1440</v>
      </c>
      <c r="B833" s="20">
        <v>46005</v>
      </c>
      <c r="C833" t="s">
        <v>1441</v>
      </c>
      <c r="D833" t="s">
        <v>48</v>
      </c>
      <c r="E833" s="37">
        <v>28</v>
      </c>
      <c r="F833" t="s">
        <v>97</v>
      </c>
      <c r="G833" t="s">
        <v>98</v>
      </c>
      <c r="H833" t="s">
        <v>66</v>
      </c>
      <c r="I833" t="s">
        <v>39</v>
      </c>
      <c r="J833" t="s">
        <v>161</v>
      </c>
      <c r="K833" s="37">
        <v>2</v>
      </c>
      <c r="L833" t="s">
        <v>52</v>
      </c>
      <c r="M833" s="21">
        <v>48100</v>
      </c>
      <c r="N833" s="21">
        <v>681096</v>
      </c>
      <c r="O833" s="21">
        <v>103896</v>
      </c>
      <c r="P833" s="37">
        <v>2</v>
      </c>
      <c r="Q833" t="s">
        <v>42</v>
      </c>
      <c r="R833" s="37">
        <v>3</v>
      </c>
      <c r="S833" s="37">
        <v>5</v>
      </c>
      <c r="T833" t="s">
        <v>43</v>
      </c>
      <c r="U833" t="s">
        <v>44</v>
      </c>
      <c r="V833" t="s">
        <v>45</v>
      </c>
      <c r="W833" t="str">
        <f t="shared" si="60"/>
        <v>22-30</v>
      </c>
      <c r="X833" t="str">
        <f t="shared" si="61"/>
        <v>0-5 yrs</v>
      </c>
      <c r="Y833" t="str">
        <f t="shared" si="62"/>
        <v>Dec</v>
      </c>
      <c r="Z833">
        <f t="shared" si="63"/>
        <v>2025</v>
      </c>
      <c r="AA833">
        <f t="shared" si="64"/>
        <v>0</v>
      </c>
    </row>
    <row r="834" spans="1:27" ht="15" customHeight="1" x14ac:dyDescent="0.3">
      <c r="A834" t="s">
        <v>1442</v>
      </c>
      <c r="B834" s="20">
        <v>45839</v>
      </c>
      <c r="C834" t="s">
        <v>999</v>
      </c>
      <c r="D834" t="s">
        <v>35</v>
      </c>
      <c r="E834" s="37">
        <v>31</v>
      </c>
      <c r="F834" t="s">
        <v>36</v>
      </c>
      <c r="G834" t="s">
        <v>37</v>
      </c>
      <c r="H834" t="s">
        <v>66</v>
      </c>
      <c r="I834" t="s">
        <v>39</v>
      </c>
      <c r="J834" t="s">
        <v>93</v>
      </c>
      <c r="K834" s="37">
        <v>5</v>
      </c>
      <c r="L834" t="s">
        <v>52</v>
      </c>
      <c r="M834" s="21">
        <v>41300</v>
      </c>
      <c r="N834" s="21">
        <v>545160</v>
      </c>
      <c r="O834" s="21">
        <v>49560</v>
      </c>
      <c r="P834" s="37">
        <v>3</v>
      </c>
      <c r="Q834" t="s">
        <v>42</v>
      </c>
      <c r="R834" s="37">
        <v>9</v>
      </c>
      <c r="S834" s="37">
        <v>34</v>
      </c>
      <c r="T834" t="s">
        <v>94</v>
      </c>
      <c r="U834" t="s">
        <v>54</v>
      </c>
      <c r="V834" t="s">
        <v>69</v>
      </c>
      <c r="W834" t="str">
        <f t="shared" ref="W834:W897" si="65">IF(E834&lt;=30,"22-30",IF(E834&lt;=40,"31-40",IF(E834&lt;=50,"41-50","51-58")))</f>
        <v>31-40</v>
      </c>
      <c r="X834" t="str">
        <f t="shared" ref="X834:X897" si="66">IF(K834&lt;=5,"0-5 yrs",IF(K834&lt;=10,"6-10 yrs",IF(K834&lt;=20,"11-20 yrs","21-30 yrs")))</f>
        <v>0-5 yrs</v>
      </c>
      <c r="Y834" t="str">
        <f t="shared" ref="Y834:Y897" si="67">TEXT(B834,"mmm")</f>
        <v>Jul</v>
      </c>
      <c r="Z834">
        <f t="shared" ref="Z834:Z897" si="68">YEAR(B834)</f>
        <v>2025</v>
      </c>
      <c r="AA834">
        <f t="shared" ref="AA834:AA897" si="69">IF(Q834="Yes",1,0)</f>
        <v>0</v>
      </c>
    </row>
    <row r="835" spans="1:27" ht="15" customHeight="1" x14ac:dyDescent="0.3">
      <c r="A835" t="s">
        <v>1443</v>
      </c>
      <c r="B835" s="20">
        <v>45662</v>
      </c>
      <c r="C835" t="s">
        <v>1444</v>
      </c>
      <c r="D835" t="s">
        <v>48</v>
      </c>
      <c r="E835" s="37">
        <v>29</v>
      </c>
      <c r="F835" t="s">
        <v>80</v>
      </c>
      <c r="G835" t="s">
        <v>81</v>
      </c>
      <c r="H835" t="s">
        <v>74</v>
      </c>
      <c r="I835" t="s">
        <v>39</v>
      </c>
      <c r="J835" t="s">
        <v>76</v>
      </c>
      <c r="K835" s="37">
        <v>14</v>
      </c>
      <c r="L835" t="s">
        <v>52</v>
      </c>
      <c r="M835" s="21">
        <v>36200</v>
      </c>
      <c r="N835" s="21">
        <v>508247</v>
      </c>
      <c r="O835" s="21">
        <v>73848</v>
      </c>
      <c r="P835" s="37">
        <v>4</v>
      </c>
      <c r="Q835" t="s">
        <v>42</v>
      </c>
      <c r="R835" s="37">
        <v>16</v>
      </c>
      <c r="S835" s="37">
        <v>13</v>
      </c>
      <c r="T835" t="s">
        <v>175</v>
      </c>
      <c r="U835" t="s">
        <v>44</v>
      </c>
      <c r="V835" t="s">
        <v>45</v>
      </c>
      <c r="W835" t="str">
        <f t="shared" si="65"/>
        <v>22-30</v>
      </c>
      <c r="X835" t="str">
        <f t="shared" si="66"/>
        <v>11-20 yrs</v>
      </c>
      <c r="Y835" t="str">
        <f t="shared" si="67"/>
        <v>Jan</v>
      </c>
      <c r="Z835">
        <f t="shared" si="68"/>
        <v>2025</v>
      </c>
      <c r="AA835">
        <f t="shared" si="69"/>
        <v>0</v>
      </c>
    </row>
    <row r="836" spans="1:27" ht="15" customHeight="1" x14ac:dyDescent="0.3">
      <c r="A836" t="s">
        <v>1445</v>
      </c>
      <c r="B836" s="20">
        <v>45691</v>
      </c>
      <c r="C836" t="s">
        <v>1446</v>
      </c>
      <c r="D836" t="s">
        <v>35</v>
      </c>
      <c r="E836" s="37">
        <v>27</v>
      </c>
      <c r="F836" t="s">
        <v>91</v>
      </c>
      <c r="G836" t="s">
        <v>92</v>
      </c>
      <c r="H836" t="s">
        <v>118</v>
      </c>
      <c r="I836" t="s">
        <v>51</v>
      </c>
      <c r="J836" t="s">
        <v>119</v>
      </c>
      <c r="K836" s="37">
        <v>18</v>
      </c>
      <c r="L836" t="s">
        <v>52</v>
      </c>
      <c r="M836" s="21">
        <v>223800</v>
      </c>
      <c r="N836" s="21">
        <v>2927304</v>
      </c>
      <c r="O836" s="21">
        <v>241704</v>
      </c>
      <c r="P836" s="37">
        <v>4</v>
      </c>
      <c r="Q836" t="s">
        <v>42</v>
      </c>
      <c r="R836" s="37">
        <v>12</v>
      </c>
      <c r="S836" s="37">
        <v>30</v>
      </c>
      <c r="T836" t="s">
        <v>77</v>
      </c>
      <c r="U836" t="s">
        <v>63</v>
      </c>
      <c r="V836" t="s">
        <v>69</v>
      </c>
      <c r="W836" t="str">
        <f t="shared" si="65"/>
        <v>22-30</v>
      </c>
      <c r="X836" t="str">
        <f t="shared" si="66"/>
        <v>11-20 yrs</v>
      </c>
      <c r="Y836" t="str">
        <f t="shared" si="67"/>
        <v>Feb</v>
      </c>
      <c r="Z836">
        <f t="shared" si="68"/>
        <v>2025</v>
      </c>
      <c r="AA836">
        <f t="shared" si="69"/>
        <v>0</v>
      </c>
    </row>
    <row r="837" spans="1:27" ht="15" customHeight="1" x14ac:dyDescent="0.3">
      <c r="A837" t="s">
        <v>1447</v>
      </c>
      <c r="B837" s="20">
        <v>46010</v>
      </c>
      <c r="C837" t="s">
        <v>674</v>
      </c>
      <c r="D837" t="s">
        <v>35</v>
      </c>
      <c r="E837" s="37">
        <v>25</v>
      </c>
      <c r="F837" t="s">
        <v>80</v>
      </c>
      <c r="G837" t="s">
        <v>81</v>
      </c>
      <c r="H837" t="s">
        <v>59</v>
      </c>
      <c r="I837" t="s">
        <v>75</v>
      </c>
      <c r="J837" t="s">
        <v>104</v>
      </c>
      <c r="K837" s="37">
        <v>30</v>
      </c>
      <c r="L837" t="s">
        <v>52</v>
      </c>
      <c r="M837" s="21">
        <v>89900</v>
      </c>
      <c r="N837" s="21">
        <v>1186680</v>
      </c>
      <c r="O837" s="21">
        <v>107880</v>
      </c>
      <c r="P837" s="37">
        <v>5</v>
      </c>
      <c r="Q837" t="s">
        <v>42</v>
      </c>
      <c r="R837" s="37">
        <v>15</v>
      </c>
      <c r="S837" s="37">
        <v>4</v>
      </c>
      <c r="T837" t="s">
        <v>94</v>
      </c>
      <c r="U837" t="s">
        <v>44</v>
      </c>
      <c r="V837" t="s">
        <v>69</v>
      </c>
      <c r="W837" t="str">
        <f t="shared" si="65"/>
        <v>22-30</v>
      </c>
      <c r="X837" t="str">
        <f t="shared" si="66"/>
        <v>21-30 yrs</v>
      </c>
      <c r="Y837" t="str">
        <f t="shared" si="67"/>
        <v>Dec</v>
      </c>
      <c r="Z837">
        <f t="shared" si="68"/>
        <v>2025</v>
      </c>
      <c r="AA837">
        <f t="shared" si="69"/>
        <v>0</v>
      </c>
    </row>
    <row r="838" spans="1:27" ht="15" customHeight="1" x14ac:dyDescent="0.3">
      <c r="A838" t="s">
        <v>1448</v>
      </c>
      <c r="B838" s="20">
        <v>45816</v>
      </c>
      <c r="C838" t="s">
        <v>1194</v>
      </c>
      <c r="D838" t="s">
        <v>35</v>
      </c>
      <c r="E838" s="37">
        <v>23</v>
      </c>
      <c r="F838" t="s">
        <v>57</v>
      </c>
      <c r="G838" t="s">
        <v>58</v>
      </c>
      <c r="H838" t="s">
        <v>38</v>
      </c>
      <c r="I838" t="s">
        <v>75</v>
      </c>
      <c r="J838" t="s">
        <v>99</v>
      </c>
      <c r="K838" s="37">
        <v>30</v>
      </c>
      <c r="L838" t="s">
        <v>52</v>
      </c>
      <c r="M838" s="21">
        <v>79100</v>
      </c>
      <c r="N838" s="21">
        <v>1072596</v>
      </c>
      <c r="O838" s="21">
        <v>123396</v>
      </c>
      <c r="P838" s="37">
        <v>3</v>
      </c>
      <c r="Q838" t="s">
        <v>42</v>
      </c>
      <c r="R838" s="37">
        <v>2</v>
      </c>
      <c r="S838" s="37">
        <v>29</v>
      </c>
      <c r="T838" t="s">
        <v>77</v>
      </c>
      <c r="U838" t="s">
        <v>54</v>
      </c>
      <c r="V838" t="s">
        <v>69</v>
      </c>
      <c r="W838" t="str">
        <f t="shared" si="65"/>
        <v>22-30</v>
      </c>
      <c r="X838" t="str">
        <f t="shared" si="66"/>
        <v>21-30 yrs</v>
      </c>
      <c r="Y838" t="str">
        <f t="shared" si="67"/>
        <v>Jun</v>
      </c>
      <c r="Z838">
        <f t="shared" si="68"/>
        <v>2025</v>
      </c>
      <c r="AA838">
        <f t="shared" si="69"/>
        <v>0</v>
      </c>
    </row>
    <row r="839" spans="1:27" ht="15" customHeight="1" x14ac:dyDescent="0.3">
      <c r="A839" t="s">
        <v>1449</v>
      </c>
      <c r="B839" s="20">
        <v>45956</v>
      </c>
      <c r="C839" t="s">
        <v>1022</v>
      </c>
      <c r="D839" t="s">
        <v>48</v>
      </c>
      <c r="E839" s="37">
        <v>52</v>
      </c>
      <c r="F839" t="s">
        <v>123</v>
      </c>
      <c r="G839" t="s">
        <v>124</v>
      </c>
      <c r="H839" t="s">
        <v>66</v>
      </c>
      <c r="I839" t="s">
        <v>75</v>
      </c>
      <c r="J839" t="s">
        <v>67</v>
      </c>
      <c r="K839" s="37">
        <v>18</v>
      </c>
      <c r="L839" t="s">
        <v>52</v>
      </c>
      <c r="M839" s="21">
        <v>86500</v>
      </c>
      <c r="N839" s="21">
        <v>1235220</v>
      </c>
      <c r="O839" s="21">
        <v>197220</v>
      </c>
      <c r="P839" s="37">
        <v>4</v>
      </c>
      <c r="Q839" t="s">
        <v>42</v>
      </c>
      <c r="R839" s="37">
        <v>20</v>
      </c>
      <c r="S839" s="37">
        <v>13</v>
      </c>
      <c r="T839" t="s">
        <v>77</v>
      </c>
      <c r="U839" t="s">
        <v>44</v>
      </c>
      <c r="V839" t="s">
        <v>69</v>
      </c>
      <c r="W839" t="str">
        <f t="shared" si="65"/>
        <v>51-58</v>
      </c>
      <c r="X839" t="str">
        <f t="shared" si="66"/>
        <v>11-20 yrs</v>
      </c>
      <c r="Y839" t="str">
        <f t="shared" si="67"/>
        <v>Oct</v>
      </c>
      <c r="Z839">
        <f t="shared" si="68"/>
        <v>2025</v>
      </c>
      <c r="AA839">
        <f t="shared" si="69"/>
        <v>0</v>
      </c>
    </row>
    <row r="840" spans="1:27" ht="15" customHeight="1" x14ac:dyDescent="0.3">
      <c r="A840" t="s">
        <v>1450</v>
      </c>
      <c r="B840" s="20">
        <v>45726</v>
      </c>
      <c r="C840" t="s">
        <v>1451</v>
      </c>
      <c r="D840" t="s">
        <v>48</v>
      </c>
      <c r="E840" s="37">
        <v>36</v>
      </c>
      <c r="F840" t="s">
        <v>91</v>
      </c>
      <c r="G840" t="s">
        <v>92</v>
      </c>
      <c r="H840" t="s">
        <v>118</v>
      </c>
      <c r="I840" t="s">
        <v>39</v>
      </c>
      <c r="J840" t="s">
        <v>137</v>
      </c>
      <c r="K840" s="37">
        <v>19</v>
      </c>
      <c r="L840" t="s">
        <v>52</v>
      </c>
      <c r="M840" s="21">
        <v>32900</v>
      </c>
      <c r="N840" s="21">
        <v>461916</v>
      </c>
      <c r="O840" s="21">
        <v>67116</v>
      </c>
      <c r="P840" s="37">
        <v>5</v>
      </c>
      <c r="Q840" t="s">
        <v>42</v>
      </c>
      <c r="R840" s="37">
        <v>20</v>
      </c>
      <c r="S840" s="37">
        <v>19</v>
      </c>
      <c r="T840" t="s">
        <v>105</v>
      </c>
      <c r="U840" t="s">
        <v>54</v>
      </c>
      <c r="V840" t="s">
        <v>45</v>
      </c>
      <c r="W840" t="str">
        <f t="shared" si="65"/>
        <v>31-40</v>
      </c>
      <c r="X840" t="str">
        <f t="shared" si="66"/>
        <v>11-20 yrs</v>
      </c>
      <c r="Y840" t="str">
        <f t="shared" si="67"/>
        <v>Mar</v>
      </c>
      <c r="Z840">
        <f t="shared" si="68"/>
        <v>2025</v>
      </c>
      <c r="AA840">
        <f t="shared" si="69"/>
        <v>0</v>
      </c>
    </row>
    <row r="841" spans="1:27" ht="15" customHeight="1" x14ac:dyDescent="0.3">
      <c r="A841" t="s">
        <v>1452</v>
      </c>
      <c r="B841" s="20">
        <v>45678</v>
      </c>
      <c r="C841" t="s">
        <v>1453</v>
      </c>
      <c r="D841" t="s">
        <v>48</v>
      </c>
      <c r="E841" s="37">
        <v>37</v>
      </c>
      <c r="F841" t="s">
        <v>36</v>
      </c>
      <c r="G841" t="s">
        <v>37</v>
      </c>
      <c r="H841" t="s">
        <v>118</v>
      </c>
      <c r="I841" t="s">
        <v>82</v>
      </c>
      <c r="J841" t="s">
        <v>182</v>
      </c>
      <c r="K841" s="37">
        <v>0</v>
      </c>
      <c r="L841" t="s">
        <v>120</v>
      </c>
      <c r="M841" s="21">
        <v>47600</v>
      </c>
      <c r="N841" s="21">
        <v>616896</v>
      </c>
      <c r="O841" s="21">
        <v>45696</v>
      </c>
      <c r="P841" s="37">
        <v>4</v>
      </c>
      <c r="Q841" t="s">
        <v>42</v>
      </c>
      <c r="R841" s="37">
        <v>16</v>
      </c>
      <c r="S841" s="37">
        <v>15</v>
      </c>
      <c r="T841" t="s">
        <v>105</v>
      </c>
      <c r="U841" t="s">
        <v>63</v>
      </c>
      <c r="V841" t="s">
        <v>69</v>
      </c>
      <c r="W841" t="str">
        <f t="shared" si="65"/>
        <v>31-40</v>
      </c>
      <c r="X841" t="str">
        <f t="shared" si="66"/>
        <v>0-5 yrs</v>
      </c>
      <c r="Y841" t="str">
        <f t="shared" si="67"/>
        <v>Jan</v>
      </c>
      <c r="Z841">
        <f t="shared" si="68"/>
        <v>2025</v>
      </c>
      <c r="AA841">
        <f t="shared" si="69"/>
        <v>0</v>
      </c>
    </row>
    <row r="842" spans="1:27" ht="15" customHeight="1" x14ac:dyDescent="0.3">
      <c r="A842" t="s">
        <v>1454</v>
      </c>
      <c r="B842" s="20">
        <v>45823</v>
      </c>
      <c r="C842" t="s">
        <v>1455</v>
      </c>
      <c r="D842" t="s">
        <v>48</v>
      </c>
      <c r="E842" s="37">
        <v>30</v>
      </c>
      <c r="F842" t="s">
        <v>49</v>
      </c>
      <c r="G842" t="s">
        <v>50</v>
      </c>
      <c r="H842" t="s">
        <v>59</v>
      </c>
      <c r="I842" t="s">
        <v>75</v>
      </c>
      <c r="J842" t="s">
        <v>125</v>
      </c>
      <c r="K842" s="37">
        <v>19</v>
      </c>
      <c r="L842" t="s">
        <v>41</v>
      </c>
      <c r="M842" s="21">
        <v>95700</v>
      </c>
      <c r="N842" s="21">
        <v>1263240</v>
      </c>
      <c r="O842" s="21">
        <v>114840</v>
      </c>
      <c r="P842" s="37">
        <v>3</v>
      </c>
      <c r="Q842" t="s">
        <v>126</v>
      </c>
      <c r="R842" s="37">
        <v>10</v>
      </c>
      <c r="S842" s="37">
        <v>27</v>
      </c>
      <c r="T842" t="s">
        <v>105</v>
      </c>
      <c r="U842" t="s">
        <v>44</v>
      </c>
      <c r="V842" t="s">
        <v>69</v>
      </c>
      <c r="W842" t="str">
        <f t="shared" si="65"/>
        <v>22-30</v>
      </c>
      <c r="X842" t="str">
        <f t="shared" si="66"/>
        <v>11-20 yrs</v>
      </c>
      <c r="Y842" t="str">
        <f t="shared" si="67"/>
        <v>Jun</v>
      </c>
      <c r="Z842">
        <f t="shared" si="68"/>
        <v>2025</v>
      </c>
      <c r="AA842">
        <f t="shared" si="69"/>
        <v>1</v>
      </c>
    </row>
    <row r="843" spans="1:27" ht="15" customHeight="1" x14ac:dyDescent="0.3">
      <c r="A843" t="s">
        <v>1456</v>
      </c>
      <c r="B843" s="20">
        <v>45799</v>
      </c>
      <c r="C843" t="s">
        <v>1457</v>
      </c>
      <c r="D843" t="s">
        <v>48</v>
      </c>
      <c r="E843" s="37">
        <v>38</v>
      </c>
      <c r="F843" t="s">
        <v>86</v>
      </c>
      <c r="G843" t="s">
        <v>87</v>
      </c>
      <c r="H843" t="s">
        <v>59</v>
      </c>
      <c r="I843" t="s">
        <v>82</v>
      </c>
      <c r="J843" t="s">
        <v>141</v>
      </c>
      <c r="K843" s="37">
        <v>20</v>
      </c>
      <c r="L843" t="s">
        <v>120</v>
      </c>
      <c r="M843" s="21">
        <v>60100</v>
      </c>
      <c r="N843" s="21">
        <v>858228</v>
      </c>
      <c r="O843" s="21">
        <v>137028</v>
      </c>
      <c r="P843" s="37">
        <v>3</v>
      </c>
      <c r="Q843" t="s">
        <v>42</v>
      </c>
      <c r="R843" s="37">
        <v>0</v>
      </c>
      <c r="S843" s="37">
        <v>20</v>
      </c>
      <c r="T843" t="s">
        <v>94</v>
      </c>
      <c r="U843" t="s">
        <v>54</v>
      </c>
      <c r="V843" t="s">
        <v>69</v>
      </c>
      <c r="W843" t="str">
        <f t="shared" si="65"/>
        <v>31-40</v>
      </c>
      <c r="X843" t="str">
        <f t="shared" si="66"/>
        <v>11-20 yrs</v>
      </c>
      <c r="Y843" t="str">
        <f t="shared" si="67"/>
        <v>May</v>
      </c>
      <c r="Z843">
        <f t="shared" si="68"/>
        <v>2025</v>
      </c>
      <c r="AA843">
        <f t="shared" si="69"/>
        <v>0</v>
      </c>
    </row>
    <row r="844" spans="1:27" ht="15" customHeight="1" x14ac:dyDescent="0.3">
      <c r="A844" t="s">
        <v>1458</v>
      </c>
      <c r="B844" s="20">
        <v>45714</v>
      </c>
      <c r="C844" t="s">
        <v>563</v>
      </c>
      <c r="D844" t="s">
        <v>35</v>
      </c>
      <c r="E844" s="37">
        <v>31</v>
      </c>
      <c r="F844" t="s">
        <v>123</v>
      </c>
      <c r="G844" t="s">
        <v>124</v>
      </c>
      <c r="H844" t="s">
        <v>59</v>
      </c>
      <c r="I844" t="s">
        <v>39</v>
      </c>
      <c r="J844" t="s">
        <v>88</v>
      </c>
      <c r="K844" s="37">
        <v>28</v>
      </c>
      <c r="L844" t="s">
        <v>52</v>
      </c>
      <c r="M844" s="21">
        <v>38000</v>
      </c>
      <c r="N844" s="21">
        <v>501600</v>
      </c>
      <c r="O844" s="21">
        <v>45600</v>
      </c>
      <c r="P844" s="37">
        <v>4</v>
      </c>
      <c r="Q844" t="s">
        <v>42</v>
      </c>
      <c r="R844" s="37">
        <v>4</v>
      </c>
      <c r="S844" s="37">
        <v>40</v>
      </c>
      <c r="T844" t="s">
        <v>53</v>
      </c>
      <c r="U844" t="s">
        <v>44</v>
      </c>
      <c r="V844" t="s">
        <v>45</v>
      </c>
      <c r="W844" t="str">
        <f t="shared" si="65"/>
        <v>31-40</v>
      </c>
      <c r="X844" t="str">
        <f t="shared" si="66"/>
        <v>21-30 yrs</v>
      </c>
      <c r="Y844" t="str">
        <f t="shared" si="67"/>
        <v>Feb</v>
      </c>
      <c r="Z844">
        <f t="shared" si="68"/>
        <v>2025</v>
      </c>
      <c r="AA844">
        <f t="shared" si="69"/>
        <v>0</v>
      </c>
    </row>
    <row r="845" spans="1:27" ht="15" customHeight="1" x14ac:dyDescent="0.3">
      <c r="A845" t="s">
        <v>1459</v>
      </c>
      <c r="B845" s="20">
        <v>45705</v>
      </c>
      <c r="C845" t="s">
        <v>755</v>
      </c>
      <c r="D845" t="s">
        <v>48</v>
      </c>
      <c r="E845" s="37">
        <v>50</v>
      </c>
      <c r="F845" t="s">
        <v>108</v>
      </c>
      <c r="G845" t="s">
        <v>109</v>
      </c>
      <c r="H845" t="s">
        <v>59</v>
      </c>
      <c r="I845" t="s">
        <v>39</v>
      </c>
      <c r="J845" t="s">
        <v>61</v>
      </c>
      <c r="K845" s="37">
        <v>9</v>
      </c>
      <c r="L845" t="s">
        <v>52</v>
      </c>
      <c r="M845" s="21">
        <v>38100</v>
      </c>
      <c r="N845" s="21">
        <v>480060</v>
      </c>
      <c r="O845" s="21">
        <v>22860</v>
      </c>
      <c r="P845" s="37">
        <v>3</v>
      </c>
      <c r="Q845" t="s">
        <v>42</v>
      </c>
      <c r="R845" s="37">
        <v>6</v>
      </c>
      <c r="S845" s="37">
        <v>35</v>
      </c>
      <c r="T845" t="s">
        <v>129</v>
      </c>
      <c r="U845" t="s">
        <v>44</v>
      </c>
      <c r="V845" t="s">
        <v>45</v>
      </c>
      <c r="W845" t="str">
        <f t="shared" si="65"/>
        <v>41-50</v>
      </c>
      <c r="X845" t="str">
        <f t="shared" si="66"/>
        <v>6-10 yrs</v>
      </c>
      <c r="Y845" t="str">
        <f t="shared" si="67"/>
        <v>Feb</v>
      </c>
      <c r="Z845">
        <f t="shared" si="68"/>
        <v>2025</v>
      </c>
      <c r="AA845">
        <f t="shared" si="69"/>
        <v>0</v>
      </c>
    </row>
    <row r="846" spans="1:27" ht="15" customHeight="1" x14ac:dyDescent="0.3">
      <c r="A846" t="s">
        <v>1460</v>
      </c>
      <c r="B846" s="20">
        <v>45895</v>
      </c>
      <c r="C846" t="s">
        <v>1461</v>
      </c>
      <c r="D846" t="s">
        <v>35</v>
      </c>
      <c r="E846" s="37">
        <v>33</v>
      </c>
      <c r="F846" t="s">
        <v>91</v>
      </c>
      <c r="G846" t="s">
        <v>92</v>
      </c>
      <c r="H846" t="s">
        <v>38</v>
      </c>
      <c r="I846" t="s">
        <v>82</v>
      </c>
      <c r="J846" t="s">
        <v>99</v>
      </c>
      <c r="K846" s="37">
        <v>16</v>
      </c>
      <c r="L846" t="s">
        <v>52</v>
      </c>
      <c r="M846" s="21">
        <v>66800</v>
      </c>
      <c r="N846" s="21">
        <v>897792</v>
      </c>
      <c r="O846" s="21">
        <v>96192</v>
      </c>
      <c r="P846" s="37">
        <v>3</v>
      </c>
      <c r="Q846" t="s">
        <v>42</v>
      </c>
      <c r="R846" s="37">
        <v>15</v>
      </c>
      <c r="S846" s="37">
        <v>24</v>
      </c>
      <c r="T846" t="s">
        <v>77</v>
      </c>
      <c r="U846" t="s">
        <v>63</v>
      </c>
      <c r="V846" t="s">
        <v>69</v>
      </c>
      <c r="W846" t="str">
        <f t="shared" si="65"/>
        <v>31-40</v>
      </c>
      <c r="X846" t="str">
        <f t="shared" si="66"/>
        <v>11-20 yrs</v>
      </c>
      <c r="Y846" t="str">
        <f t="shared" si="67"/>
        <v>Aug</v>
      </c>
      <c r="Z846">
        <f t="shared" si="68"/>
        <v>2025</v>
      </c>
      <c r="AA846">
        <f t="shared" si="69"/>
        <v>0</v>
      </c>
    </row>
    <row r="847" spans="1:27" ht="15" customHeight="1" x14ac:dyDescent="0.3">
      <c r="A847" t="s">
        <v>1462</v>
      </c>
      <c r="B847" s="20">
        <v>45914</v>
      </c>
      <c r="C847" t="s">
        <v>1463</v>
      </c>
      <c r="D847" t="s">
        <v>35</v>
      </c>
      <c r="E847" s="37">
        <v>35</v>
      </c>
      <c r="F847" t="s">
        <v>36</v>
      </c>
      <c r="G847" t="s">
        <v>37</v>
      </c>
      <c r="H847" t="s">
        <v>74</v>
      </c>
      <c r="I847" t="s">
        <v>82</v>
      </c>
      <c r="J847" t="s">
        <v>367</v>
      </c>
      <c r="K847" s="37">
        <v>18</v>
      </c>
      <c r="L847" t="s">
        <v>52</v>
      </c>
      <c r="M847" s="21">
        <v>61100</v>
      </c>
      <c r="N847" s="21">
        <v>777192</v>
      </c>
      <c r="O847" s="21">
        <v>43992</v>
      </c>
      <c r="P847" s="37">
        <v>4</v>
      </c>
      <c r="Q847" t="s">
        <v>126</v>
      </c>
      <c r="R847" s="37">
        <v>5</v>
      </c>
      <c r="S847" s="37">
        <v>37</v>
      </c>
      <c r="T847" t="s">
        <v>68</v>
      </c>
      <c r="U847" t="s">
        <v>44</v>
      </c>
      <c r="V847" t="s">
        <v>45</v>
      </c>
      <c r="W847" t="str">
        <f t="shared" si="65"/>
        <v>31-40</v>
      </c>
      <c r="X847" t="str">
        <f t="shared" si="66"/>
        <v>11-20 yrs</v>
      </c>
      <c r="Y847" t="str">
        <f t="shared" si="67"/>
        <v>Sep</v>
      </c>
      <c r="Z847">
        <f t="shared" si="68"/>
        <v>2025</v>
      </c>
      <c r="AA847">
        <f t="shared" si="69"/>
        <v>1</v>
      </c>
    </row>
    <row r="848" spans="1:27" ht="15" customHeight="1" x14ac:dyDescent="0.3">
      <c r="A848" t="s">
        <v>1464</v>
      </c>
      <c r="B848" s="20">
        <v>45691</v>
      </c>
      <c r="C848" t="s">
        <v>1427</v>
      </c>
      <c r="D848" t="s">
        <v>35</v>
      </c>
      <c r="E848" s="37">
        <v>29</v>
      </c>
      <c r="F848" t="s">
        <v>80</v>
      </c>
      <c r="G848" t="s">
        <v>81</v>
      </c>
      <c r="H848" t="s">
        <v>38</v>
      </c>
      <c r="I848" t="s">
        <v>60</v>
      </c>
      <c r="J848" t="s">
        <v>190</v>
      </c>
      <c r="K848" s="37">
        <v>13</v>
      </c>
      <c r="L848" t="s">
        <v>52</v>
      </c>
      <c r="M848" s="21">
        <v>118100</v>
      </c>
      <c r="N848" s="21">
        <v>1587264</v>
      </c>
      <c r="O848" s="21">
        <v>170064</v>
      </c>
      <c r="P848" s="37">
        <v>4</v>
      </c>
      <c r="Q848" t="s">
        <v>42</v>
      </c>
      <c r="R848" s="37">
        <v>20</v>
      </c>
      <c r="S848" s="37">
        <v>14</v>
      </c>
      <c r="T848" t="s">
        <v>175</v>
      </c>
      <c r="U848" t="s">
        <v>44</v>
      </c>
      <c r="V848" t="s">
        <v>69</v>
      </c>
      <c r="W848" t="str">
        <f t="shared" si="65"/>
        <v>22-30</v>
      </c>
      <c r="X848" t="str">
        <f t="shared" si="66"/>
        <v>11-20 yrs</v>
      </c>
      <c r="Y848" t="str">
        <f t="shared" si="67"/>
        <v>Feb</v>
      </c>
      <c r="Z848">
        <f t="shared" si="68"/>
        <v>2025</v>
      </c>
      <c r="AA848">
        <f t="shared" si="69"/>
        <v>0</v>
      </c>
    </row>
    <row r="849" spans="1:27" ht="15" customHeight="1" x14ac:dyDescent="0.3">
      <c r="A849" t="s">
        <v>1465</v>
      </c>
      <c r="B849" s="20">
        <v>45971</v>
      </c>
      <c r="C849" t="s">
        <v>753</v>
      </c>
      <c r="D849" t="s">
        <v>35</v>
      </c>
      <c r="E849" s="37">
        <v>54</v>
      </c>
      <c r="F849" t="s">
        <v>91</v>
      </c>
      <c r="G849" t="s">
        <v>92</v>
      </c>
      <c r="H849" t="s">
        <v>74</v>
      </c>
      <c r="I849" t="s">
        <v>82</v>
      </c>
      <c r="J849" t="s">
        <v>83</v>
      </c>
      <c r="K849" s="37">
        <v>16</v>
      </c>
      <c r="L849" t="s">
        <v>52</v>
      </c>
      <c r="M849" s="21">
        <v>56400</v>
      </c>
      <c r="N849" s="21">
        <v>758016</v>
      </c>
      <c r="O849" s="21">
        <v>81216</v>
      </c>
      <c r="P849" s="37">
        <v>5</v>
      </c>
      <c r="Q849" t="s">
        <v>126</v>
      </c>
      <c r="R849" s="37">
        <v>20</v>
      </c>
      <c r="S849" s="37">
        <v>39</v>
      </c>
      <c r="T849" t="s">
        <v>129</v>
      </c>
      <c r="U849" t="s">
        <v>63</v>
      </c>
      <c r="V849" t="s">
        <v>69</v>
      </c>
      <c r="W849" t="str">
        <f t="shared" si="65"/>
        <v>51-58</v>
      </c>
      <c r="X849" t="str">
        <f t="shared" si="66"/>
        <v>11-20 yrs</v>
      </c>
      <c r="Y849" t="str">
        <f t="shared" si="67"/>
        <v>Nov</v>
      </c>
      <c r="Z849">
        <f t="shared" si="68"/>
        <v>2025</v>
      </c>
      <c r="AA849">
        <f t="shared" si="69"/>
        <v>1</v>
      </c>
    </row>
    <row r="850" spans="1:27" ht="15" customHeight="1" x14ac:dyDescent="0.3">
      <c r="A850" t="s">
        <v>1466</v>
      </c>
      <c r="B850" s="20">
        <v>45893</v>
      </c>
      <c r="C850" t="s">
        <v>1467</v>
      </c>
      <c r="D850" t="s">
        <v>48</v>
      </c>
      <c r="E850" s="37">
        <v>43</v>
      </c>
      <c r="F850" t="s">
        <v>57</v>
      </c>
      <c r="G850" t="s">
        <v>58</v>
      </c>
      <c r="H850" t="s">
        <v>38</v>
      </c>
      <c r="I850" t="s">
        <v>82</v>
      </c>
      <c r="J850" t="s">
        <v>134</v>
      </c>
      <c r="K850" s="37">
        <v>6</v>
      </c>
      <c r="L850" t="s">
        <v>120</v>
      </c>
      <c r="M850" s="21">
        <v>52200</v>
      </c>
      <c r="N850" s="21">
        <v>726624</v>
      </c>
      <c r="O850" s="21">
        <v>100224</v>
      </c>
      <c r="P850" s="37">
        <v>3</v>
      </c>
      <c r="Q850" t="s">
        <v>42</v>
      </c>
      <c r="R850" s="37">
        <v>6</v>
      </c>
      <c r="S850" s="37">
        <v>6</v>
      </c>
      <c r="T850" t="s">
        <v>68</v>
      </c>
      <c r="U850" t="s">
        <v>44</v>
      </c>
      <c r="V850" t="s">
        <v>45</v>
      </c>
      <c r="W850" t="str">
        <f t="shared" si="65"/>
        <v>41-50</v>
      </c>
      <c r="X850" t="str">
        <f t="shared" si="66"/>
        <v>6-10 yrs</v>
      </c>
      <c r="Y850" t="str">
        <f t="shared" si="67"/>
        <v>Aug</v>
      </c>
      <c r="Z850">
        <f t="shared" si="68"/>
        <v>2025</v>
      </c>
      <c r="AA850">
        <f t="shared" si="69"/>
        <v>0</v>
      </c>
    </row>
    <row r="851" spans="1:27" ht="15" customHeight="1" x14ac:dyDescent="0.3">
      <c r="A851" t="s">
        <v>1468</v>
      </c>
      <c r="B851" s="20">
        <v>45722</v>
      </c>
      <c r="C851" t="s">
        <v>518</v>
      </c>
      <c r="D851" t="s">
        <v>48</v>
      </c>
      <c r="E851" s="37">
        <v>27</v>
      </c>
      <c r="F851" t="s">
        <v>91</v>
      </c>
      <c r="G851" t="s">
        <v>92</v>
      </c>
      <c r="H851" t="s">
        <v>38</v>
      </c>
      <c r="I851" t="s">
        <v>82</v>
      </c>
      <c r="J851" t="s">
        <v>40</v>
      </c>
      <c r="K851" s="37">
        <v>16</v>
      </c>
      <c r="L851" t="s">
        <v>52</v>
      </c>
      <c r="M851" s="21">
        <v>62300</v>
      </c>
      <c r="N851" s="21">
        <v>889644</v>
      </c>
      <c r="O851" s="21">
        <v>142044</v>
      </c>
      <c r="P851" s="37">
        <v>4</v>
      </c>
      <c r="Q851" t="s">
        <v>42</v>
      </c>
      <c r="R851" s="37">
        <v>3</v>
      </c>
      <c r="S851" s="37">
        <v>35</v>
      </c>
      <c r="T851" t="s">
        <v>62</v>
      </c>
      <c r="U851" t="s">
        <v>44</v>
      </c>
      <c r="V851" t="s">
        <v>45</v>
      </c>
      <c r="W851" t="str">
        <f t="shared" si="65"/>
        <v>22-30</v>
      </c>
      <c r="X851" t="str">
        <f t="shared" si="66"/>
        <v>11-20 yrs</v>
      </c>
      <c r="Y851" t="str">
        <f t="shared" si="67"/>
        <v>Mar</v>
      </c>
      <c r="Z851">
        <f t="shared" si="68"/>
        <v>2025</v>
      </c>
      <c r="AA851">
        <f t="shared" si="69"/>
        <v>0</v>
      </c>
    </row>
    <row r="852" spans="1:27" ht="15" customHeight="1" x14ac:dyDescent="0.3">
      <c r="A852" t="s">
        <v>1469</v>
      </c>
      <c r="B852" s="20">
        <v>45950</v>
      </c>
      <c r="C852" t="s">
        <v>1470</v>
      </c>
      <c r="D852" t="s">
        <v>48</v>
      </c>
      <c r="E852" s="37">
        <v>29</v>
      </c>
      <c r="F852" t="s">
        <v>108</v>
      </c>
      <c r="G852" t="s">
        <v>109</v>
      </c>
      <c r="H852" t="s">
        <v>66</v>
      </c>
      <c r="I852" t="s">
        <v>82</v>
      </c>
      <c r="J852" t="s">
        <v>170</v>
      </c>
      <c r="K852" s="37">
        <v>23</v>
      </c>
      <c r="L852" t="s">
        <v>41</v>
      </c>
      <c r="M852" s="21">
        <v>65600</v>
      </c>
      <c r="N852" s="21">
        <v>905279</v>
      </c>
      <c r="O852" s="21">
        <v>118080</v>
      </c>
      <c r="P852" s="37">
        <v>4</v>
      </c>
      <c r="Q852" t="s">
        <v>42</v>
      </c>
      <c r="R852" s="37">
        <v>12</v>
      </c>
      <c r="S852" s="37">
        <v>40</v>
      </c>
      <c r="T852" t="s">
        <v>62</v>
      </c>
      <c r="U852" t="s">
        <v>63</v>
      </c>
      <c r="V852" t="s">
        <v>69</v>
      </c>
      <c r="W852" t="str">
        <f t="shared" si="65"/>
        <v>22-30</v>
      </c>
      <c r="X852" t="str">
        <f t="shared" si="66"/>
        <v>21-30 yrs</v>
      </c>
      <c r="Y852" t="str">
        <f t="shared" si="67"/>
        <v>Oct</v>
      </c>
      <c r="Z852">
        <f t="shared" si="68"/>
        <v>2025</v>
      </c>
      <c r="AA852">
        <f t="shared" si="69"/>
        <v>0</v>
      </c>
    </row>
    <row r="853" spans="1:27" ht="15" customHeight="1" x14ac:dyDescent="0.3">
      <c r="A853" t="s">
        <v>1471</v>
      </c>
      <c r="B853" s="20">
        <v>45856</v>
      </c>
      <c r="C853" t="s">
        <v>443</v>
      </c>
      <c r="D853" t="s">
        <v>35</v>
      </c>
      <c r="E853" s="37">
        <v>38</v>
      </c>
      <c r="F853" t="s">
        <v>49</v>
      </c>
      <c r="G853" t="s">
        <v>50</v>
      </c>
      <c r="H853" t="s">
        <v>66</v>
      </c>
      <c r="I853" t="s">
        <v>39</v>
      </c>
      <c r="J853" t="s">
        <v>93</v>
      </c>
      <c r="K853" s="37">
        <v>8</v>
      </c>
      <c r="L853" t="s">
        <v>52</v>
      </c>
      <c r="M853" s="21">
        <v>37800</v>
      </c>
      <c r="N853" s="21">
        <v>539784</v>
      </c>
      <c r="O853" s="21">
        <v>86184</v>
      </c>
      <c r="P853" s="37">
        <v>4</v>
      </c>
      <c r="Q853" t="s">
        <v>42</v>
      </c>
      <c r="R853" s="37">
        <v>7</v>
      </c>
      <c r="S853" s="37">
        <v>22</v>
      </c>
      <c r="T853" t="s">
        <v>175</v>
      </c>
      <c r="U853" t="s">
        <v>138</v>
      </c>
      <c r="V853" t="s">
        <v>45</v>
      </c>
      <c r="W853" t="str">
        <f t="shared" si="65"/>
        <v>31-40</v>
      </c>
      <c r="X853" t="str">
        <f t="shared" si="66"/>
        <v>6-10 yrs</v>
      </c>
      <c r="Y853" t="str">
        <f t="shared" si="67"/>
        <v>Jul</v>
      </c>
      <c r="Z853">
        <f t="shared" si="68"/>
        <v>2025</v>
      </c>
      <c r="AA853">
        <f t="shared" si="69"/>
        <v>0</v>
      </c>
    </row>
    <row r="854" spans="1:27" ht="15" customHeight="1" x14ac:dyDescent="0.3">
      <c r="A854" t="s">
        <v>1472</v>
      </c>
      <c r="B854" s="20">
        <v>45887</v>
      </c>
      <c r="C854" t="s">
        <v>1473</v>
      </c>
      <c r="D854" t="s">
        <v>48</v>
      </c>
      <c r="E854" s="37">
        <v>31</v>
      </c>
      <c r="F854" t="s">
        <v>49</v>
      </c>
      <c r="G854" t="s">
        <v>50</v>
      </c>
      <c r="H854" t="s">
        <v>59</v>
      </c>
      <c r="I854" t="s">
        <v>39</v>
      </c>
      <c r="J854" t="s">
        <v>104</v>
      </c>
      <c r="K854" s="37">
        <v>1</v>
      </c>
      <c r="L854" t="s">
        <v>41</v>
      </c>
      <c r="M854" s="21">
        <v>31700</v>
      </c>
      <c r="N854" s="21">
        <v>422244</v>
      </c>
      <c r="O854" s="21">
        <v>41844</v>
      </c>
      <c r="P854" s="37">
        <v>4</v>
      </c>
      <c r="Q854" t="s">
        <v>42</v>
      </c>
      <c r="R854" s="37">
        <v>7</v>
      </c>
      <c r="S854" s="37">
        <v>1</v>
      </c>
      <c r="T854" t="s">
        <v>77</v>
      </c>
      <c r="U854" t="s">
        <v>138</v>
      </c>
      <c r="V854" t="s">
        <v>45</v>
      </c>
      <c r="W854" t="str">
        <f t="shared" si="65"/>
        <v>31-40</v>
      </c>
      <c r="X854" t="str">
        <f t="shared" si="66"/>
        <v>0-5 yrs</v>
      </c>
      <c r="Y854" t="str">
        <f t="shared" si="67"/>
        <v>Aug</v>
      </c>
      <c r="Z854">
        <f t="shared" si="68"/>
        <v>2025</v>
      </c>
      <c r="AA854">
        <f t="shared" si="69"/>
        <v>0</v>
      </c>
    </row>
    <row r="855" spans="1:27" ht="15" customHeight="1" x14ac:dyDescent="0.3">
      <c r="A855" t="s">
        <v>1474</v>
      </c>
      <c r="B855" s="20">
        <v>45887</v>
      </c>
      <c r="C855" t="s">
        <v>972</v>
      </c>
      <c r="D855" t="s">
        <v>35</v>
      </c>
      <c r="E855" s="37">
        <v>30</v>
      </c>
      <c r="F855" t="s">
        <v>91</v>
      </c>
      <c r="G855" t="s">
        <v>92</v>
      </c>
      <c r="H855" t="s">
        <v>66</v>
      </c>
      <c r="I855" t="s">
        <v>75</v>
      </c>
      <c r="J855" t="s">
        <v>67</v>
      </c>
      <c r="K855" s="37">
        <v>7</v>
      </c>
      <c r="L855" t="s">
        <v>52</v>
      </c>
      <c r="M855" s="21">
        <v>94900</v>
      </c>
      <c r="N855" s="21">
        <v>1298232</v>
      </c>
      <c r="O855" s="21">
        <v>159432</v>
      </c>
      <c r="P855" s="37">
        <v>3</v>
      </c>
      <c r="Q855" t="s">
        <v>42</v>
      </c>
      <c r="R855" s="37">
        <v>14</v>
      </c>
      <c r="S855" s="37">
        <v>18</v>
      </c>
      <c r="T855" t="s">
        <v>105</v>
      </c>
      <c r="U855" t="s">
        <v>54</v>
      </c>
      <c r="V855" t="s">
        <v>45</v>
      </c>
      <c r="W855" t="str">
        <f t="shared" si="65"/>
        <v>22-30</v>
      </c>
      <c r="X855" t="str">
        <f t="shared" si="66"/>
        <v>6-10 yrs</v>
      </c>
      <c r="Y855" t="str">
        <f t="shared" si="67"/>
        <v>Aug</v>
      </c>
      <c r="Z855">
        <f t="shared" si="68"/>
        <v>2025</v>
      </c>
      <c r="AA855">
        <f t="shared" si="69"/>
        <v>0</v>
      </c>
    </row>
    <row r="856" spans="1:27" ht="15" customHeight="1" x14ac:dyDescent="0.3">
      <c r="A856" t="s">
        <v>1475</v>
      </c>
      <c r="B856" s="20">
        <v>45702</v>
      </c>
      <c r="C856" t="s">
        <v>753</v>
      </c>
      <c r="D856" t="s">
        <v>35</v>
      </c>
      <c r="E856" s="37">
        <v>45</v>
      </c>
      <c r="F856" t="s">
        <v>91</v>
      </c>
      <c r="G856" t="s">
        <v>92</v>
      </c>
      <c r="H856" t="s">
        <v>66</v>
      </c>
      <c r="I856" t="s">
        <v>75</v>
      </c>
      <c r="J856" t="s">
        <v>149</v>
      </c>
      <c r="K856" s="37">
        <v>10</v>
      </c>
      <c r="L856" t="s">
        <v>52</v>
      </c>
      <c r="M856" s="21">
        <v>103700</v>
      </c>
      <c r="N856" s="21">
        <v>1356396</v>
      </c>
      <c r="O856" s="21">
        <v>111996</v>
      </c>
      <c r="P856" s="37">
        <v>4</v>
      </c>
      <c r="Q856" t="s">
        <v>42</v>
      </c>
      <c r="R856" s="37">
        <v>10</v>
      </c>
      <c r="S856" s="37">
        <v>8</v>
      </c>
      <c r="T856" t="s">
        <v>175</v>
      </c>
      <c r="U856" t="s">
        <v>54</v>
      </c>
      <c r="V856" t="s">
        <v>69</v>
      </c>
      <c r="W856" t="str">
        <f t="shared" si="65"/>
        <v>41-50</v>
      </c>
      <c r="X856" t="str">
        <f t="shared" si="66"/>
        <v>6-10 yrs</v>
      </c>
      <c r="Y856" t="str">
        <f t="shared" si="67"/>
        <v>Feb</v>
      </c>
      <c r="Z856">
        <f t="shared" si="68"/>
        <v>2025</v>
      </c>
      <c r="AA856">
        <f t="shared" si="69"/>
        <v>0</v>
      </c>
    </row>
    <row r="857" spans="1:27" ht="15" customHeight="1" x14ac:dyDescent="0.3">
      <c r="A857" t="s">
        <v>1476</v>
      </c>
      <c r="B857" s="20">
        <v>45770</v>
      </c>
      <c r="C857" t="s">
        <v>1477</v>
      </c>
      <c r="D857" t="s">
        <v>35</v>
      </c>
      <c r="E857" s="37">
        <v>36</v>
      </c>
      <c r="F857" t="s">
        <v>80</v>
      </c>
      <c r="G857" t="s">
        <v>81</v>
      </c>
      <c r="H857" t="s">
        <v>118</v>
      </c>
      <c r="I857" t="s">
        <v>60</v>
      </c>
      <c r="J857" t="s">
        <v>137</v>
      </c>
      <c r="K857" s="37">
        <v>15</v>
      </c>
      <c r="L857" t="s">
        <v>41</v>
      </c>
      <c r="M857" s="21">
        <v>109500</v>
      </c>
      <c r="N857" s="21">
        <v>1432260</v>
      </c>
      <c r="O857" s="21">
        <v>118260</v>
      </c>
      <c r="P857" s="37">
        <v>5</v>
      </c>
      <c r="Q857" t="s">
        <v>42</v>
      </c>
      <c r="R857" s="37">
        <v>6</v>
      </c>
      <c r="S857" s="37">
        <v>5</v>
      </c>
      <c r="T857" t="s">
        <v>77</v>
      </c>
      <c r="U857" t="s">
        <v>63</v>
      </c>
      <c r="V857" t="s">
        <v>69</v>
      </c>
      <c r="W857" t="str">
        <f t="shared" si="65"/>
        <v>31-40</v>
      </c>
      <c r="X857" t="str">
        <f t="shared" si="66"/>
        <v>11-20 yrs</v>
      </c>
      <c r="Y857" t="str">
        <f t="shared" si="67"/>
        <v>Apr</v>
      </c>
      <c r="Z857">
        <f t="shared" si="68"/>
        <v>2025</v>
      </c>
      <c r="AA857">
        <f t="shared" si="69"/>
        <v>0</v>
      </c>
    </row>
    <row r="858" spans="1:27" ht="15" customHeight="1" x14ac:dyDescent="0.3">
      <c r="A858" t="s">
        <v>1478</v>
      </c>
      <c r="B858" s="20">
        <v>45997</v>
      </c>
      <c r="C858" t="s">
        <v>1470</v>
      </c>
      <c r="D858" t="s">
        <v>48</v>
      </c>
      <c r="E858" s="37">
        <v>43</v>
      </c>
      <c r="F858" t="s">
        <v>86</v>
      </c>
      <c r="G858" t="s">
        <v>87</v>
      </c>
      <c r="H858" t="s">
        <v>38</v>
      </c>
      <c r="I858" t="s">
        <v>39</v>
      </c>
      <c r="J858" t="s">
        <v>190</v>
      </c>
      <c r="K858" s="37">
        <v>0</v>
      </c>
      <c r="L858" t="s">
        <v>52</v>
      </c>
      <c r="M858" s="21">
        <v>30600</v>
      </c>
      <c r="N858" s="21">
        <v>403920</v>
      </c>
      <c r="O858" s="21">
        <v>36720</v>
      </c>
      <c r="P858" s="37">
        <v>4</v>
      </c>
      <c r="Q858" t="s">
        <v>42</v>
      </c>
      <c r="R858" s="37">
        <v>3</v>
      </c>
      <c r="S858" s="37">
        <v>28</v>
      </c>
      <c r="T858" t="s">
        <v>94</v>
      </c>
      <c r="U858" t="s">
        <v>63</v>
      </c>
      <c r="V858" t="s">
        <v>69</v>
      </c>
      <c r="W858" t="str">
        <f t="shared" si="65"/>
        <v>41-50</v>
      </c>
      <c r="X858" t="str">
        <f t="shared" si="66"/>
        <v>0-5 yrs</v>
      </c>
      <c r="Y858" t="str">
        <f t="shared" si="67"/>
        <v>Dec</v>
      </c>
      <c r="Z858">
        <f t="shared" si="68"/>
        <v>2025</v>
      </c>
      <c r="AA858">
        <f t="shared" si="69"/>
        <v>0</v>
      </c>
    </row>
    <row r="859" spans="1:27" ht="15" customHeight="1" x14ac:dyDescent="0.3">
      <c r="A859" t="s">
        <v>1479</v>
      </c>
      <c r="B859" s="20">
        <v>46005</v>
      </c>
      <c r="C859" t="s">
        <v>447</v>
      </c>
      <c r="D859" t="s">
        <v>35</v>
      </c>
      <c r="E859" s="37">
        <v>49</v>
      </c>
      <c r="F859" t="s">
        <v>49</v>
      </c>
      <c r="G859" t="s">
        <v>50</v>
      </c>
      <c r="H859" t="s">
        <v>66</v>
      </c>
      <c r="I859" t="s">
        <v>82</v>
      </c>
      <c r="J859" t="s">
        <v>170</v>
      </c>
      <c r="K859" s="37">
        <v>13</v>
      </c>
      <c r="L859" t="s">
        <v>52</v>
      </c>
      <c r="M859" s="21">
        <v>75800</v>
      </c>
      <c r="N859" s="21">
        <v>1036944</v>
      </c>
      <c r="O859" s="21">
        <v>127344</v>
      </c>
      <c r="P859" s="37">
        <v>5</v>
      </c>
      <c r="Q859" t="s">
        <v>42</v>
      </c>
      <c r="R859" s="37">
        <v>1</v>
      </c>
      <c r="S859" s="37">
        <v>23</v>
      </c>
      <c r="T859" t="s">
        <v>68</v>
      </c>
      <c r="U859" t="s">
        <v>44</v>
      </c>
      <c r="V859" t="s">
        <v>45</v>
      </c>
      <c r="W859" t="str">
        <f t="shared" si="65"/>
        <v>41-50</v>
      </c>
      <c r="X859" t="str">
        <f t="shared" si="66"/>
        <v>11-20 yrs</v>
      </c>
      <c r="Y859" t="str">
        <f t="shared" si="67"/>
        <v>Dec</v>
      </c>
      <c r="Z859">
        <f t="shared" si="68"/>
        <v>2025</v>
      </c>
      <c r="AA859">
        <f t="shared" si="69"/>
        <v>0</v>
      </c>
    </row>
    <row r="860" spans="1:27" ht="15" customHeight="1" x14ac:dyDescent="0.3">
      <c r="A860" t="s">
        <v>1480</v>
      </c>
      <c r="B860" s="20">
        <v>45732</v>
      </c>
      <c r="C860" t="s">
        <v>608</v>
      </c>
      <c r="D860" t="s">
        <v>35</v>
      </c>
      <c r="E860" s="37">
        <v>27</v>
      </c>
      <c r="F860" t="s">
        <v>108</v>
      </c>
      <c r="G860" t="s">
        <v>109</v>
      </c>
      <c r="H860" t="s">
        <v>38</v>
      </c>
      <c r="I860" t="s">
        <v>82</v>
      </c>
      <c r="J860" t="s">
        <v>110</v>
      </c>
      <c r="K860" s="37">
        <v>0</v>
      </c>
      <c r="L860" t="s">
        <v>52</v>
      </c>
      <c r="M860" s="21">
        <v>55400</v>
      </c>
      <c r="N860" s="21">
        <v>711336</v>
      </c>
      <c r="O860" s="21">
        <v>46536</v>
      </c>
      <c r="P860" s="37">
        <v>2</v>
      </c>
      <c r="Q860" t="s">
        <v>42</v>
      </c>
      <c r="R860" s="37">
        <v>2</v>
      </c>
      <c r="S860" s="37">
        <v>13</v>
      </c>
      <c r="T860" t="s">
        <v>175</v>
      </c>
      <c r="U860" t="s">
        <v>44</v>
      </c>
      <c r="V860" t="s">
        <v>45</v>
      </c>
      <c r="W860" t="str">
        <f t="shared" si="65"/>
        <v>22-30</v>
      </c>
      <c r="X860" t="str">
        <f t="shared" si="66"/>
        <v>0-5 yrs</v>
      </c>
      <c r="Y860" t="str">
        <f t="shared" si="67"/>
        <v>Mar</v>
      </c>
      <c r="Z860">
        <f t="shared" si="68"/>
        <v>2025</v>
      </c>
      <c r="AA860">
        <f t="shared" si="69"/>
        <v>0</v>
      </c>
    </row>
    <row r="861" spans="1:27" ht="15" customHeight="1" x14ac:dyDescent="0.3">
      <c r="A861" t="s">
        <v>1481</v>
      </c>
      <c r="B861" s="20">
        <v>45918</v>
      </c>
      <c r="C861" t="s">
        <v>839</v>
      </c>
      <c r="D861" t="s">
        <v>35</v>
      </c>
      <c r="E861" s="37">
        <v>48</v>
      </c>
      <c r="F861" t="s">
        <v>86</v>
      </c>
      <c r="G861" t="s">
        <v>87</v>
      </c>
      <c r="H861" t="s">
        <v>66</v>
      </c>
      <c r="I861" t="s">
        <v>75</v>
      </c>
      <c r="J861" t="s">
        <v>170</v>
      </c>
      <c r="K861" s="37">
        <v>9</v>
      </c>
      <c r="L861" t="s">
        <v>52</v>
      </c>
      <c r="M861" s="21">
        <v>84800</v>
      </c>
      <c r="N861" s="21">
        <v>1149888</v>
      </c>
      <c r="O861" s="21">
        <v>132288</v>
      </c>
      <c r="P861" s="37">
        <v>4</v>
      </c>
      <c r="Q861" t="s">
        <v>126</v>
      </c>
      <c r="R861" s="37">
        <v>12</v>
      </c>
      <c r="S861" s="37">
        <v>24</v>
      </c>
      <c r="T861" t="s">
        <v>94</v>
      </c>
      <c r="U861" t="s">
        <v>54</v>
      </c>
      <c r="V861" t="s">
        <v>45</v>
      </c>
      <c r="W861" t="str">
        <f t="shared" si="65"/>
        <v>41-50</v>
      </c>
      <c r="X861" t="str">
        <f t="shared" si="66"/>
        <v>6-10 yrs</v>
      </c>
      <c r="Y861" t="str">
        <f t="shared" si="67"/>
        <v>Sep</v>
      </c>
      <c r="Z861">
        <f t="shared" si="68"/>
        <v>2025</v>
      </c>
      <c r="AA861">
        <f t="shared" si="69"/>
        <v>1</v>
      </c>
    </row>
    <row r="862" spans="1:27" ht="15" customHeight="1" x14ac:dyDescent="0.3">
      <c r="A862" t="s">
        <v>1482</v>
      </c>
      <c r="B862" s="20">
        <v>45882</v>
      </c>
      <c r="C862" t="s">
        <v>1483</v>
      </c>
      <c r="D862" t="s">
        <v>48</v>
      </c>
      <c r="E862" s="37">
        <v>56</v>
      </c>
      <c r="F862" t="s">
        <v>36</v>
      </c>
      <c r="G862" t="s">
        <v>37</v>
      </c>
      <c r="H862" t="s">
        <v>66</v>
      </c>
      <c r="I862" t="s">
        <v>82</v>
      </c>
      <c r="J862" t="s">
        <v>161</v>
      </c>
      <c r="K862" s="37">
        <v>25</v>
      </c>
      <c r="L862" t="s">
        <v>52</v>
      </c>
      <c r="M862" s="21">
        <v>77200</v>
      </c>
      <c r="N862" s="21">
        <v>1037568</v>
      </c>
      <c r="O862" s="21">
        <v>111168</v>
      </c>
      <c r="P862" s="37">
        <v>5</v>
      </c>
      <c r="Q862" t="s">
        <v>42</v>
      </c>
      <c r="R862" s="37">
        <v>12</v>
      </c>
      <c r="S862" s="37">
        <v>10</v>
      </c>
      <c r="T862" t="s">
        <v>129</v>
      </c>
      <c r="U862" t="s">
        <v>54</v>
      </c>
      <c r="V862" t="s">
        <v>45</v>
      </c>
      <c r="W862" t="str">
        <f t="shared" si="65"/>
        <v>51-58</v>
      </c>
      <c r="X862" t="str">
        <f t="shared" si="66"/>
        <v>21-30 yrs</v>
      </c>
      <c r="Y862" t="str">
        <f t="shared" si="67"/>
        <v>Aug</v>
      </c>
      <c r="Z862">
        <f t="shared" si="68"/>
        <v>2025</v>
      </c>
      <c r="AA862">
        <f t="shared" si="69"/>
        <v>0</v>
      </c>
    </row>
    <row r="863" spans="1:27" ht="15" customHeight="1" x14ac:dyDescent="0.3">
      <c r="A863" t="s">
        <v>1484</v>
      </c>
      <c r="B863" s="20">
        <v>45694</v>
      </c>
      <c r="C863" t="s">
        <v>1485</v>
      </c>
      <c r="D863" t="s">
        <v>35</v>
      </c>
      <c r="E863" s="37">
        <v>58</v>
      </c>
      <c r="F863" t="s">
        <v>36</v>
      </c>
      <c r="G863" t="s">
        <v>37</v>
      </c>
      <c r="H863" t="s">
        <v>66</v>
      </c>
      <c r="I863" t="s">
        <v>39</v>
      </c>
      <c r="J863" t="s">
        <v>149</v>
      </c>
      <c r="K863" s="37">
        <v>11</v>
      </c>
      <c r="L863" t="s">
        <v>52</v>
      </c>
      <c r="M863" s="21">
        <v>47600</v>
      </c>
      <c r="N863" s="21">
        <v>662592</v>
      </c>
      <c r="O863" s="21">
        <v>91392</v>
      </c>
      <c r="P863" s="37">
        <v>4</v>
      </c>
      <c r="Q863" t="s">
        <v>42</v>
      </c>
      <c r="R863" s="37">
        <v>8</v>
      </c>
      <c r="S863" s="37">
        <v>17</v>
      </c>
      <c r="T863" t="s">
        <v>68</v>
      </c>
      <c r="U863" t="s">
        <v>54</v>
      </c>
      <c r="V863" t="s">
        <v>45</v>
      </c>
      <c r="W863" t="str">
        <f t="shared" si="65"/>
        <v>51-58</v>
      </c>
      <c r="X863" t="str">
        <f t="shared" si="66"/>
        <v>11-20 yrs</v>
      </c>
      <c r="Y863" t="str">
        <f t="shared" si="67"/>
        <v>Feb</v>
      </c>
      <c r="Z863">
        <f t="shared" si="68"/>
        <v>2025</v>
      </c>
      <c r="AA863">
        <f t="shared" si="69"/>
        <v>0</v>
      </c>
    </row>
    <row r="864" spans="1:27" ht="15" customHeight="1" x14ac:dyDescent="0.3">
      <c r="A864" t="s">
        <v>1486</v>
      </c>
      <c r="B864" s="20">
        <v>45916</v>
      </c>
      <c r="C864" t="s">
        <v>1104</v>
      </c>
      <c r="D864" t="s">
        <v>35</v>
      </c>
      <c r="E864" s="37">
        <v>22</v>
      </c>
      <c r="F864" t="s">
        <v>36</v>
      </c>
      <c r="G864" t="s">
        <v>37</v>
      </c>
      <c r="H864" t="s">
        <v>74</v>
      </c>
      <c r="I864" t="s">
        <v>60</v>
      </c>
      <c r="J864" t="s">
        <v>83</v>
      </c>
      <c r="K864" s="37">
        <v>17</v>
      </c>
      <c r="L864" t="s">
        <v>52</v>
      </c>
      <c r="M864" s="21">
        <v>121700</v>
      </c>
      <c r="N864" s="21">
        <v>1752480</v>
      </c>
      <c r="O864" s="21">
        <v>292080</v>
      </c>
      <c r="P864" s="37">
        <v>4</v>
      </c>
      <c r="Q864" t="s">
        <v>42</v>
      </c>
      <c r="R864" s="37">
        <v>12</v>
      </c>
      <c r="S864" s="37">
        <v>0</v>
      </c>
      <c r="T864" t="s">
        <v>105</v>
      </c>
      <c r="U864" t="s">
        <v>63</v>
      </c>
      <c r="V864" t="s">
        <v>45</v>
      </c>
      <c r="W864" t="str">
        <f t="shared" si="65"/>
        <v>22-30</v>
      </c>
      <c r="X864" t="str">
        <f t="shared" si="66"/>
        <v>11-20 yrs</v>
      </c>
      <c r="Y864" t="str">
        <f t="shared" si="67"/>
        <v>Sep</v>
      </c>
      <c r="Z864">
        <f t="shared" si="68"/>
        <v>2025</v>
      </c>
      <c r="AA864">
        <f t="shared" si="69"/>
        <v>0</v>
      </c>
    </row>
    <row r="865" spans="1:27" ht="15" customHeight="1" x14ac:dyDescent="0.3">
      <c r="A865" t="s">
        <v>1487</v>
      </c>
      <c r="B865" s="20">
        <v>45743</v>
      </c>
      <c r="C865" t="s">
        <v>1488</v>
      </c>
      <c r="D865" t="s">
        <v>48</v>
      </c>
      <c r="E865" s="37">
        <v>38</v>
      </c>
      <c r="F865" t="s">
        <v>49</v>
      </c>
      <c r="G865" t="s">
        <v>50</v>
      </c>
      <c r="H865" t="s">
        <v>66</v>
      </c>
      <c r="I865" t="s">
        <v>60</v>
      </c>
      <c r="J865" t="s">
        <v>149</v>
      </c>
      <c r="K865" s="37">
        <v>26</v>
      </c>
      <c r="L865" t="s">
        <v>52</v>
      </c>
      <c r="M865" s="21">
        <v>165900</v>
      </c>
      <c r="N865" s="21">
        <v>2249604</v>
      </c>
      <c r="O865" s="21">
        <v>258804</v>
      </c>
      <c r="P865" s="37">
        <v>3</v>
      </c>
      <c r="Q865" t="s">
        <v>42</v>
      </c>
      <c r="R865" s="37">
        <v>7</v>
      </c>
      <c r="S865" s="37">
        <v>24</v>
      </c>
      <c r="T865" t="s">
        <v>62</v>
      </c>
      <c r="U865" t="s">
        <v>54</v>
      </c>
      <c r="V865" t="s">
        <v>69</v>
      </c>
      <c r="W865" t="str">
        <f t="shared" si="65"/>
        <v>31-40</v>
      </c>
      <c r="X865" t="str">
        <f t="shared" si="66"/>
        <v>21-30 yrs</v>
      </c>
      <c r="Y865" t="str">
        <f t="shared" si="67"/>
        <v>Mar</v>
      </c>
      <c r="Z865">
        <f t="shared" si="68"/>
        <v>2025</v>
      </c>
      <c r="AA865">
        <f t="shared" si="69"/>
        <v>0</v>
      </c>
    </row>
    <row r="866" spans="1:27" ht="15" customHeight="1" x14ac:dyDescent="0.3">
      <c r="A866" t="s">
        <v>1489</v>
      </c>
      <c r="B866" s="20">
        <v>45878</v>
      </c>
      <c r="C866" t="s">
        <v>1490</v>
      </c>
      <c r="D866" t="s">
        <v>35</v>
      </c>
      <c r="E866" s="37">
        <v>53</v>
      </c>
      <c r="F866" t="s">
        <v>57</v>
      </c>
      <c r="G866" t="s">
        <v>58</v>
      </c>
      <c r="H866" t="s">
        <v>74</v>
      </c>
      <c r="I866" t="s">
        <v>60</v>
      </c>
      <c r="J866" t="s">
        <v>152</v>
      </c>
      <c r="K866" s="37">
        <v>23</v>
      </c>
      <c r="L866" t="s">
        <v>41</v>
      </c>
      <c r="M866" s="21">
        <v>129200</v>
      </c>
      <c r="N866" s="21">
        <v>1782959</v>
      </c>
      <c r="O866" s="21">
        <v>232560</v>
      </c>
      <c r="P866" s="37">
        <v>4</v>
      </c>
      <c r="Q866" t="s">
        <v>126</v>
      </c>
      <c r="R866" s="37">
        <v>10</v>
      </c>
      <c r="S866" s="37">
        <v>26</v>
      </c>
      <c r="T866" t="s">
        <v>77</v>
      </c>
      <c r="U866" t="s">
        <v>44</v>
      </c>
      <c r="V866" t="s">
        <v>45</v>
      </c>
      <c r="W866" t="str">
        <f t="shared" si="65"/>
        <v>51-58</v>
      </c>
      <c r="X866" t="str">
        <f t="shared" si="66"/>
        <v>21-30 yrs</v>
      </c>
      <c r="Y866" t="str">
        <f t="shared" si="67"/>
        <v>Aug</v>
      </c>
      <c r="Z866">
        <f t="shared" si="68"/>
        <v>2025</v>
      </c>
      <c r="AA866">
        <f t="shared" si="69"/>
        <v>1</v>
      </c>
    </row>
    <row r="867" spans="1:27" ht="15" customHeight="1" x14ac:dyDescent="0.3">
      <c r="A867" t="s">
        <v>1491</v>
      </c>
      <c r="B867" s="20">
        <v>45659</v>
      </c>
      <c r="C867" t="s">
        <v>1246</v>
      </c>
      <c r="D867" t="s">
        <v>35</v>
      </c>
      <c r="E867" s="37">
        <v>54</v>
      </c>
      <c r="F867" t="s">
        <v>49</v>
      </c>
      <c r="G867" t="s">
        <v>50</v>
      </c>
      <c r="H867" t="s">
        <v>38</v>
      </c>
      <c r="I867" t="s">
        <v>39</v>
      </c>
      <c r="J867" t="s">
        <v>40</v>
      </c>
      <c r="K867" s="37">
        <v>23</v>
      </c>
      <c r="L867" t="s">
        <v>52</v>
      </c>
      <c r="M867" s="21">
        <v>30300</v>
      </c>
      <c r="N867" s="21">
        <v>414504</v>
      </c>
      <c r="O867" s="21">
        <v>50904</v>
      </c>
      <c r="P867" s="37">
        <v>4</v>
      </c>
      <c r="Q867" t="s">
        <v>126</v>
      </c>
      <c r="R867" s="37">
        <v>8</v>
      </c>
      <c r="S867" s="37">
        <v>20</v>
      </c>
      <c r="T867" t="s">
        <v>53</v>
      </c>
      <c r="U867" t="s">
        <v>44</v>
      </c>
      <c r="V867" t="s">
        <v>45</v>
      </c>
      <c r="W867" t="str">
        <f t="shared" si="65"/>
        <v>51-58</v>
      </c>
      <c r="X867" t="str">
        <f t="shared" si="66"/>
        <v>21-30 yrs</v>
      </c>
      <c r="Y867" t="str">
        <f t="shared" si="67"/>
        <v>Jan</v>
      </c>
      <c r="Z867">
        <f t="shared" si="68"/>
        <v>2025</v>
      </c>
      <c r="AA867">
        <f t="shared" si="69"/>
        <v>1</v>
      </c>
    </row>
    <row r="868" spans="1:27" ht="15" customHeight="1" x14ac:dyDescent="0.3">
      <c r="A868" t="s">
        <v>1492</v>
      </c>
      <c r="B868" s="20">
        <v>45703</v>
      </c>
      <c r="C868" t="s">
        <v>1334</v>
      </c>
      <c r="D868" t="s">
        <v>35</v>
      </c>
      <c r="E868" s="37">
        <v>31</v>
      </c>
      <c r="F868" t="s">
        <v>80</v>
      </c>
      <c r="G868" t="s">
        <v>81</v>
      </c>
      <c r="H868" t="s">
        <v>74</v>
      </c>
      <c r="I868" t="s">
        <v>39</v>
      </c>
      <c r="J868" t="s">
        <v>83</v>
      </c>
      <c r="K868" s="37">
        <v>8</v>
      </c>
      <c r="L868" t="s">
        <v>52</v>
      </c>
      <c r="M868" s="21">
        <v>43500</v>
      </c>
      <c r="N868" s="21">
        <v>595080</v>
      </c>
      <c r="O868" s="21">
        <v>73080</v>
      </c>
      <c r="P868" s="37">
        <v>2</v>
      </c>
      <c r="Q868" t="s">
        <v>42</v>
      </c>
      <c r="R868" s="37">
        <v>9</v>
      </c>
      <c r="S868" s="37">
        <v>33</v>
      </c>
      <c r="T868" t="s">
        <v>77</v>
      </c>
      <c r="U868" t="s">
        <v>44</v>
      </c>
      <c r="V868" t="s">
        <v>69</v>
      </c>
      <c r="W868" t="str">
        <f t="shared" si="65"/>
        <v>31-40</v>
      </c>
      <c r="X868" t="str">
        <f t="shared" si="66"/>
        <v>6-10 yrs</v>
      </c>
      <c r="Y868" t="str">
        <f t="shared" si="67"/>
        <v>Feb</v>
      </c>
      <c r="Z868">
        <f t="shared" si="68"/>
        <v>2025</v>
      </c>
      <c r="AA868">
        <f t="shared" si="69"/>
        <v>0</v>
      </c>
    </row>
    <row r="869" spans="1:27" ht="15" customHeight="1" x14ac:dyDescent="0.3">
      <c r="A869" t="s">
        <v>1493</v>
      </c>
      <c r="B869" s="20">
        <v>45758</v>
      </c>
      <c r="C869" t="s">
        <v>561</v>
      </c>
      <c r="D869" t="s">
        <v>48</v>
      </c>
      <c r="E869" s="37">
        <v>52</v>
      </c>
      <c r="F869" t="s">
        <v>86</v>
      </c>
      <c r="G869" t="s">
        <v>87</v>
      </c>
      <c r="H869" t="s">
        <v>66</v>
      </c>
      <c r="I869" t="s">
        <v>82</v>
      </c>
      <c r="J869" t="s">
        <v>93</v>
      </c>
      <c r="K869" s="37">
        <v>29</v>
      </c>
      <c r="L869" t="s">
        <v>41</v>
      </c>
      <c r="M869" s="21">
        <v>70600</v>
      </c>
      <c r="N869" s="21">
        <v>948864</v>
      </c>
      <c r="O869" s="21">
        <v>101664</v>
      </c>
      <c r="P869" s="37">
        <v>4</v>
      </c>
      <c r="Q869" t="s">
        <v>42</v>
      </c>
      <c r="R869" s="37">
        <v>19</v>
      </c>
      <c r="S869" s="37">
        <v>34</v>
      </c>
      <c r="T869" t="s">
        <v>129</v>
      </c>
      <c r="U869" t="s">
        <v>44</v>
      </c>
      <c r="V869" t="s">
        <v>69</v>
      </c>
      <c r="W869" t="str">
        <f t="shared" si="65"/>
        <v>51-58</v>
      </c>
      <c r="X869" t="str">
        <f t="shared" si="66"/>
        <v>21-30 yrs</v>
      </c>
      <c r="Y869" t="str">
        <f t="shared" si="67"/>
        <v>Apr</v>
      </c>
      <c r="Z869">
        <f t="shared" si="68"/>
        <v>2025</v>
      </c>
      <c r="AA869">
        <f t="shared" si="69"/>
        <v>0</v>
      </c>
    </row>
    <row r="870" spans="1:27" ht="15" customHeight="1" x14ac:dyDescent="0.3">
      <c r="A870" t="s">
        <v>1494</v>
      </c>
      <c r="B870" s="20">
        <v>45864</v>
      </c>
      <c r="C870" t="s">
        <v>1495</v>
      </c>
      <c r="D870" t="s">
        <v>35</v>
      </c>
      <c r="E870" s="37">
        <v>24</v>
      </c>
      <c r="F870" t="s">
        <v>123</v>
      </c>
      <c r="G870" t="s">
        <v>124</v>
      </c>
      <c r="H870" t="s">
        <v>59</v>
      </c>
      <c r="I870" t="s">
        <v>39</v>
      </c>
      <c r="J870" t="s">
        <v>61</v>
      </c>
      <c r="K870" s="37">
        <v>29</v>
      </c>
      <c r="L870" t="s">
        <v>52</v>
      </c>
      <c r="M870" s="21">
        <v>28700</v>
      </c>
      <c r="N870" s="21">
        <v>375396</v>
      </c>
      <c r="O870" s="21">
        <v>30996</v>
      </c>
      <c r="P870" s="37">
        <v>4</v>
      </c>
      <c r="Q870" t="s">
        <v>126</v>
      </c>
      <c r="R870" s="37">
        <v>5</v>
      </c>
      <c r="S870" s="37">
        <v>6</v>
      </c>
      <c r="T870" t="s">
        <v>146</v>
      </c>
      <c r="U870" t="s">
        <v>63</v>
      </c>
      <c r="V870" t="s">
        <v>69</v>
      </c>
      <c r="W870" t="str">
        <f t="shared" si="65"/>
        <v>22-30</v>
      </c>
      <c r="X870" t="str">
        <f t="shared" si="66"/>
        <v>21-30 yrs</v>
      </c>
      <c r="Y870" t="str">
        <f t="shared" si="67"/>
        <v>Jul</v>
      </c>
      <c r="Z870">
        <f t="shared" si="68"/>
        <v>2025</v>
      </c>
      <c r="AA870">
        <f t="shared" si="69"/>
        <v>1</v>
      </c>
    </row>
    <row r="871" spans="1:27" ht="15" customHeight="1" x14ac:dyDescent="0.3">
      <c r="A871" t="s">
        <v>1496</v>
      </c>
      <c r="B871" s="20">
        <v>45846</v>
      </c>
      <c r="C871" t="s">
        <v>1497</v>
      </c>
      <c r="D871" t="s">
        <v>35</v>
      </c>
      <c r="E871" s="37">
        <v>24</v>
      </c>
      <c r="F871" t="s">
        <v>49</v>
      </c>
      <c r="G871" t="s">
        <v>50</v>
      </c>
      <c r="H871" t="s">
        <v>38</v>
      </c>
      <c r="I871" t="s">
        <v>82</v>
      </c>
      <c r="J871" t="s">
        <v>190</v>
      </c>
      <c r="K871" s="37">
        <v>17</v>
      </c>
      <c r="L871" t="s">
        <v>52</v>
      </c>
      <c r="M871" s="21">
        <v>60500</v>
      </c>
      <c r="N871" s="21">
        <v>842160</v>
      </c>
      <c r="O871" s="21">
        <v>116160</v>
      </c>
      <c r="P871" s="37">
        <v>3</v>
      </c>
      <c r="Q871" t="s">
        <v>42</v>
      </c>
      <c r="R871" s="37">
        <v>8</v>
      </c>
      <c r="S871" s="37">
        <v>6</v>
      </c>
      <c r="T871" t="s">
        <v>77</v>
      </c>
      <c r="U871" t="s">
        <v>44</v>
      </c>
      <c r="V871" t="s">
        <v>69</v>
      </c>
      <c r="W871" t="str">
        <f t="shared" si="65"/>
        <v>22-30</v>
      </c>
      <c r="X871" t="str">
        <f t="shared" si="66"/>
        <v>11-20 yrs</v>
      </c>
      <c r="Y871" t="str">
        <f t="shared" si="67"/>
        <v>Jul</v>
      </c>
      <c r="Z871">
        <f t="shared" si="68"/>
        <v>2025</v>
      </c>
      <c r="AA871">
        <f t="shared" si="69"/>
        <v>0</v>
      </c>
    </row>
    <row r="872" spans="1:27" ht="15" customHeight="1" x14ac:dyDescent="0.3">
      <c r="A872" t="s">
        <v>1498</v>
      </c>
      <c r="B872" s="20">
        <v>45795</v>
      </c>
      <c r="C872" t="s">
        <v>1499</v>
      </c>
      <c r="D872" t="s">
        <v>35</v>
      </c>
      <c r="E872" s="37">
        <v>29</v>
      </c>
      <c r="F872" t="s">
        <v>86</v>
      </c>
      <c r="G872" t="s">
        <v>87</v>
      </c>
      <c r="H872" t="s">
        <v>118</v>
      </c>
      <c r="I872" t="s">
        <v>39</v>
      </c>
      <c r="J872" t="s">
        <v>219</v>
      </c>
      <c r="K872" s="37">
        <v>19</v>
      </c>
      <c r="L872" t="s">
        <v>52</v>
      </c>
      <c r="M872" s="21">
        <v>31900</v>
      </c>
      <c r="N872" s="21">
        <v>436392</v>
      </c>
      <c r="O872" s="21">
        <v>53592</v>
      </c>
      <c r="P872" s="37">
        <v>4</v>
      </c>
      <c r="Q872" t="s">
        <v>42</v>
      </c>
      <c r="R872" s="37">
        <v>11</v>
      </c>
      <c r="S872" s="37">
        <v>11</v>
      </c>
      <c r="T872" t="s">
        <v>175</v>
      </c>
      <c r="U872" t="s">
        <v>44</v>
      </c>
      <c r="V872" t="s">
        <v>45</v>
      </c>
      <c r="W872" t="str">
        <f t="shared" si="65"/>
        <v>22-30</v>
      </c>
      <c r="X872" t="str">
        <f t="shared" si="66"/>
        <v>11-20 yrs</v>
      </c>
      <c r="Y872" t="str">
        <f t="shared" si="67"/>
        <v>May</v>
      </c>
      <c r="Z872">
        <f t="shared" si="68"/>
        <v>2025</v>
      </c>
      <c r="AA872">
        <f t="shared" si="69"/>
        <v>0</v>
      </c>
    </row>
    <row r="873" spans="1:27" ht="15" customHeight="1" x14ac:dyDescent="0.3">
      <c r="A873" t="s">
        <v>1500</v>
      </c>
      <c r="B873" s="20">
        <v>45821</v>
      </c>
      <c r="C873" t="s">
        <v>1501</v>
      </c>
      <c r="D873" t="s">
        <v>35</v>
      </c>
      <c r="E873" s="37">
        <v>33</v>
      </c>
      <c r="F873" t="s">
        <v>108</v>
      </c>
      <c r="G873" t="s">
        <v>109</v>
      </c>
      <c r="H873" t="s">
        <v>74</v>
      </c>
      <c r="I873" t="s">
        <v>75</v>
      </c>
      <c r="J873" t="s">
        <v>152</v>
      </c>
      <c r="K873" s="37">
        <v>26</v>
      </c>
      <c r="L873" t="s">
        <v>52</v>
      </c>
      <c r="M873" s="21">
        <v>85500</v>
      </c>
      <c r="N873" s="21">
        <v>1128600</v>
      </c>
      <c r="O873" s="21">
        <v>102600</v>
      </c>
      <c r="P873" s="37">
        <v>4</v>
      </c>
      <c r="Q873" t="s">
        <v>42</v>
      </c>
      <c r="R873" s="37">
        <v>4</v>
      </c>
      <c r="S873" s="37">
        <v>35</v>
      </c>
      <c r="T873" t="s">
        <v>43</v>
      </c>
      <c r="U873" t="s">
        <v>63</v>
      </c>
      <c r="V873" t="s">
        <v>45</v>
      </c>
      <c r="W873" t="str">
        <f t="shared" si="65"/>
        <v>31-40</v>
      </c>
      <c r="X873" t="str">
        <f t="shared" si="66"/>
        <v>21-30 yrs</v>
      </c>
      <c r="Y873" t="str">
        <f t="shared" si="67"/>
        <v>Jun</v>
      </c>
      <c r="Z873">
        <f t="shared" si="68"/>
        <v>2025</v>
      </c>
      <c r="AA873">
        <f t="shared" si="69"/>
        <v>0</v>
      </c>
    </row>
    <row r="874" spans="1:27" ht="15" customHeight="1" x14ac:dyDescent="0.3">
      <c r="A874" t="s">
        <v>1502</v>
      </c>
      <c r="B874" s="20">
        <v>45971</v>
      </c>
      <c r="C874" t="s">
        <v>1463</v>
      </c>
      <c r="D874" t="s">
        <v>35</v>
      </c>
      <c r="E874" s="37">
        <v>22</v>
      </c>
      <c r="F874" t="s">
        <v>36</v>
      </c>
      <c r="G874" t="s">
        <v>37</v>
      </c>
      <c r="H874" t="s">
        <v>38</v>
      </c>
      <c r="I874" t="s">
        <v>75</v>
      </c>
      <c r="J874" t="s">
        <v>40</v>
      </c>
      <c r="K874" s="37">
        <v>16</v>
      </c>
      <c r="L874" t="s">
        <v>52</v>
      </c>
      <c r="M874" s="21">
        <v>104200</v>
      </c>
      <c r="N874" s="21">
        <v>1475472</v>
      </c>
      <c r="O874" s="21">
        <v>225072</v>
      </c>
      <c r="P874" s="37">
        <v>4</v>
      </c>
      <c r="Q874" t="s">
        <v>42</v>
      </c>
      <c r="R874" s="37">
        <v>11</v>
      </c>
      <c r="S874" s="37">
        <v>23</v>
      </c>
      <c r="T874" t="s">
        <v>94</v>
      </c>
      <c r="U874" t="s">
        <v>44</v>
      </c>
      <c r="V874" t="s">
        <v>69</v>
      </c>
      <c r="W874" t="str">
        <f t="shared" si="65"/>
        <v>22-30</v>
      </c>
      <c r="X874" t="str">
        <f t="shared" si="66"/>
        <v>11-20 yrs</v>
      </c>
      <c r="Y874" t="str">
        <f t="shared" si="67"/>
        <v>Nov</v>
      </c>
      <c r="Z874">
        <f t="shared" si="68"/>
        <v>2025</v>
      </c>
      <c r="AA874">
        <f t="shared" si="69"/>
        <v>0</v>
      </c>
    </row>
    <row r="875" spans="1:27" ht="15" customHeight="1" x14ac:dyDescent="0.3">
      <c r="A875" t="s">
        <v>1503</v>
      </c>
      <c r="B875" s="20">
        <v>45820</v>
      </c>
      <c r="C875" t="s">
        <v>174</v>
      </c>
      <c r="D875" t="s">
        <v>35</v>
      </c>
      <c r="E875" s="37">
        <v>54</v>
      </c>
      <c r="F875" t="s">
        <v>86</v>
      </c>
      <c r="G875" t="s">
        <v>87</v>
      </c>
      <c r="H875" t="s">
        <v>66</v>
      </c>
      <c r="I875" t="s">
        <v>39</v>
      </c>
      <c r="J875" t="s">
        <v>149</v>
      </c>
      <c r="K875" s="37">
        <v>1</v>
      </c>
      <c r="L875" t="s">
        <v>52</v>
      </c>
      <c r="M875" s="21">
        <v>47900</v>
      </c>
      <c r="N875" s="21">
        <v>643776</v>
      </c>
      <c r="O875" s="21">
        <v>68976</v>
      </c>
      <c r="P875" s="37">
        <v>1</v>
      </c>
      <c r="Q875" t="s">
        <v>42</v>
      </c>
      <c r="R875" s="37">
        <v>9</v>
      </c>
      <c r="S875" s="37">
        <v>13</v>
      </c>
      <c r="T875" t="s">
        <v>77</v>
      </c>
      <c r="U875" t="s">
        <v>44</v>
      </c>
      <c r="V875" t="s">
        <v>45</v>
      </c>
      <c r="W875" t="str">
        <f t="shared" si="65"/>
        <v>51-58</v>
      </c>
      <c r="X875" t="str">
        <f t="shared" si="66"/>
        <v>0-5 yrs</v>
      </c>
      <c r="Y875" t="str">
        <f t="shared" si="67"/>
        <v>Jun</v>
      </c>
      <c r="Z875">
        <f t="shared" si="68"/>
        <v>2025</v>
      </c>
      <c r="AA875">
        <f t="shared" si="69"/>
        <v>0</v>
      </c>
    </row>
    <row r="876" spans="1:27" ht="15" customHeight="1" x14ac:dyDescent="0.3">
      <c r="A876" t="s">
        <v>1504</v>
      </c>
      <c r="B876" s="20">
        <v>45992</v>
      </c>
      <c r="C876" t="s">
        <v>1505</v>
      </c>
      <c r="D876" t="s">
        <v>48</v>
      </c>
      <c r="E876" s="37">
        <v>53</v>
      </c>
      <c r="F876" t="s">
        <v>97</v>
      </c>
      <c r="G876" t="s">
        <v>98</v>
      </c>
      <c r="H876" t="s">
        <v>118</v>
      </c>
      <c r="I876" t="s">
        <v>60</v>
      </c>
      <c r="J876" t="s">
        <v>137</v>
      </c>
      <c r="K876" s="37">
        <v>29</v>
      </c>
      <c r="L876" t="s">
        <v>52</v>
      </c>
      <c r="M876" s="21">
        <v>127600</v>
      </c>
      <c r="N876" s="21">
        <v>1822128</v>
      </c>
      <c r="O876" s="21">
        <v>290928</v>
      </c>
      <c r="P876" s="37">
        <v>3</v>
      </c>
      <c r="Q876" t="s">
        <v>126</v>
      </c>
      <c r="R876" s="37">
        <v>8</v>
      </c>
      <c r="S876" s="37">
        <v>28</v>
      </c>
      <c r="T876" t="s">
        <v>53</v>
      </c>
      <c r="U876" t="s">
        <v>44</v>
      </c>
      <c r="V876" t="s">
        <v>45</v>
      </c>
      <c r="W876" t="str">
        <f t="shared" si="65"/>
        <v>51-58</v>
      </c>
      <c r="X876" t="str">
        <f t="shared" si="66"/>
        <v>21-30 yrs</v>
      </c>
      <c r="Y876" t="str">
        <f t="shared" si="67"/>
        <v>Dec</v>
      </c>
      <c r="Z876">
        <f t="shared" si="68"/>
        <v>2025</v>
      </c>
      <c r="AA876">
        <f t="shared" si="69"/>
        <v>1</v>
      </c>
    </row>
    <row r="877" spans="1:27" ht="15" customHeight="1" x14ac:dyDescent="0.3">
      <c r="A877" t="s">
        <v>1506</v>
      </c>
      <c r="B877" s="20">
        <v>45956</v>
      </c>
      <c r="C877" t="s">
        <v>1507</v>
      </c>
      <c r="D877" t="s">
        <v>35</v>
      </c>
      <c r="E877" s="37">
        <v>34</v>
      </c>
      <c r="F877" t="s">
        <v>86</v>
      </c>
      <c r="G877" t="s">
        <v>87</v>
      </c>
      <c r="H877" t="s">
        <v>66</v>
      </c>
      <c r="I877" t="s">
        <v>82</v>
      </c>
      <c r="J877" t="s">
        <v>67</v>
      </c>
      <c r="K877" s="37">
        <v>4</v>
      </c>
      <c r="L877" t="s">
        <v>52</v>
      </c>
      <c r="M877" s="21">
        <v>66400</v>
      </c>
      <c r="N877" s="21">
        <v>940224</v>
      </c>
      <c r="O877" s="21">
        <v>143424</v>
      </c>
      <c r="P877" s="37">
        <v>4</v>
      </c>
      <c r="Q877" t="s">
        <v>42</v>
      </c>
      <c r="R877" s="37">
        <v>1</v>
      </c>
      <c r="S877" s="37">
        <v>30</v>
      </c>
      <c r="T877" t="s">
        <v>77</v>
      </c>
      <c r="U877" t="s">
        <v>44</v>
      </c>
      <c r="V877" t="s">
        <v>69</v>
      </c>
      <c r="W877" t="str">
        <f t="shared" si="65"/>
        <v>31-40</v>
      </c>
      <c r="X877" t="str">
        <f t="shared" si="66"/>
        <v>0-5 yrs</v>
      </c>
      <c r="Y877" t="str">
        <f t="shared" si="67"/>
        <v>Oct</v>
      </c>
      <c r="Z877">
        <f t="shared" si="68"/>
        <v>2025</v>
      </c>
      <c r="AA877">
        <f t="shared" si="69"/>
        <v>0</v>
      </c>
    </row>
    <row r="878" spans="1:27" ht="15" customHeight="1" x14ac:dyDescent="0.3">
      <c r="A878" t="s">
        <v>1508</v>
      </c>
      <c r="B878" s="20">
        <v>45873</v>
      </c>
      <c r="C878" t="s">
        <v>1509</v>
      </c>
      <c r="D878" t="s">
        <v>35</v>
      </c>
      <c r="E878" s="37">
        <v>41</v>
      </c>
      <c r="F878" t="s">
        <v>49</v>
      </c>
      <c r="G878" t="s">
        <v>50</v>
      </c>
      <c r="H878" t="s">
        <v>38</v>
      </c>
      <c r="I878" t="s">
        <v>39</v>
      </c>
      <c r="J878" t="s">
        <v>134</v>
      </c>
      <c r="K878" s="37">
        <v>6</v>
      </c>
      <c r="L878" t="s">
        <v>52</v>
      </c>
      <c r="M878" s="21">
        <v>33100</v>
      </c>
      <c r="N878" s="21">
        <v>472668</v>
      </c>
      <c r="O878" s="21">
        <v>75468</v>
      </c>
      <c r="P878" s="37">
        <v>4</v>
      </c>
      <c r="Q878" t="s">
        <v>42</v>
      </c>
      <c r="R878" s="37">
        <v>5</v>
      </c>
      <c r="S878" s="37">
        <v>27</v>
      </c>
      <c r="T878" t="s">
        <v>105</v>
      </c>
      <c r="U878" t="s">
        <v>44</v>
      </c>
      <c r="V878" t="s">
        <v>69</v>
      </c>
      <c r="W878" t="str">
        <f t="shared" si="65"/>
        <v>41-50</v>
      </c>
      <c r="X878" t="str">
        <f t="shared" si="66"/>
        <v>6-10 yrs</v>
      </c>
      <c r="Y878" t="str">
        <f t="shared" si="67"/>
        <v>Aug</v>
      </c>
      <c r="Z878">
        <f t="shared" si="68"/>
        <v>2025</v>
      </c>
      <c r="AA878">
        <f t="shared" si="69"/>
        <v>0</v>
      </c>
    </row>
    <row r="879" spans="1:27" ht="15" customHeight="1" x14ac:dyDescent="0.3">
      <c r="A879" t="s">
        <v>1510</v>
      </c>
      <c r="B879" s="20">
        <v>45675</v>
      </c>
      <c r="C879" t="s">
        <v>1216</v>
      </c>
      <c r="D879" t="s">
        <v>48</v>
      </c>
      <c r="E879" s="37">
        <v>57</v>
      </c>
      <c r="F879" t="s">
        <v>72</v>
      </c>
      <c r="G879" t="s">
        <v>73</v>
      </c>
      <c r="H879" t="s">
        <v>66</v>
      </c>
      <c r="I879" t="s">
        <v>39</v>
      </c>
      <c r="J879" t="s">
        <v>67</v>
      </c>
      <c r="K879" s="37">
        <v>12</v>
      </c>
      <c r="L879" t="s">
        <v>52</v>
      </c>
      <c r="M879" s="21">
        <v>48000</v>
      </c>
      <c r="N879" s="21">
        <v>633600</v>
      </c>
      <c r="O879" s="21">
        <v>57600</v>
      </c>
      <c r="P879" s="37">
        <v>3</v>
      </c>
      <c r="Q879" t="s">
        <v>126</v>
      </c>
      <c r="R879" s="37">
        <v>11</v>
      </c>
      <c r="S879" s="37">
        <v>3</v>
      </c>
      <c r="T879" t="s">
        <v>129</v>
      </c>
      <c r="U879" t="s">
        <v>44</v>
      </c>
      <c r="V879" t="s">
        <v>69</v>
      </c>
      <c r="W879" t="str">
        <f t="shared" si="65"/>
        <v>51-58</v>
      </c>
      <c r="X879" t="str">
        <f t="shared" si="66"/>
        <v>11-20 yrs</v>
      </c>
      <c r="Y879" t="str">
        <f t="shared" si="67"/>
        <v>Jan</v>
      </c>
      <c r="Z879">
        <f t="shared" si="68"/>
        <v>2025</v>
      </c>
      <c r="AA879">
        <f t="shared" si="69"/>
        <v>1</v>
      </c>
    </row>
    <row r="880" spans="1:27" ht="15" customHeight="1" x14ac:dyDescent="0.3">
      <c r="A880" t="s">
        <v>1511</v>
      </c>
      <c r="B880" s="20">
        <v>45734</v>
      </c>
      <c r="C880" t="s">
        <v>1512</v>
      </c>
      <c r="D880" t="s">
        <v>35</v>
      </c>
      <c r="E880" s="37">
        <v>55</v>
      </c>
      <c r="F880" t="s">
        <v>80</v>
      </c>
      <c r="G880" t="s">
        <v>81</v>
      </c>
      <c r="H880" t="s">
        <v>74</v>
      </c>
      <c r="I880" t="s">
        <v>75</v>
      </c>
      <c r="J880" t="s">
        <v>76</v>
      </c>
      <c r="K880" s="37">
        <v>12</v>
      </c>
      <c r="L880" t="s">
        <v>52</v>
      </c>
      <c r="M880" s="21">
        <v>88300</v>
      </c>
      <c r="N880" s="21">
        <v>1144368</v>
      </c>
      <c r="O880" s="21">
        <v>84768</v>
      </c>
      <c r="P880" s="37">
        <v>3</v>
      </c>
      <c r="Q880" t="s">
        <v>126</v>
      </c>
      <c r="R880" s="37">
        <v>12</v>
      </c>
      <c r="S880" s="37">
        <v>38</v>
      </c>
      <c r="T880" t="s">
        <v>146</v>
      </c>
      <c r="U880" t="s">
        <v>44</v>
      </c>
      <c r="V880" t="s">
        <v>69</v>
      </c>
      <c r="W880" t="str">
        <f t="shared" si="65"/>
        <v>51-58</v>
      </c>
      <c r="X880" t="str">
        <f t="shared" si="66"/>
        <v>11-20 yrs</v>
      </c>
      <c r="Y880" t="str">
        <f t="shared" si="67"/>
        <v>Mar</v>
      </c>
      <c r="Z880">
        <f t="shared" si="68"/>
        <v>2025</v>
      </c>
      <c r="AA880">
        <f t="shared" si="69"/>
        <v>1</v>
      </c>
    </row>
    <row r="881" spans="1:27" ht="15" customHeight="1" x14ac:dyDescent="0.3">
      <c r="A881" t="s">
        <v>1513</v>
      </c>
      <c r="B881" s="20">
        <v>45821</v>
      </c>
      <c r="C881" t="s">
        <v>875</v>
      </c>
      <c r="D881" t="s">
        <v>35</v>
      </c>
      <c r="E881" s="37">
        <v>25</v>
      </c>
      <c r="F881" t="s">
        <v>86</v>
      </c>
      <c r="G881" t="s">
        <v>87</v>
      </c>
      <c r="H881" t="s">
        <v>118</v>
      </c>
      <c r="I881" t="s">
        <v>60</v>
      </c>
      <c r="J881" t="s">
        <v>219</v>
      </c>
      <c r="K881" s="37">
        <v>14</v>
      </c>
      <c r="L881" t="s">
        <v>52</v>
      </c>
      <c r="M881" s="21">
        <v>114300</v>
      </c>
      <c r="N881" s="21">
        <v>1481328</v>
      </c>
      <c r="O881" s="21">
        <v>109728</v>
      </c>
      <c r="P881" s="37">
        <v>3</v>
      </c>
      <c r="Q881" t="s">
        <v>42</v>
      </c>
      <c r="R881" s="37">
        <v>0</v>
      </c>
      <c r="S881" s="37">
        <v>1</v>
      </c>
      <c r="T881" t="s">
        <v>43</v>
      </c>
      <c r="U881" t="s">
        <v>54</v>
      </c>
      <c r="V881" t="s">
        <v>69</v>
      </c>
      <c r="W881" t="str">
        <f t="shared" si="65"/>
        <v>22-30</v>
      </c>
      <c r="X881" t="str">
        <f t="shared" si="66"/>
        <v>11-20 yrs</v>
      </c>
      <c r="Y881" t="str">
        <f t="shared" si="67"/>
        <v>Jun</v>
      </c>
      <c r="Z881">
        <f t="shared" si="68"/>
        <v>2025</v>
      </c>
      <c r="AA881">
        <f t="shared" si="69"/>
        <v>0</v>
      </c>
    </row>
    <row r="882" spans="1:27" ht="15" customHeight="1" x14ac:dyDescent="0.3">
      <c r="A882" t="s">
        <v>1514</v>
      </c>
      <c r="B882" s="20">
        <v>45725</v>
      </c>
      <c r="C882" t="s">
        <v>1515</v>
      </c>
      <c r="D882" t="s">
        <v>35</v>
      </c>
      <c r="E882" s="37">
        <v>29</v>
      </c>
      <c r="F882" t="s">
        <v>97</v>
      </c>
      <c r="G882" t="s">
        <v>98</v>
      </c>
      <c r="H882" t="s">
        <v>66</v>
      </c>
      <c r="I882" t="s">
        <v>39</v>
      </c>
      <c r="J882" t="s">
        <v>161</v>
      </c>
      <c r="K882" s="37">
        <v>5</v>
      </c>
      <c r="L882" t="s">
        <v>52</v>
      </c>
      <c r="M882" s="21">
        <v>38000</v>
      </c>
      <c r="N882" s="21">
        <v>542640</v>
      </c>
      <c r="O882" s="21">
        <v>86640</v>
      </c>
      <c r="P882" s="37">
        <v>4</v>
      </c>
      <c r="Q882" t="s">
        <v>42</v>
      </c>
      <c r="R882" s="37">
        <v>6</v>
      </c>
      <c r="S882" s="37">
        <v>21</v>
      </c>
      <c r="T882" t="s">
        <v>146</v>
      </c>
      <c r="U882" t="s">
        <v>63</v>
      </c>
      <c r="V882" t="s">
        <v>45</v>
      </c>
      <c r="W882" t="str">
        <f t="shared" si="65"/>
        <v>22-30</v>
      </c>
      <c r="X882" t="str">
        <f t="shared" si="66"/>
        <v>0-5 yrs</v>
      </c>
      <c r="Y882" t="str">
        <f t="shared" si="67"/>
        <v>Mar</v>
      </c>
      <c r="Z882">
        <f t="shared" si="68"/>
        <v>2025</v>
      </c>
      <c r="AA882">
        <f t="shared" si="69"/>
        <v>0</v>
      </c>
    </row>
    <row r="883" spans="1:27" ht="15" customHeight="1" x14ac:dyDescent="0.3">
      <c r="A883" t="s">
        <v>1516</v>
      </c>
      <c r="B883" s="20">
        <v>45730</v>
      </c>
      <c r="C883" t="s">
        <v>608</v>
      </c>
      <c r="D883" t="s">
        <v>35</v>
      </c>
      <c r="E883" s="37">
        <v>53</v>
      </c>
      <c r="F883" t="s">
        <v>57</v>
      </c>
      <c r="G883" t="s">
        <v>58</v>
      </c>
      <c r="H883" t="s">
        <v>66</v>
      </c>
      <c r="I883" t="s">
        <v>75</v>
      </c>
      <c r="J883" t="s">
        <v>67</v>
      </c>
      <c r="K883" s="37">
        <v>6</v>
      </c>
      <c r="L883" t="s">
        <v>41</v>
      </c>
      <c r="M883" s="21">
        <v>83200</v>
      </c>
      <c r="N883" s="21">
        <v>1048320</v>
      </c>
      <c r="O883" s="21">
        <v>49920</v>
      </c>
      <c r="P883" s="37">
        <v>4</v>
      </c>
      <c r="Q883" t="s">
        <v>126</v>
      </c>
      <c r="R883" s="37">
        <v>20</v>
      </c>
      <c r="S883" s="37">
        <v>1</v>
      </c>
      <c r="T883" t="s">
        <v>43</v>
      </c>
      <c r="U883" t="s">
        <v>44</v>
      </c>
      <c r="V883" t="s">
        <v>45</v>
      </c>
      <c r="W883" t="str">
        <f t="shared" si="65"/>
        <v>51-58</v>
      </c>
      <c r="X883" t="str">
        <f t="shared" si="66"/>
        <v>6-10 yrs</v>
      </c>
      <c r="Y883" t="str">
        <f t="shared" si="67"/>
        <v>Mar</v>
      </c>
      <c r="Z883">
        <f t="shared" si="68"/>
        <v>2025</v>
      </c>
      <c r="AA883">
        <f t="shared" si="69"/>
        <v>1</v>
      </c>
    </row>
    <row r="884" spans="1:27" ht="15" customHeight="1" x14ac:dyDescent="0.3">
      <c r="A884" t="s">
        <v>1517</v>
      </c>
      <c r="B884" s="20">
        <v>45732</v>
      </c>
      <c r="C884" t="s">
        <v>1518</v>
      </c>
      <c r="D884" t="s">
        <v>48</v>
      </c>
      <c r="E884" s="37">
        <v>53</v>
      </c>
      <c r="F884" t="s">
        <v>91</v>
      </c>
      <c r="G884" t="s">
        <v>92</v>
      </c>
      <c r="H884" t="s">
        <v>118</v>
      </c>
      <c r="I884" t="s">
        <v>75</v>
      </c>
      <c r="J884" t="s">
        <v>219</v>
      </c>
      <c r="K884" s="37">
        <v>12</v>
      </c>
      <c r="L884" t="s">
        <v>120</v>
      </c>
      <c r="M884" s="21">
        <v>84400</v>
      </c>
      <c r="N884" s="21">
        <v>1164720</v>
      </c>
      <c r="O884" s="21">
        <v>151920</v>
      </c>
      <c r="P884" s="37">
        <v>2</v>
      </c>
      <c r="Q884" t="s">
        <v>42</v>
      </c>
      <c r="R884" s="37">
        <v>2</v>
      </c>
      <c r="S884" s="37">
        <v>17</v>
      </c>
      <c r="T884" t="s">
        <v>62</v>
      </c>
      <c r="U884" t="s">
        <v>63</v>
      </c>
      <c r="V884" t="s">
        <v>45</v>
      </c>
      <c r="W884" t="str">
        <f t="shared" si="65"/>
        <v>51-58</v>
      </c>
      <c r="X884" t="str">
        <f t="shared" si="66"/>
        <v>11-20 yrs</v>
      </c>
      <c r="Y884" t="str">
        <f t="shared" si="67"/>
        <v>Mar</v>
      </c>
      <c r="Z884">
        <f t="shared" si="68"/>
        <v>2025</v>
      </c>
      <c r="AA884">
        <f t="shared" si="69"/>
        <v>0</v>
      </c>
    </row>
    <row r="885" spans="1:27" ht="15" customHeight="1" x14ac:dyDescent="0.3">
      <c r="A885" t="s">
        <v>1519</v>
      </c>
      <c r="B885" s="20">
        <v>45980</v>
      </c>
      <c r="C885" t="s">
        <v>1455</v>
      </c>
      <c r="D885" t="s">
        <v>48</v>
      </c>
      <c r="E885" s="37">
        <v>45</v>
      </c>
      <c r="F885" t="s">
        <v>123</v>
      </c>
      <c r="G885" t="s">
        <v>124</v>
      </c>
      <c r="H885" t="s">
        <v>74</v>
      </c>
      <c r="I885" t="s">
        <v>82</v>
      </c>
      <c r="J885" t="s">
        <v>115</v>
      </c>
      <c r="K885" s="37">
        <v>6</v>
      </c>
      <c r="L885" t="s">
        <v>52</v>
      </c>
      <c r="M885" s="21">
        <v>57800</v>
      </c>
      <c r="N885" s="21">
        <v>728280</v>
      </c>
      <c r="O885" s="21">
        <v>34680</v>
      </c>
      <c r="P885" s="37">
        <v>3</v>
      </c>
      <c r="Q885" t="s">
        <v>42</v>
      </c>
      <c r="R885" s="37">
        <v>3</v>
      </c>
      <c r="S885" s="37">
        <v>13</v>
      </c>
      <c r="T885" t="s">
        <v>146</v>
      </c>
      <c r="U885" t="s">
        <v>44</v>
      </c>
      <c r="V885" t="s">
        <v>45</v>
      </c>
      <c r="W885" t="str">
        <f t="shared" si="65"/>
        <v>41-50</v>
      </c>
      <c r="X885" t="str">
        <f t="shared" si="66"/>
        <v>6-10 yrs</v>
      </c>
      <c r="Y885" t="str">
        <f t="shared" si="67"/>
        <v>Nov</v>
      </c>
      <c r="Z885">
        <f t="shared" si="68"/>
        <v>2025</v>
      </c>
      <c r="AA885">
        <f t="shared" si="69"/>
        <v>0</v>
      </c>
    </row>
    <row r="886" spans="1:27" ht="15" customHeight="1" x14ac:dyDescent="0.3">
      <c r="A886" t="s">
        <v>1520</v>
      </c>
      <c r="B886" s="20">
        <v>45940</v>
      </c>
      <c r="C886" t="s">
        <v>294</v>
      </c>
      <c r="D886" t="s">
        <v>35</v>
      </c>
      <c r="E886" s="37">
        <v>39</v>
      </c>
      <c r="F886" t="s">
        <v>49</v>
      </c>
      <c r="G886" t="s">
        <v>50</v>
      </c>
      <c r="H886" t="s">
        <v>66</v>
      </c>
      <c r="I886" t="s">
        <v>75</v>
      </c>
      <c r="J886" t="s">
        <v>161</v>
      </c>
      <c r="K886" s="37">
        <v>7</v>
      </c>
      <c r="L886" t="s">
        <v>41</v>
      </c>
      <c r="M886" s="21">
        <v>112800</v>
      </c>
      <c r="N886" s="21">
        <v>1488960</v>
      </c>
      <c r="O886" s="21">
        <v>135360</v>
      </c>
      <c r="P886" s="37">
        <v>5</v>
      </c>
      <c r="Q886" t="s">
        <v>42</v>
      </c>
      <c r="R886" s="37">
        <v>11</v>
      </c>
      <c r="S886" s="37">
        <v>27</v>
      </c>
      <c r="T886" t="s">
        <v>68</v>
      </c>
      <c r="U886" t="s">
        <v>44</v>
      </c>
      <c r="V886" t="s">
        <v>45</v>
      </c>
      <c r="W886" t="str">
        <f t="shared" si="65"/>
        <v>31-40</v>
      </c>
      <c r="X886" t="str">
        <f t="shared" si="66"/>
        <v>6-10 yrs</v>
      </c>
      <c r="Y886" t="str">
        <f t="shared" si="67"/>
        <v>Oct</v>
      </c>
      <c r="Z886">
        <f t="shared" si="68"/>
        <v>2025</v>
      </c>
      <c r="AA886">
        <f t="shared" si="69"/>
        <v>0</v>
      </c>
    </row>
    <row r="887" spans="1:27" ht="15" customHeight="1" x14ac:dyDescent="0.3">
      <c r="A887" t="s">
        <v>1521</v>
      </c>
      <c r="B887" s="20">
        <v>45957</v>
      </c>
      <c r="C887" t="s">
        <v>394</v>
      </c>
      <c r="D887" t="s">
        <v>35</v>
      </c>
      <c r="E887" s="37">
        <v>56</v>
      </c>
      <c r="F887" t="s">
        <v>86</v>
      </c>
      <c r="G887" t="s">
        <v>87</v>
      </c>
      <c r="H887" t="s">
        <v>38</v>
      </c>
      <c r="I887" t="s">
        <v>39</v>
      </c>
      <c r="J887" t="s">
        <v>40</v>
      </c>
      <c r="K887" s="37">
        <v>27</v>
      </c>
      <c r="L887" t="s">
        <v>52</v>
      </c>
      <c r="M887" s="21">
        <v>30900</v>
      </c>
      <c r="N887" s="21">
        <v>422712</v>
      </c>
      <c r="O887" s="21">
        <v>51912</v>
      </c>
      <c r="P887" s="37">
        <v>5</v>
      </c>
      <c r="Q887" t="s">
        <v>42</v>
      </c>
      <c r="R887" s="37">
        <v>5</v>
      </c>
      <c r="S887" s="37">
        <v>24</v>
      </c>
      <c r="T887" t="s">
        <v>146</v>
      </c>
      <c r="U887" t="s">
        <v>44</v>
      </c>
      <c r="V887" t="s">
        <v>45</v>
      </c>
      <c r="W887" t="str">
        <f t="shared" si="65"/>
        <v>51-58</v>
      </c>
      <c r="X887" t="str">
        <f t="shared" si="66"/>
        <v>21-30 yrs</v>
      </c>
      <c r="Y887" t="str">
        <f t="shared" si="67"/>
        <v>Oct</v>
      </c>
      <c r="Z887">
        <f t="shared" si="68"/>
        <v>2025</v>
      </c>
      <c r="AA887">
        <f t="shared" si="69"/>
        <v>0</v>
      </c>
    </row>
    <row r="888" spans="1:27" ht="15" customHeight="1" x14ac:dyDescent="0.3">
      <c r="A888" t="s">
        <v>1522</v>
      </c>
      <c r="B888" s="20">
        <v>45892</v>
      </c>
      <c r="C888" t="s">
        <v>1366</v>
      </c>
      <c r="D888" t="s">
        <v>35</v>
      </c>
      <c r="E888" s="37">
        <v>37</v>
      </c>
      <c r="F888" t="s">
        <v>36</v>
      </c>
      <c r="G888" t="s">
        <v>37</v>
      </c>
      <c r="H888" t="s">
        <v>38</v>
      </c>
      <c r="I888" t="s">
        <v>82</v>
      </c>
      <c r="J888" t="s">
        <v>190</v>
      </c>
      <c r="K888" s="37">
        <v>17</v>
      </c>
      <c r="L888" t="s">
        <v>120</v>
      </c>
      <c r="M888" s="21">
        <v>52900</v>
      </c>
      <c r="N888" s="21">
        <v>723672</v>
      </c>
      <c r="O888" s="21">
        <v>88872</v>
      </c>
      <c r="P888" s="37">
        <v>4</v>
      </c>
      <c r="Q888" t="s">
        <v>42</v>
      </c>
      <c r="R888" s="37">
        <v>18</v>
      </c>
      <c r="S888" s="37">
        <v>26</v>
      </c>
      <c r="T888" t="s">
        <v>53</v>
      </c>
      <c r="U888" t="s">
        <v>63</v>
      </c>
      <c r="V888" t="s">
        <v>45</v>
      </c>
      <c r="W888" t="str">
        <f t="shared" si="65"/>
        <v>31-40</v>
      </c>
      <c r="X888" t="str">
        <f t="shared" si="66"/>
        <v>11-20 yrs</v>
      </c>
      <c r="Y888" t="str">
        <f t="shared" si="67"/>
        <v>Aug</v>
      </c>
      <c r="Z888">
        <f t="shared" si="68"/>
        <v>2025</v>
      </c>
      <c r="AA888">
        <f t="shared" si="69"/>
        <v>0</v>
      </c>
    </row>
    <row r="889" spans="1:27" ht="15" customHeight="1" x14ac:dyDescent="0.3">
      <c r="A889" t="s">
        <v>1523</v>
      </c>
      <c r="B889" s="20">
        <v>45917</v>
      </c>
      <c r="C889" t="s">
        <v>606</v>
      </c>
      <c r="D889" t="s">
        <v>35</v>
      </c>
      <c r="E889" s="37">
        <v>53</v>
      </c>
      <c r="F889" t="s">
        <v>49</v>
      </c>
      <c r="G889" t="s">
        <v>50</v>
      </c>
      <c r="H889" t="s">
        <v>38</v>
      </c>
      <c r="I889" t="s">
        <v>39</v>
      </c>
      <c r="J889" t="s">
        <v>110</v>
      </c>
      <c r="K889" s="37">
        <v>9</v>
      </c>
      <c r="L889" t="s">
        <v>52</v>
      </c>
      <c r="M889" s="21">
        <v>34400</v>
      </c>
      <c r="N889" s="21">
        <v>495360</v>
      </c>
      <c r="O889" s="21">
        <v>82560</v>
      </c>
      <c r="P889" s="37">
        <v>4</v>
      </c>
      <c r="Q889" t="s">
        <v>42</v>
      </c>
      <c r="R889" s="37">
        <v>19</v>
      </c>
      <c r="S889" s="37">
        <v>16</v>
      </c>
      <c r="T889" t="s">
        <v>94</v>
      </c>
      <c r="U889" t="s">
        <v>44</v>
      </c>
      <c r="V889" t="s">
        <v>45</v>
      </c>
      <c r="W889" t="str">
        <f t="shared" si="65"/>
        <v>51-58</v>
      </c>
      <c r="X889" t="str">
        <f t="shared" si="66"/>
        <v>6-10 yrs</v>
      </c>
      <c r="Y889" t="str">
        <f t="shared" si="67"/>
        <v>Sep</v>
      </c>
      <c r="Z889">
        <f t="shared" si="68"/>
        <v>2025</v>
      </c>
      <c r="AA889">
        <f t="shared" si="69"/>
        <v>0</v>
      </c>
    </row>
    <row r="890" spans="1:27" ht="15" customHeight="1" x14ac:dyDescent="0.3">
      <c r="A890" t="s">
        <v>1524</v>
      </c>
      <c r="B890" s="20">
        <v>45671</v>
      </c>
      <c r="C890" t="s">
        <v>800</v>
      </c>
      <c r="D890" t="s">
        <v>35</v>
      </c>
      <c r="E890" s="37">
        <v>25</v>
      </c>
      <c r="F890" t="s">
        <v>72</v>
      </c>
      <c r="G890" t="s">
        <v>73</v>
      </c>
      <c r="H890" t="s">
        <v>118</v>
      </c>
      <c r="I890" t="s">
        <v>82</v>
      </c>
      <c r="J890" t="s">
        <v>219</v>
      </c>
      <c r="K890" s="37">
        <v>25</v>
      </c>
      <c r="L890" t="s">
        <v>52</v>
      </c>
      <c r="M890" s="21">
        <v>60000</v>
      </c>
      <c r="N890" s="21">
        <v>856800</v>
      </c>
      <c r="O890" s="21">
        <v>136800</v>
      </c>
      <c r="P890" s="37">
        <v>5</v>
      </c>
      <c r="Q890" t="s">
        <v>126</v>
      </c>
      <c r="R890" s="37">
        <v>13</v>
      </c>
      <c r="S890" s="37">
        <v>26</v>
      </c>
      <c r="T890" t="s">
        <v>129</v>
      </c>
      <c r="U890" t="s">
        <v>44</v>
      </c>
      <c r="V890" t="s">
        <v>69</v>
      </c>
      <c r="W890" t="str">
        <f t="shared" si="65"/>
        <v>22-30</v>
      </c>
      <c r="X890" t="str">
        <f t="shared" si="66"/>
        <v>21-30 yrs</v>
      </c>
      <c r="Y890" t="str">
        <f t="shared" si="67"/>
        <v>Jan</v>
      </c>
      <c r="Z890">
        <f t="shared" si="68"/>
        <v>2025</v>
      </c>
      <c r="AA890">
        <f t="shared" si="69"/>
        <v>1</v>
      </c>
    </row>
    <row r="891" spans="1:27" ht="15" customHeight="1" x14ac:dyDescent="0.3">
      <c r="A891" t="s">
        <v>1525</v>
      </c>
      <c r="B891" s="20">
        <v>45980</v>
      </c>
      <c r="C891" t="s">
        <v>1417</v>
      </c>
      <c r="D891" t="s">
        <v>48</v>
      </c>
      <c r="E891" s="37">
        <v>42</v>
      </c>
      <c r="F891" t="s">
        <v>80</v>
      </c>
      <c r="G891" t="s">
        <v>81</v>
      </c>
      <c r="H891" t="s">
        <v>118</v>
      </c>
      <c r="I891" t="s">
        <v>82</v>
      </c>
      <c r="J891" t="s">
        <v>119</v>
      </c>
      <c r="K891" s="37">
        <v>29</v>
      </c>
      <c r="L891" t="s">
        <v>52</v>
      </c>
      <c r="M891" s="21">
        <v>51800</v>
      </c>
      <c r="N891" s="21">
        <v>733488</v>
      </c>
      <c r="O891" s="21">
        <v>111888</v>
      </c>
      <c r="P891" s="37">
        <v>5</v>
      </c>
      <c r="Q891" t="s">
        <v>42</v>
      </c>
      <c r="R891" s="37">
        <v>17</v>
      </c>
      <c r="S891" s="37">
        <v>36</v>
      </c>
      <c r="T891" t="s">
        <v>62</v>
      </c>
      <c r="U891" t="s">
        <v>63</v>
      </c>
      <c r="V891" t="s">
        <v>69</v>
      </c>
      <c r="W891" t="str">
        <f t="shared" si="65"/>
        <v>41-50</v>
      </c>
      <c r="X891" t="str">
        <f t="shared" si="66"/>
        <v>21-30 yrs</v>
      </c>
      <c r="Y891" t="str">
        <f t="shared" si="67"/>
        <v>Nov</v>
      </c>
      <c r="Z891">
        <f t="shared" si="68"/>
        <v>2025</v>
      </c>
      <c r="AA891">
        <f t="shared" si="69"/>
        <v>0</v>
      </c>
    </row>
    <row r="892" spans="1:27" ht="15" customHeight="1" x14ac:dyDescent="0.3">
      <c r="A892" t="s">
        <v>1526</v>
      </c>
      <c r="B892" s="20">
        <v>45906</v>
      </c>
      <c r="C892" t="s">
        <v>573</v>
      </c>
      <c r="D892" t="s">
        <v>35</v>
      </c>
      <c r="E892" s="37">
        <v>46</v>
      </c>
      <c r="F892" t="s">
        <v>123</v>
      </c>
      <c r="G892" t="s">
        <v>124</v>
      </c>
      <c r="H892" t="s">
        <v>59</v>
      </c>
      <c r="I892" t="s">
        <v>75</v>
      </c>
      <c r="J892" t="s">
        <v>141</v>
      </c>
      <c r="K892" s="37">
        <v>9</v>
      </c>
      <c r="L892" t="s">
        <v>41</v>
      </c>
      <c r="M892" s="21">
        <v>86300</v>
      </c>
      <c r="N892" s="21">
        <v>1118448</v>
      </c>
      <c r="O892" s="21">
        <v>82848</v>
      </c>
      <c r="P892" s="37">
        <v>3</v>
      </c>
      <c r="Q892" t="s">
        <v>42</v>
      </c>
      <c r="R892" s="37">
        <v>20</v>
      </c>
      <c r="S892" s="37">
        <v>20</v>
      </c>
      <c r="T892" t="s">
        <v>77</v>
      </c>
      <c r="U892" t="s">
        <v>54</v>
      </c>
      <c r="V892" t="s">
        <v>45</v>
      </c>
      <c r="W892" t="str">
        <f t="shared" si="65"/>
        <v>41-50</v>
      </c>
      <c r="X892" t="str">
        <f t="shared" si="66"/>
        <v>6-10 yrs</v>
      </c>
      <c r="Y892" t="str">
        <f t="shared" si="67"/>
        <v>Sep</v>
      </c>
      <c r="Z892">
        <f t="shared" si="68"/>
        <v>2025</v>
      </c>
      <c r="AA892">
        <f t="shared" si="69"/>
        <v>0</v>
      </c>
    </row>
    <row r="893" spans="1:27" ht="15" customHeight="1" x14ac:dyDescent="0.3">
      <c r="A893" t="s">
        <v>1527</v>
      </c>
      <c r="B893" s="20">
        <v>45804</v>
      </c>
      <c r="C893" t="s">
        <v>1349</v>
      </c>
      <c r="D893" t="s">
        <v>48</v>
      </c>
      <c r="E893" s="37">
        <v>38</v>
      </c>
      <c r="F893" t="s">
        <v>91</v>
      </c>
      <c r="G893" t="s">
        <v>92</v>
      </c>
      <c r="H893" t="s">
        <v>38</v>
      </c>
      <c r="I893" t="s">
        <v>82</v>
      </c>
      <c r="J893" t="s">
        <v>134</v>
      </c>
      <c r="K893" s="37">
        <v>11</v>
      </c>
      <c r="L893" t="s">
        <v>52</v>
      </c>
      <c r="M893" s="21">
        <v>66100</v>
      </c>
      <c r="N893" s="21">
        <v>912179</v>
      </c>
      <c r="O893" s="21">
        <v>118980</v>
      </c>
      <c r="P893" s="37">
        <v>3</v>
      </c>
      <c r="Q893" t="s">
        <v>126</v>
      </c>
      <c r="R893" s="37">
        <v>9</v>
      </c>
      <c r="S893" s="37">
        <v>40</v>
      </c>
      <c r="T893" t="s">
        <v>129</v>
      </c>
      <c r="U893" t="s">
        <v>63</v>
      </c>
      <c r="V893" t="s">
        <v>69</v>
      </c>
      <c r="W893" t="str">
        <f t="shared" si="65"/>
        <v>31-40</v>
      </c>
      <c r="X893" t="str">
        <f t="shared" si="66"/>
        <v>11-20 yrs</v>
      </c>
      <c r="Y893" t="str">
        <f t="shared" si="67"/>
        <v>May</v>
      </c>
      <c r="Z893">
        <f t="shared" si="68"/>
        <v>2025</v>
      </c>
      <c r="AA893">
        <f t="shared" si="69"/>
        <v>1</v>
      </c>
    </row>
    <row r="894" spans="1:27" ht="15" customHeight="1" x14ac:dyDescent="0.3">
      <c r="A894" t="s">
        <v>1528</v>
      </c>
      <c r="B894" s="20">
        <v>46016</v>
      </c>
      <c r="C894" t="s">
        <v>1529</v>
      </c>
      <c r="D894" t="s">
        <v>48</v>
      </c>
      <c r="E894" s="37">
        <v>54</v>
      </c>
      <c r="F894" t="s">
        <v>36</v>
      </c>
      <c r="G894" t="s">
        <v>37</v>
      </c>
      <c r="H894" t="s">
        <v>66</v>
      </c>
      <c r="I894" t="s">
        <v>39</v>
      </c>
      <c r="J894" t="s">
        <v>170</v>
      </c>
      <c r="K894" s="37">
        <v>10</v>
      </c>
      <c r="L894" t="s">
        <v>52</v>
      </c>
      <c r="M894" s="21">
        <v>46600</v>
      </c>
      <c r="N894" s="21">
        <v>603936</v>
      </c>
      <c r="O894" s="21">
        <v>44736</v>
      </c>
      <c r="P894" s="37">
        <v>5</v>
      </c>
      <c r="Q894" t="s">
        <v>42</v>
      </c>
      <c r="R894" s="37">
        <v>7</v>
      </c>
      <c r="S894" s="37">
        <v>34</v>
      </c>
      <c r="T894" t="s">
        <v>53</v>
      </c>
      <c r="U894" t="s">
        <v>44</v>
      </c>
      <c r="V894" t="s">
        <v>45</v>
      </c>
      <c r="W894" t="str">
        <f t="shared" si="65"/>
        <v>51-58</v>
      </c>
      <c r="X894" t="str">
        <f t="shared" si="66"/>
        <v>6-10 yrs</v>
      </c>
      <c r="Y894" t="str">
        <f t="shared" si="67"/>
        <v>Dec</v>
      </c>
      <c r="Z894">
        <f t="shared" si="68"/>
        <v>2025</v>
      </c>
      <c r="AA894">
        <f t="shared" si="69"/>
        <v>0</v>
      </c>
    </row>
    <row r="895" spans="1:27" ht="15" customHeight="1" x14ac:dyDescent="0.3">
      <c r="A895" t="s">
        <v>1530</v>
      </c>
      <c r="B895" s="20">
        <v>45718</v>
      </c>
      <c r="C895" t="s">
        <v>1081</v>
      </c>
      <c r="D895" t="s">
        <v>35</v>
      </c>
      <c r="E895" s="37">
        <v>31</v>
      </c>
      <c r="F895" t="s">
        <v>57</v>
      </c>
      <c r="G895" t="s">
        <v>58</v>
      </c>
      <c r="H895" t="s">
        <v>38</v>
      </c>
      <c r="I895" t="s">
        <v>75</v>
      </c>
      <c r="J895" t="s">
        <v>99</v>
      </c>
      <c r="K895" s="37">
        <v>22</v>
      </c>
      <c r="L895" t="s">
        <v>52</v>
      </c>
      <c r="M895" s="21">
        <v>93200</v>
      </c>
      <c r="N895" s="21">
        <v>1274976</v>
      </c>
      <c r="O895" s="21">
        <v>156576</v>
      </c>
      <c r="P895" s="37">
        <v>3</v>
      </c>
      <c r="Q895" t="s">
        <v>42</v>
      </c>
      <c r="R895" s="37">
        <v>12</v>
      </c>
      <c r="S895" s="37">
        <v>16</v>
      </c>
      <c r="T895" t="s">
        <v>62</v>
      </c>
      <c r="U895" t="s">
        <v>44</v>
      </c>
      <c r="V895" t="s">
        <v>69</v>
      </c>
      <c r="W895" t="str">
        <f t="shared" si="65"/>
        <v>31-40</v>
      </c>
      <c r="X895" t="str">
        <f t="shared" si="66"/>
        <v>21-30 yrs</v>
      </c>
      <c r="Y895" t="str">
        <f t="shared" si="67"/>
        <v>Mar</v>
      </c>
      <c r="Z895">
        <f t="shared" si="68"/>
        <v>2025</v>
      </c>
      <c r="AA895">
        <f t="shared" si="69"/>
        <v>0</v>
      </c>
    </row>
    <row r="896" spans="1:27" ht="15" customHeight="1" x14ac:dyDescent="0.3">
      <c r="A896" t="s">
        <v>1531</v>
      </c>
      <c r="B896" s="20">
        <v>45676</v>
      </c>
      <c r="C896" t="s">
        <v>1532</v>
      </c>
      <c r="D896" t="s">
        <v>48</v>
      </c>
      <c r="E896" s="37">
        <v>41</v>
      </c>
      <c r="F896" t="s">
        <v>97</v>
      </c>
      <c r="G896" t="s">
        <v>98</v>
      </c>
      <c r="H896" t="s">
        <v>66</v>
      </c>
      <c r="I896" t="s">
        <v>39</v>
      </c>
      <c r="J896" t="s">
        <v>93</v>
      </c>
      <c r="K896" s="37">
        <v>3</v>
      </c>
      <c r="L896" t="s">
        <v>52</v>
      </c>
      <c r="M896" s="21">
        <v>46000</v>
      </c>
      <c r="N896" s="21">
        <v>623759</v>
      </c>
      <c r="O896" s="21">
        <v>71760</v>
      </c>
      <c r="P896" s="37">
        <v>4</v>
      </c>
      <c r="Q896" t="s">
        <v>42</v>
      </c>
      <c r="R896" s="37">
        <v>4</v>
      </c>
      <c r="S896" s="37">
        <v>36</v>
      </c>
      <c r="T896" t="s">
        <v>77</v>
      </c>
      <c r="U896" t="s">
        <v>54</v>
      </c>
      <c r="V896" t="s">
        <v>69</v>
      </c>
      <c r="W896" t="str">
        <f t="shared" si="65"/>
        <v>41-50</v>
      </c>
      <c r="X896" t="str">
        <f t="shared" si="66"/>
        <v>0-5 yrs</v>
      </c>
      <c r="Y896" t="str">
        <f t="shared" si="67"/>
        <v>Jan</v>
      </c>
      <c r="Z896">
        <f t="shared" si="68"/>
        <v>2025</v>
      </c>
      <c r="AA896">
        <f t="shared" si="69"/>
        <v>0</v>
      </c>
    </row>
    <row r="897" spans="1:27" ht="15" customHeight="1" x14ac:dyDescent="0.3">
      <c r="A897" t="s">
        <v>1533</v>
      </c>
      <c r="B897" s="20">
        <v>45737</v>
      </c>
      <c r="C897" t="s">
        <v>1534</v>
      </c>
      <c r="D897" t="s">
        <v>48</v>
      </c>
      <c r="E897" s="37">
        <v>26</v>
      </c>
      <c r="F897" t="s">
        <v>86</v>
      </c>
      <c r="G897" t="s">
        <v>87</v>
      </c>
      <c r="H897" t="s">
        <v>38</v>
      </c>
      <c r="I897" t="s">
        <v>51</v>
      </c>
      <c r="J897" t="s">
        <v>99</v>
      </c>
      <c r="K897" s="37">
        <v>4</v>
      </c>
      <c r="L897" t="s">
        <v>52</v>
      </c>
      <c r="M897" s="21">
        <v>180200</v>
      </c>
      <c r="N897" s="21">
        <v>2508384</v>
      </c>
      <c r="O897" s="21">
        <v>345984</v>
      </c>
      <c r="P897" s="37">
        <v>3</v>
      </c>
      <c r="Q897" t="s">
        <v>42</v>
      </c>
      <c r="R897" s="37">
        <v>19</v>
      </c>
      <c r="S897" s="37">
        <v>30</v>
      </c>
      <c r="T897" t="s">
        <v>68</v>
      </c>
      <c r="U897" t="s">
        <v>63</v>
      </c>
      <c r="V897" t="s">
        <v>69</v>
      </c>
      <c r="W897" t="str">
        <f t="shared" si="65"/>
        <v>22-30</v>
      </c>
      <c r="X897" t="str">
        <f t="shared" si="66"/>
        <v>0-5 yrs</v>
      </c>
      <c r="Y897" t="str">
        <f t="shared" si="67"/>
        <v>Mar</v>
      </c>
      <c r="Z897">
        <f t="shared" si="68"/>
        <v>2025</v>
      </c>
      <c r="AA897">
        <f t="shared" si="69"/>
        <v>0</v>
      </c>
    </row>
    <row r="898" spans="1:27" ht="15" customHeight="1" x14ac:dyDescent="0.3">
      <c r="A898" t="s">
        <v>1535</v>
      </c>
      <c r="B898" s="20">
        <v>45874</v>
      </c>
      <c r="C898" t="s">
        <v>1536</v>
      </c>
      <c r="D898" t="s">
        <v>35</v>
      </c>
      <c r="E898" s="37">
        <v>55</v>
      </c>
      <c r="F898" t="s">
        <v>72</v>
      </c>
      <c r="G898" t="s">
        <v>73</v>
      </c>
      <c r="H898" t="s">
        <v>66</v>
      </c>
      <c r="I898" t="s">
        <v>60</v>
      </c>
      <c r="J898" t="s">
        <v>93</v>
      </c>
      <c r="K898" s="37">
        <v>25</v>
      </c>
      <c r="L898" t="s">
        <v>52</v>
      </c>
      <c r="M898" s="21">
        <v>158800</v>
      </c>
      <c r="N898" s="21">
        <v>2058048</v>
      </c>
      <c r="O898" s="21">
        <v>152448</v>
      </c>
      <c r="P898" s="37">
        <v>4</v>
      </c>
      <c r="Q898" t="s">
        <v>42</v>
      </c>
      <c r="R898" s="37">
        <v>11</v>
      </c>
      <c r="S898" s="37">
        <v>34</v>
      </c>
      <c r="T898" t="s">
        <v>146</v>
      </c>
      <c r="U898" t="s">
        <v>63</v>
      </c>
      <c r="V898" t="s">
        <v>45</v>
      </c>
      <c r="W898" t="str">
        <f t="shared" ref="W898:W961" si="70">IF(E898&lt;=30,"22-30",IF(E898&lt;=40,"31-40",IF(E898&lt;=50,"41-50","51-58")))</f>
        <v>51-58</v>
      </c>
      <c r="X898" t="str">
        <f t="shared" ref="X898:X961" si="71">IF(K898&lt;=5,"0-5 yrs",IF(K898&lt;=10,"6-10 yrs",IF(K898&lt;=20,"11-20 yrs","21-30 yrs")))</f>
        <v>21-30 yrs</v>
      </c>
      <c r="Y898" t="str">
        <f t="shared" ref="Y898:Y961" si="72">TEXT(B898,"mmm")</f>
        <v>Aug</v>
      </c>
      <c r="Z898">
        <f t="shared" ref="Z898:Z961" si="73">YEAR(B898)</f>
        <v>2025</v>
      </c>
      <c r="AA898">
        <f t="shared" ref="AA898:AA961" si="74">IF(Q898="Yes",1,0)</f>
        <v>0</v>
      </c>
    </row>
    <row r="899" spans="1:27" ht="15" customHeight="1" x14ac:dyDescent="0.3">
      <c r="A899" t="s">
        <v>1537</v>
      </c>
      <c r="B899" s="20">
        <v>45754</v>
      </c>
      <c r="C899" t="s">
        <v>1538</v>
      </c>
      <c r="D899" t="s">
        <v>48</v>
      </c>
      <c r="E899" s="37">
        <v>57</v>
      </c>
      <c r="F899" t="s">
        <v>91</v>
      </c>
      <c r="G899" t="s">
        <v>92</v>
      </c>
      <c r="H899" t="s">
        <v>38</v>
      </c>
      <c r="I899" t="s">
        <v>75</v>
      </c>
      <c r="J899" t="s">
        <v>190</v>
      </c>
      <c r="K899" s="37">
        <v>27</v>
      </c>
      <c r="L899" t="s">
        <v>52</v>
      </c>
      <c r="M899" s="21">
        <v>102900</v>
      </c>
      <c r="N899" s="21">
        <v>1308888</v>
      </c>
      <c r="O899" s="21">
        <v>74088</v>
      </c>
      <c r="P899" s="37">
        <v>3</v>
      </c>
      <c r="Q899" t="s">
        <v>42</v>
      </c>
      <c r="R899" s="37">
        <v>8</v>
      </c>
      <c r="S899" s="37">
        <v>33</v>
      </c>
      <c r="T899" t="s">
        <v>94</v>
      </c>
      <c r="U899" t="s">
        <v>44</v>
      </c>
      <c r="V899" t="s">
        <v>45</v>
      </c>
      <c r="W899" t="str">
        <f t="shared" si="70"/>
        <v>51-58</v>
      </c>
      <c r="X899" t="str">
        <f t="shared" si="71"/>
        <v>21-30 yrs</v>
      </c>
      <c r="Y899" t="str">
        <f t="shared" si="72"/>
        <v>Apr</v>
      </c>
      <c r="Z899">
        <f t="shared" si="73"/>
        <v>2025</v>
      </c>
      <c r="AA899">
        <f t="shared" si="74"/>
        <v>0</v>
      </c>
    </row>
    <row r="900" spans="1:27" ht="15" customHeight="1" x14ac:dyDescent="0.3">
      <c r="A900" t="s">
        <v>1539</v>
      </c>
      <c r="B900" s="20">
        <v>45720</v>
      </c>
      <c r="C900" t="s">
        <v>1104</v>
      </c>
      <c r="D900" t="s">
        <v>35</v>
      </c>
      <c r="E900" s="37">
        <v>44</v>
      </c>
      <c r="F900" t="s">
        <v>97</v>
      </c>
      <c r="G900" t="s">
        <v>98</v>
      </c>
      <c r="H900" t="s">
        <v>38</v>
      </c>
      <c r="I900" t="s">
        <v>75</v>
      </c>
      <c r="J900" t="s">
        <v>134</v>
      </c>
      <c r="K900" s="37">
        <v>4</v>
      </c>
      <c r="L900" t="s">
        <v>52</v>
      </c>
      <c r="M900" s="21">
        <v>101500</v>
      </c>
      <c r="N900" s="21">
        <v>1437240</v>
      </c>
      <c r="O900" s="21">
        <v>219240</v>
      </c>
      <c r="P900" s="37">
        <v>3</v>
      </c>
      <c r="Q900" t="s">
        <v>42</v>
      </c>
      <c r="R900" s="37">
        <v>20</v>
      </c>
      <c r="S900" s="37">
        <v>23</v>
      </c>
      <c r="T900" t="s">
        <v>146</v>
      </c>
      <c r="U900" t="s">
        <v>44</v>
      </c>
      <c r="V900" t="s">
        <v>45</v>
      </c>
      <c r="W900" t="str">
        <f t="shared" si="70"/>
        <v>41-50</v>
      </c>
      <c r="X900" t="str">
        <f t="shared" si="71"/>
        <v>0-5 yrs</v>
      </c>
      <c r="Y900" t="str">
        <f t="shared" si="72"/>
        <v>Mar</v>
      </c>
      <c r="Z900">
        <f t="shared" si="73"/>
        <v>2025</v>
      </c>
      <c r="AA900">
        <f t="shared" si="74"/>
        <v>0</v>
      </c>
    </row>
    <row r="901" spans="1:27" ht="15" customHeight="1" x14ac:dyDescent="0.3">
      <c r="A901" t="s">
        <v>1540</v>
      </c>
      <c r="B901" s="20">
        <v>45704</v>
      </c>
      <c r="C901" t="s">
        <v>1541</v>
      </c>
      <c r="D901" t="s">
        <v>48</v>
      </c>
      <c r="E901" s="37">
        <v>30</v>
      </c>
      <c r="F901" t="s">
        <v>72</v>
      </c>
      <c r="G901" t="s">
        <v>73</v>
      </c>
      <c r="H901" t="s">
        <v>118</v>
      </c>
      <c r="I901" t="s">
        <v>39</v>
      </c>
      <c r="J901" t="s">
        <v>182</v>
      </c>
      <c r="K901" s="37">
        <v>3</v>
      </c>
      <c r="L901" t="s">
        <v>41</v>
      </c>
      <c r="M901" s="21">
        <v>37600</v>
      </c>
      <c r="N901" s="21">
        <v>473760</v>
      </c>
      <c r="O901" s="21">
        <v>22560</v>
      </c>
      <c r="P901" s="37">
        <v>3</v>
      </c>
      <c r="Q901" t="s">
        <v>42</v>
      </c>
      <c r="R901" s="37">
        <v>3</v>
      </c>
      <c r="S901" s="37">
        <v>4</v>
      </c>
      <c r="T901" t="s">
        <v>175</v>
      </c>
      <c r="U901" t="s">
        <v>63</v>
      </c>
      <c r="V901" t="s">
        <v>69</v>
      </c>
      <c r="W901" t="str">
        <f t="shared" si="70"/>
        <v>22-30</v>
      </c>
      <c r="X901" t="str">
        <f t="shared" si="71"/>
        <v>0-5 yrs</v>
      </c>
      <c r="Y901" t="str">
        <f t="shared" si="72"/>
        <v>Feb</v>
      </c>
      <c r="Z901">
        <f t="shared" si="73"/>
        <v>2025</v>
      </c>
      <c r="AA901">
        <f t="shared" si="74"/>
        <v>0</v>
      </c>
    </row>
    <row r="902" spans="1:27" ht="15" customHeight="1" x14ac:dyDescent="0.3">
      <c r="A902" t="s">
        <v>1542</v>
      </c>
      <c r="B902" s="20">
        <v>45937</v>
      </c>
      <c r="C902" t="s">
        <v>1543</v>
      </c>
      <c r="D902" t="s">
        <v>48</v>
      </c>
      <c r="E902" s="37">
        <v>36</v>
      </c>
      <c r="F902" t="s">
        <v>72</v>
      </c>
      <c r="G902" t="s">
        <v>73</v>
      </c>
      <c r="H902" t="s">
        <v>74</v>
      </c>
      <c r="I902" t="s">
        <v>82</v>
      </c>
      <c r="J902" t="s">
        <v>152</v>
      </c>
      <c r="K902" s="37">
        <v>6</v>
      </c>
      <c r="L902" t="s">
        <v>52</v>
      </c>
      <c r="M902" s="21">
        <v>50800</v>
      </c>
      <c r="N902" s="21">
        <v>688847</v>
      </c>
      <c r="O902" s="21">
        <v>79248</v>
      </c>
      <c r="P902" s="37">
        <v>2</v>
      </c>
      <c r="Q902" t="s">
        <v>126</v>
      </c>
      <c r="R902" s="37">
        <v>2</v>
      </c>
      <c r="S902" s="37">
        <v>16</v>
      </c>
      <c r="T902" t="s">
        <v>77</v>
      </c>
      <c r="U902" t="s">
        <v>44</v>
      </c>
      <c r="V902" t="s">
        <v>45</v>
      </c>
      <c r="W902" t="str">
        <f t="shared" si="70"/>
        <v>31-40</v>
      </c>
      <c r="X902" t="str">
        <f t="shared" si="71"/>
        <v>6-10 yrs</v>
      </c>
      <c r="Y902" t="str">
        <f t="shared" si="72"/>
        <v>Oct</v>
      </c>
      <c r="Z902">
        <f t="shared" si="73"/>
        <v>2025</v>
      </c>
      <c r="AA902">
        <f t="shared" si="74"/>
        <v>1</v>
      </c>
    </row>
    <row r="903" spans="1:27" ht="15" customHeight="1" x14ac:dyDescent="0.3">
      <c r="A903" t="s">
        <v>1544</v>
      </c>
      <c r="B903" s="20">
        <v>45668</v>
      </c>
      <c r="C903" t="s">
        <v>1545</v>
      </c>
      <c r="D903" t="s">
        <v>35</v>
      </c>
      <c r="E903" s="37">
        <v>51</v>
      </c>
      <c r="F903" t="s">
        <v>108</v>
      </c>
      <c r="G903" t="s">
        <v>109</v>
      </c>
      <c r="H903" t="s">
        <v>66</v>
      </c>
      <c r="I903" t="s">
        <v>39</v>
      </c>
      <c r="J903" t="s">
        <v>93</v>
      </c>
      <c r="K903" s="37">
        <v>20</v>
      </c>
      <c r="L903" t="s">
        <v>52</v>
      </c>
      <c r="M903" s="21">
        <v>38300</v>
      </c>
      <c r="N903" s="21">
        <v>510156</v>
      </c>
      <c r="O903" s="21">
        <v>50556</v>
      </c>
      <c r="P903" s="37">
        <v>2</v>
      </c>
      <c r="Q903" t="s">
        <v>42</v>
      </c>
      <c r="R903" s="37">
        <v>7</v>
      </c>
      <c r="S903" s="37">
        <v>25</v>
      </c>
      <c r="T903" t="s">
        <v>68</v>
      </c>
      <c r="U903" t="s">
        <v>44</v>
      </c>
      <c r="V903" t="s">
        <v>69</v>
      </c>
      <c r="W903" t="str">
        <f t="shared" si="70"/>
        <v>51-58</v>
      </c>
      <c r="X903" t="str">
        <f t="shared" si="71"/>
        <v>11-20 yrs</v>
      </c>
      <c r="Y903" t="str">
        <f t="shared" si="72"/>
        <v>Jan</v>
      </c>
      <c r="Z903">
        <f t="shared" si="73"/>
        <v>2025</v>
      </c>
      <c r="AA903">
        <f t="shared" si="74"/>
        <v>0</v>
      </c>
    </row>
    <row r="904" spans="1:27" ht="15" customHeight="1" x14ac:dyDescent="0.3">
      <c r="A904" t="s">
        <v>1546</v>
      </c>
      <c r="B904" s="20">
        <v>45783</v>
      </c>
      <c r="C904" t="s">
        <v>292</v>
      </c>
      <c r="D904" t="s">
        <v>35</v>
      </c>
      <c r="E904" s="37">
        <v>34</v>
      </c>
      <c r="F904" t="s">
        <v>86</v>
      </c>
      <c r="G904" t="s">
        <v>87</v>
      </c>
      <c r="H904" t="s">
        <v>38</v>
      </c>
      <c r="I904" t="s">
        <v>82</v>
      </c>
      <c r="J904" t="s">
        <v>190</v>
      </c>
      <c r="K904" s="37">
        <v>26</v>
      </c>
      <c r="L904" t="s">
        <v>52</v>
      </c>
      <c r="M904" s="21">
        <v>62900</v>
      </c>
      <c r="N904" s="21">
        <v>852923</v>
      </c>
      <c r="O904" s="21">
        <v>98124</v>
      </c>
      <c r="P904" s="37">
        <v>3</v>
      </c>
      <c r="Q904" t="s">
        <v>42</v>
      </c>
      <c r="R904" s="37">
        <v>9</v>
      </c>
      <c r="S904" s="37">
        <v>26</v>
      </c>
      <c r="T904" t="s">
        <v>43</v>
      </c>
      <c r="U904" t="s">
        <v>44</v>
      </c>
      <c r="V904" t="s">
        <v>69</v>
      </c>
      <c r="W904" t="str">
        <f t="shared" si="70"/>
        <v>31-40</v>
      </c>
      <c r="X904" t="str">
        <f t="shared" si="71"/>
        <v>21-30 yrs</v>
      </c>
      <c r="Y904" t="str">
        <f t="shared" si="72"/>
        <v>May</v>
      </c>
      <c r="Z904">
        <f t="shared" si="73"/>
        <v>2025</v>
      </c>
      <c r="AA904">
        <f t="shared" si="74"/>
        <v>0</v>
      </c>
    </row>
    <row r="905" spans="1:27" ht="15" customHeight="1" x14ac:dyDescent="0.3">
      <c r="A905" t="s">
        <v>1547</v>
      </c>
      <c r="B905" s="20">
        <v>45675</v>
      </c>
      <c r="C905" t="s">
        <v>294</v>
      </c>
      <c r="D905" t="s">
        <v>35</v>
      </c>
      <c r="E905" s="37">
        <v>43</v>
      </c>
      <c r="F905" t="s">
        <v>123</v>
      </c>
      <c r="G905" t="s">
        <v>124</v>
      </c>
      <c r="H905" t="s">
        <v>38</v>
      </c>
      <c r="I905" t="s">
        <v>82</v>
      </c>
      <c r="J905" t="s">
        <v>40</v>
      </c>
      <c r="K905" s="37">
        <v>14</v>
      </c>
      <c r="L905" t="s">
        <v>41</v>
      </c>
      <c r="M905" s="21">
        <v>52000</v>
      </c>
      <c r="N905" s="21">
        <v>673920</v>
      </c>
      <c r="O905" s="21">
        <v>49920</v>
      </c>
      <c r="P905" s="37">
        <v>4</v>
      </c>
      <c r="Q905" t="s">
        <v>42</v>
      </c>
      <c r="R905" s="37">
        <v>14</v>
      </c>
      <c r="S905" s="37">
        <v>12</v>
      </c>
      <c r="T905" t="s">
        <v>129</v>
      </c>
      <c r="U905" t="s">
        <v>63</v>
      </c>
      <c r="V905" t="s">
        <v>45</v>
      </c>
      <c r="W905" t="str">
        <f t="shared" si="70"/>
        <v>41-50</v>
      </c>
      <c r="X905" t="str">
        <f t="shared" si="71"/>
        <v>11-20 yrs</v>
      </c>
      <c r="Y905" t="str">
        <f t="shared" si="72"/>
        <v>Jan</v>
      </c>
      <c r="Z905">
        <f t="shared" si="73"/>
        <v>2025</v>
      </c>
      <c r="AA905">
        <f t="shared" si="74"/>
        <v>0</v>
      </c>
    </row>
    <row r="906" spans="1:27" ht="15" customHeight="1" x14ac:dyDescent="0.3">
      <c r="A906" t="s">
        <v>1548</v>
      </c>
      <c r="B906" s="20">
        <v>45913</v>
      </c>
      <c r="C906" t="s">
        <v>1125</v>
      </c>
      <c r="D906" t="s">
        <v>35</v>
      </c>
      <c r="E906" s="37">
        <v>48</v>
      </c>
      <c r="F906" t="s">
        <v>123</v>
      </c>
      <c r="G906" t="s">
        <v>124</v>
      </c>
      <c r="H906" t="s">
        <v>74</v>
      </c>
      <c r="I906" t="s">
        <v>82</v>
      </c>
      <c r="J906" t="s">
        <v>152</v>
      </c>
      <c r="K906" s="37">
        <v>16</v>
      </c>
      <c r="L906" t="s">
        <v>52</v>
      </c>
      <c r="M906" s="21">
        <v>52300</v>
      </c>
      <c r="N906" s="21">
        <v>740568</v>
      </c>
      <c r="O906" s="21">
        <v>112968</v>
      </c>
      <c r="P906" s="37">
        <v>3</v>
      </c>
      <c r="Q906" t="s">
        <v>126</v>
      </c>
      <c r="R906" s="37">
        <v>10</v>
      </c>
      <c r="S906" s="37">
        <v>0</v>
      </c>
      <c r="T906" t="s">
        <v>175</v>
      </c>
      <c r="U906" t="s">
        <v>44</v>
      </c>
      <c r="V906" t="s">
        <v>45</v>
      </c>
      <c r="W906" t="str">
        <f t="shared" si="70"/>
        <v>41-50</v>
      </c>
      <c r="X906" t="str">
        <f t="shared" si="71"/>
        <v>11-20 yrs</v>
      </c>
      <c r="Y906" t="str">
        <f t="shared" si="72"/>
        <v>Sep</v>
      </c>
      <c r="Z906">
        <f t="shared" si="73"/>
        <v>2025</v>
      </c>
      <c r="AA906">
        <f t="shared" si="74"/>
        <v>1</v>
      </c>
    </row>
    <row r="907" spans="1:27" ht="15" customHeight="1" x14ac:dyDescent="0.3">
      <c r="A907" t="s">
        <v>1549</v>
      </c>
      <c r="B907" s="20">
        <v>45809</v>
      </c>
      <c r="C907" t="s">
        <v>573</v>
      </c>
      <c r="D907" t="s">
        <v>35</v>
      </c>
      <c r="E907" s="37">
        <v>43</v>
      </c>
      <c r="F907" t="s">
        <v>57</v>
      </c>
      <c r="G907" t="s">
        <v>58</v>
      </c>
      <c r="H907" t="s">
        <v>118</v>
      </c>
      <c r="I907" t="s">
        <v>39</v>
      </c>
      <c r="J907" t="s">
        <v>219</v>
      </c>
      <c r="K907" s="37">
        <v>19</v>
      </c>
      <c r="L907" t="s">
        <v>52</v>
      </c>
      <c r="M907" s="21">
        <v>34900</v>
      </c>
      <c r="N907" s="21">
        <v>494184</v>
      </c>
      <c r="O907" s="21">
        <v>75384</v>
      </c>
      <c r="P907" s="37">
        <v>3</v>
      </c>
      <c r="Q907" t="s">
        <v>126</v>
      </c>
      <c r="R907" s="37">
        <v>14</v>
      </c>
      <c r="S907" s="37">
        <v>5</v>
      </c>
      <c r="T907" t="s">
        <v>53</v>
      </c>
      <c r="U907" t="s">
        <v>54</v>
      </c>
      <c r="V907" t="s">
        <v>69</v>
      </c>
      <c r="W907" t="str">
        <f t="shared" si="70"/>
        <v>41-50</v>
      </c>
      <c r="X907" t="str">
        <f t="shared" si="71"/>
        <v>11-20 yrs</v>
      </c>
      <c r="Y907" t="str">
        <f t="shared" si="72"/>
        <v>Jun</v>
      </c>
      <c r="Z907">
        <f t="shared" si="73"/>
        <v>2025</v>
      </c>
      <c r="AA907">
        <f t="shared" si="74"/>
        <v>1</v>
      </c>
    </row>
    <row r="908" spans="1:27" ht="15" customHeight="1" x14ac:dyDescent="0.3">
      <c r="A908" t="s">
        <v>1550</v>
      </c>
      <c r="B908" s="20">
        <v>46006</v>
      </c>
      <c r="C908" t="s">
        <v>1551</v>
      </c>
      <c r="D908" t="s">
        <v>35</v>
      </c>
      <c r="E908" s="37">
        <v>26</v>
      </c>
      <c r="F908" t="s">
        <v>49</v>
      </c>
      <c r="G908" t="s">
        <v>50</v>
      </c>
      <c r="H908" t="s">
        <v>118</v>
      </c>
      <c r="I908" t="s">
        <v>75</v>
      </c>
      <c r="J908" t="s">
        <v>119</v>
      </c>
      <c r="K908" s="37">
        <v>19</v>
      </c>
      <c r="L908" t="s">
        <v>52</v>
      </c>
      <c r="M908" s="21">
        <v>73400</v>
      </c>
      <c r="N908" s="21">
        <v>1030535</v>
      </c>
      <c r="O908" s="21">
        <v>149736</v>
      </c>
      <c r="P908" s="37">
        <v>4</v>
      </c>
      <c r="Q908" t="s">
        <v>42</v>
      </c>
      <c r="R908" s="37">
        <v>11</v>
      </c>
      <c r="S908" s="37">
        <v>13</v>
      </c>
      <c r="T908" t="s">
        <v>94</v>
      </c>
      <c r="U908" t="s">
        <v>44</v>
      </c>
      <c r="V908" t="s">
        <v>45</v>
      </c>
      <c r="W908" t="str">
        <f t="shared" si="70"/>
        <v>22-30</v>
      </c>
      <c r="X908" t="str">
        <f t="shared" si="71"/>
        <v>11-20 yrs</v>
      </c>
      <c r="Y908" t="str">
        <f t="shared" si="72"/>
        <v>Dec</v>
      </c>
      <c r="Z908">
        <f t="shared" si="73"/>
        <v>2025</v>
      </c>
      <c r="AA908">
        <f t="shared" si="74"/>
        <v>0</v>
      </c>
    </row>
    <row r="909" spans="1:27" ht="15" customHeight="1" x14ac:dyDescent="0.3">
      <c r="A909" t="s">
        <v>1552</v>
      </c>
      <c r="B909" s="20">
        <v>45979</v>
      </c>
      <c r="C909" t="s">
        <v>554</v>
      </c>
      <c r="D909" t="s">
        <v>48</v>
      </c>
      <c r="E909" s="37">
        <v>28</v>
      </c>
      <c r="F909" t="s">
        <v>86</v>
      </c>
      <c r="G909" t="s">
        <v>87</v>
      </c>
      <c r="H909" t="s">
        <v>66</v>
      </c>
      <c r="I909" t="s">
        <v>75</v>
      </c>
      <c r="J909" t="s">
        <v>149</v>
      </c>
      <c r="K909" s="37">
        <v>22</v>
      </c>
      <c r="L909" t="s">
        <v>52</v>
      </c>
      <c r="M909" s="21">
        <v>95900</v>
      </c>
      <c r="N909" s="21">
        <v>1277388</v>
      </c>
      <c r="O909" s="21">
        <v>126588</v>
      </c>
      <c r="P909" s="37">
        <v>4</v>
      </c>
      <c r="Q909" t="s">
        <v>42</v>
      </c>
      <c r="R909" s="37">
        <v>18</v>
      </c>
      <c r="S909" s="37">
        <v>37</v>
      </c>
      <c r="T909" t="s">
        <v>53</v>
      </c>
      <c r="U909" t="s">
        <v>44</v>
      </c>
      <c r="V909" t="s">
        <v>69</v>
      </c>
      <c r="W909" t="str">
        <f t="shared" si="70"/>
        <v>22-30</v>
      </c>
      <c r="X909" t="str">
        <f t="shared" si="71"/>
        <v>21-30 yrs</v>
      </c>
      <c r="Y909" t="str">
        <f t="shared" si="72"/>
        <v>Nov</v>
      </c>
      <c r="Z909">
        <f t="shared" si="73"/>
        <v>2025</v>
      </c>
      <c r="AA909">
        <f t="shared" si="74"/>
        <v>0</v>
      </c>
    </row>
    <row r="910" spans="1:27" ht="15" customHeight="1" x14ac:dyDescent="0.3">
      <c r="A910" t="s">
        <v>1553</v>
      </c>
      <c r="B910" s="20">
        <v>45767</v>
      </c>
      <c r="C910" t="s">
        <v>768</v>
      </c>
      <c r="D910" t="s">
        <v>35</v>
      </c>
      <c r="E910" s="37">
        <v>44</v>
      </c>
      <c r="F910" t="s">
        <v>36</v>
      </c>
      <c r="G910" t="s">
        <v>37</v>
      </c>
      <c r="H910" t="s">
        <v>59</v>
      </c>
      <c r="I910" t="s">
        <v>51</v>
      </c>
      <c r="J910" t="s">
        <v>104</v>
      </c>
      <c r="K910" s="37">
        <v>16</v>
      </c>
      <c r="L910" t="s">
        <v>120</v>
      </c>
      <c r="M910" s="21">
        <v>214400</v>
      </c>
      <c r="N910" s="21">
        <v>2958720</v>
      </c>
      <c r="O910" s="21">
        <v>385920</v>
      </c>
      <c r="P910" s="37">
        <v>3</v>
      </c>
      <c r="Q910" t="s">
        <v>42</v>
      </c>
      <c r="R910" s="37">
        <v>15</v>
      </c>
      <c r="S910" s="37">
        <v>17</v>
      </c>
      <c r="T910" t="s">
        <v>43</v>
      </c>
      <c r="U910" t="s">
        <v>63</v>
      </c>
      <c r="V910" t="s">
        <v>69</v>
      </c>
      <c r="W910" t="str">
        <f t="shared" si="70"/>
        <v>41-50</v>
      </c>
      <c r="X910" t="str">
        <f t="shared" si="71"/>
        <v>11-20 yrs</v>
      </c>
      <c r="Y910" t="str">
        <f t="shared" si="72"/>
        <v>Apr</v>
      </c>
      <c r="Z910">
        <f t="shared" si="73"/>
        <v>2025</v>
      </c>
      <c r="AA910">
        <f t="shared" si="74"/>
        <v>0</v>
      </c>
    </row>
    <row r="911" spans="1:27" ht="15" customHeight="1" x14ac:dyDescent="0.3">
      <c r="A911" t="s">
        <v>1554</v>
      </c>
      <c r="B911" s="20">
        <v>45790</v>
      </c>
      <c r="C911" t="s">
        <v>821</v>
      </c>
      <c r="D911" t="s">
        <v>35</v>
      </c>
      <c r="E911" s="37">
        <v>22</v>
      </c>
      <c r="F911" t="s">
        <v>86</v>
      </c>
      <c r="G911" t="s">
        <v>87</v>
      </c>
      <c r="H911" t="s">
        <v>38</v>
      </c>
      <c r="I911" t="s">
        <v>60</v>
      </c>
      <c r="J911" t="s">
        <v>110</v>
      </c>
      <c r="K911" s="37">
        <v>17</v>
      </c>
      <c r="L911" t="s">
        <v>52</v>
      </c>
      <c r="M911" s="21">
        <v>134300</v>
      </c>
      <c r="N911" s="21">
        <v>1837224</v>
      </c>
      <c r="O911" s="21">
        <v>225624</v>
      </c>
      <c r="P911" s="37">
        <v>3</v>
      </c>
      <c r="Q911" t="s">
        <v>42</v>
      </c>
      <c r="R911" s="37">
        <v>7</v>
      </c>
      <c r="S911" s="37">
        <v>21</v>
      </c>
      <c r="T911" t="s">
        <v>68</v>
      </c>
      <c r="U911" t="s">
        <v>44</v>
      </c>
      <c r="V911" t="s">
        <v>69</v>
      </c>
      <c r="W911" t="str">
        <f t="shared" si="70"/>
        <v>22-30</v>
      </c>
      <c r="X911" t="str">
        <f t="shared" si="71"/>
        <v>11-20 yrs</v>
      </c>
      <c r="Y911" t="str">
        <f t="shared" si="72"/>
        <v>May</v>
      </c>
      <c r="Z911">
        <f t="shared" si="73"/>
        <v>2025</v>
      </c>
      <c r="AA911">
        <f t="shared" si="74"/>
        <v>0</v>
      </c>
    </row>
    <row r="912" spans="1:27" ht="15" customHeight="1" x14ac:dyDescent="0.3">
      <c r="A912" t="s">
        <v>1555</v>
      </c>
      <c r="B912" s="20">
        <v>45850</v>
      </c>
      <c r="C912" t="s">
        <v>1556</v>
      </c>
      <c r="D912" t="s">
        <v>48</v>
      </c>
      <c r="E912" s="37">
        <v>34</v>
      </c>
      <c r="F912" t="s">
        <v>97</v>
      </c>
      <c r="G912" t="s">
        <v>98</v>
      </c>
      <c r="H912" t="s">
        <v>66</v>
      </c>
      <c r="I912" t="s">
        <v>75</v>
      </c>
      <c r="J912" t="s">
        <v>170</v>
      </c>
      <c r="K912" s="37">
        <v>15</v>
      </c>
      <c r="L912" t="s">
        <v>120</v>
      </c>
      <c r="M912" s="21">
        <v>112400</v>
      </c>
      <c r="N912" s="21">
        <v>1537632</v>
      </c>
      <c r="O912" s="21">
        <v>188832</v>
      </c>
      <c r="P912" s="37">
        <v>3</v>
      </c>
      <c r="Q912" t="s">
        <v>42</v>
      </c>
      <c r="R912" s="37">
        <v>16</v>
      </c>
      <c r="S912" s="37">
        <v>29</v>
      </c>
      <c r="T912" t="s">
        <v>94</v>
      </c>
      <c r="U912" t="s">
        <v>44</v>
      </c>
      <c r="V912" t="s">
        <v>45</v>
      </c>
      <c r="W912" t="str">
        <f t="shared" si="70"/>
        <v>31-40</v>
      </c>
      <c r="X912" t="str">
        <f t="shared" si="71"/>
        <v>11-20 yrs</v>
      </c>
      <c r="Y912" t="str">
        <f t="shared" si="72"/>
        <v>Jul</v>
      </c>
      <c r="Z912">
        <f t="shared" si="73"/>
        <v>2025</v>
      </c>
      <c r="AA912">
        <f t="shared" si="74"/>
        <v>0</v>
      </c>
    </row>
    <row r="913" spans="1:27" ht="15" customHeight="1" x14ac:dyDescent="0.3">
      <c r="A913" t="s">
        <v>1557</v>
      </c>
      <c r="B913" s="20">
        <v>45878</v>
      </c>
      <c r="C913" t="s">
        <v>665</v>
      </c>
      <c r="D913" t="s">
        <v>35</v>
      </c>
      <c r="E913" s="37">
        <v>51</v>
      </c>
      <c r="F913" t="s">
        <v>123</v>
      </c>
      <c r="G913" t="s">
        <v>124</v>
      </c>
      <c r="H913" t="s">
        <v>66</v>
      </c>
      <c r="I913" t="s">
        <v>51</v>
      </c>
      <c r="J913" t="s">
        <v>161</v>
      </c>
      <c r="K913" s="37">
        <v>22</v>
      </c>
      <c r="L913" t="s">
        <v>52</v>
      </c>
      <c r="M913" s="21">
        <v>214100</v>
      </c>
      <c r="N913" s="21">
        <v>2749044</v>
      </c>
      <c r="O913" s="21">
        <v>179844</v>
      </c>
      <c r="P913" s="37">
        <v>3</v>
      </c>
      <c r="Q913" t="s">
        <v>126</v>
      </c>
      <c r="R913" s="37">
        <v>4</v>
      </c>
      <c r="S913" s="37">
        <v>6</v>
      </c>
      <c r="T913" t="s">
        <v>146</v>
      </c>
      <c r="U913" t="s">
        <v>63</v>
      </c>
      <c r="V913" t="s">
        <v>69</v>
      </c>
      <c r="W913" t="str">
        <f t="shared" si="70"/>
        <v>51-58</v>
      </c>
      <c r="X913" t="str">
        <f t="shared" si="71"/>
        <v>21-30 yrs</v>
      </c>
      <c r="Y913" t="str">
        <f t="shared" si="72"/>
        <v>Aug</v>
      </c>
      <c r="Z913">
        <f t="shared" si="73"/>
        <v>2025</v>
      </c>
      <c r="AA913">
        <f t="shared" si="74"/>
        <v>1</v>
      </c>
    </row>
    <row r="914" spans="1:27" ht="15" customHeight="1" x14ac:dyDescent="0.3">
      <c r="A914" t="s">
        <v>1558</v>
      </c>
      <c r="B914" s="20">
        <v>45786</v>
      </c>
      <c r="C914" t="s">
        <v>1559</v>
      </c>
      <c r="D914" t="s">
        <v>35</v>
      </c>
      <c r="E914" s="37">
        <v>34</v>
      </c>
      <c r="F914" t="s">
        <v>49</v>
      </c>
      <c r="G914" t="s">
        <v>50</v>
      </c>
      <c r="H914" t="s">
        <v>66</v>
      </c>
      <c r="I914" t="s">
        <v>60</v>
      </c>
      <c r="J914" t="s">
        <v>93</v>
      </c>
      <c r="K914" s="37">
        <v>23</v>
      </c>
      <c r="L914" t="s">
        <v>41</v>
      </c>
      <c r="M914" s="21">
        <v>129500</v>
      </c>
      <c r="N914" s="21">
        <v>1724940</v>
      </c>
      <c r="O914" s="21">
        <v>170940</v>
      </c>
      <c r="P914" s="37">
        <v>5</v>
      </c>
      <c r="Q914" t="s">
        <v>42</v>
      </c>
      <c r="R914" s="37">
        <v>0</v>
      </c>
      <c r="S914" s="37">
        <v>5</v>
      </c>
      <c r="T914" t="s">
        <v>175</v>
      </c>
      <c r="U914" t="s">
        <v>44</v>
      </c>
      <c r="V914" t="s">
        <v>45</v>
      </c>
      <c r="W914" t="str">
        <f t="shared" si="70"/>
        <v>31-40</v>
      </c>
      <c r="X914" t="str">
        <f t="shared" si="71"/>
        <v>21-30 yrs</v>
      </c>
      <c r="Y914" t="str">
        <f t="shared" si="72"/>
        <v>May</v>
      </c>
      <c r="Z914">
        <f t="shared" si="73"/>
        <v>2025</v>
      </c>
      <c r="AA914">
        <f t="shared" si="74"/>
        <v>0</v>
      </c>
    </row>
    <row r="915" spans="1:27" ht="15" customHeight="1" x14ac:dyDescent="0.3">
      <c r="A915" t="s">
        <v>1560</v>
      </c>
      <c r="B915" s="20">
        <v>45720</v>
      </c>
      <c r="C915" t="s">
        <v>112</v>
      </c>
      <c r="D915" t="s">
        <v>35</v>
      </c>
      <c r="E915" s="37">
        <v>43</v>
      </c>
      <c r="F915" t="s">
        <v>57</v>
      </c>
      <c r="G915" t="s">
        <v>58</v>
      </c>
      <c r="H915" t="s">
        <v>59</v>
      </c>
      <c r="I915" t="s">
        <v>75</v>
      </c>
      <c r="J915" t="s">
        <v>104</v>
      </c>
      <c r="K915" s="37">
        <v>1</v>
      </c>
      <c r="L915" t="s">
        <v>41</v>
      </c>
      <c r="M915" s="21">
        <v>71500</v>
      </c>
      <c r="N915" s="21">
        <v>935220</v>
      </c>
      <c r="O915" s="21">
        <v>77220</v>
      </c>
      <c r="P915" s="37">
        <v>2</v>
      </c>
      <c r="Q915" t="s">
        <v>42</v>
      </c>
      <c r="R915" s="37">
        <v>10</v>
      </c>
      <c r="S915" s="37">
        <v>35</v>
      </c>
      <c r="T915" t="s">
        <v>146</v>
      </c>
      <c r="U915" t="s">
        <v>63</v>
      </c>
      <c r="V915" t="s">
        <v>45</v>
      </c>
      <c r="W915" t="str">
        <f t="shared" si="70"/>
        <v>41-50</v>
      </c>
      <c r="X915" t="str">
        <f t="shared" si="71"/>
        <v>0-5 yrs</v>
      </c>
      <c r="Y915" t="str">
        <f t="shared" si="72"/>
        <v>Mar</v>
      </c>
      <c r="Z915">
        <f t="shared" si="73"/>
        <v>2025</v>
      </c>
      <c r="AA915">
        <f t="shared" si="74"/>
        <v>0</v>
      </c>
    </row>
    <row r="916" spans="1:27" ht="15" customHeight="1" x14ac:dyDescent="0.3">
      <c r="A916" t="s">
        <v>1561</v>
      </c>
      <c r="B916" s="20">
        <v>45995</v>
      </c>
      <c r="C916" t="s">
        <v>674</v>
      </c>
      <c r="D916" t="s">
        <v>35</v>
      </c>
      <c r="E916" s="37">
        <v>42</v>
      </c>
      <c r="F916" t="s">
        <v>49</v>
      </c>
      <c r="G916" t="s">
        <v>50</v>
      </c>
      <c r="H916" t="s">
        <v>38</v>
      </c>
      <c r="I916" t="s">
        <v>39</v>
      </c>
      <c r="J916" t="s">
        <v>40</v>
      </c>
      <c r="K916" s="37">
        <v>2</v>
      </c>
      <c r="L916" t="s">
        <v>52</v>
      </c>
      <c r="M916" s="21">
        <v>37400</v>
      </c>
      <c r="N916" s="21">
        <v>511632</v>
      </c>
      <c r="O916" s="21">
        <v>62832</v>
      </c>
      <c r="P916" s="37">
        <v>5</v>
      </c>
      <c r="Q916" t="s">
        <v>42</v>
      </c>
      <c r="R916" s="37">
        <v>6</v>
      </c>
      <c r="S916" s="37">
        <v>23</v>
      </c>
      <c r="T916" t="s">
        <v>43</v>
      </c>
      <c r="U916" t="s">
        <v>63</v>
      </c>
      <c r="V916" t="s">
        <v>69</v>
      </c>
      <c r="W916" t="str">
        <f t="shared" si="70"/>
        <v>41-50</v>
      </c>
      <c r="X916" t="str">
        <f t="shared" si="71"/>
        <v>0-5 yrs</v>
      </c>
      <c r="Y916" t="str">
        <f t="shared" si="72"/>
        <v>Dec</v>
      </c>
      <c r="Z916">
        <f t="shared" si="73"/>
        <v>2025</v>
      </c>
      <c r="AA916">
        <f t="shared" si="74"/>
        <v>0</v>
      </c>
    </row>
    <row r="917" spans="1:27" ht="15" customHeight="1" x14ac:dyDescent="0.3">
      <c r="A917" t="s">
        <v>1562</v>
      </c>
      <c r="B917" s="20">
        <v>45728</v>
      </c>
      <c r="C917" t="s">
        <v>528</v>
      </c>
      <c r="D917" t="s">
        <v>35</v>
      </c>
      <c r="E917" s="37">
        <v>49</v>
      </c>
      <c r="F917" t="s">
        <v>91</v>
      </c>
      <c r="G917" t="s">
        <v>92</v>
      </c>
      <c r="H917" t="s">
        <v>59</v>
      </c>
      <c r="I917" t="s">
        <v>75</v>
      </c>
      <c r="J917" t="s">
        <v>104</v>
      </c>
      <c r="K917" s="37">
        <v>30</v>
      </c>
      <c r="L917" t="s">
        <v>52</v>
      </c>
      <c r="M917" s="21">
        <v>74400</v>
      </c>
      <c r="N917" s="21">
        <v>955296</v>
      </c>
      <c r="O917" s="21">
        <v>62496</v>
      </c>
      <c r="P917" s="37">
        <v>3</v>
      </c>
      <c r="Q917" t="s">
        <v>42</v>
      </c>
      <c r="R917" s="37">
        <v>8</v>
      </c>
      <c r="S917" s="37">
        <v>24</v>
      </c>
      <c r="T917" t="s">
        <v>77</v>
      </c>
      <c r="U917" t="s">
        <v>63</v>
      </c>
      <c r="V917" t="s">
        <v>45</v>
      </c>
      <c r="W917" t="str">
        <f t="shared" si="70"/>
        <v>41-50</v>
      </c>
      <c r="X917" t="str">
        <f t="shared" si="71"/>
        <v>21-30 yrs</v>
      </c>
      <c r="Y917" t="str">
        <f t="shared" si="72"/>
        <v>Mar</v>
      </c>
      <c r="Z917">
        <f t="shared" si="73"/>
        <v>2025</v>
      </c>
      <c r="AA917">
        <f t="shared" si="74"/>
        <v>0</v>
      </c>
    </row>
    <row r="918" spans="1:27" ht="15" customHeight="1" x14ac:dyDescent="0.3">
      <c r="A918" t="s">
        <v>1563</v>
      </c>
      <c r="B918" s="20">
        <v>45820</v>
      </c>
      <c r="C918" t="s">
        <v>1564</v>
      </c>
      <c r="D918" t="s">
        <v>35</v>
      </c>
      <c r="E918" s="37">
        <v>31</v>
      </c>
      <c r="F918" t="s">
        <v>80</v>
      </c>
      <c r="G918" t="s">
        <v>81</v>
      </c>
      <c r="H918" t="s">
        <v>118</v>
      </c>
      <c r="I918" t="s">
        <v>82</v>
      </c>
      <c r="J918" t="s">
        <v>250</v>
      </c>
      <c r="K918" s="37">
        <v>0</v>
      </c>
      <c r="L918" t="s">
        <v>52</v>
      </c>
      <c r="M918" s="21">
        <v>51600</v>
      </c>
      <c r="N918" s="21">
        <v>724464</v>
      </c>
      <c r="O918" s="21">
        <v>105264</v>
      </c>
      <c r="P918" s="37">
        <v>4</v>
      </c>
      <c r="Q918" t="s">
        <v>42</v>
      </c>
      <c r="R918" s="37">
        <v>20</v>
      </c>
      <c r="S918" s="37">
        <v>21</v>
      </c>
      <c r="T918" t="s">
        <v>129</v>
      </c>
      <c r="U918" t="s">
        <v>63</v>
      </c>
      <c r="V918" t="s">
        <v>45</v>
      </c>
      <c r="W918" t="str">
        <f t="shared" si="70"/>
        <v>31-40</v>
      </c>
      <c r="X918" t="str">
        <f t="shared" si="71"/>
        <v>0-5 yrs</v>
      </c>
      <c r="Y918" t="str">
        <f t="shared" si="72"/>
        <v>Jun</v>
      </c>
      <c r="Z918">
        <f t="shared" si="73"/>
        <v>2025</v>
      </c>
      <c r="AA918">
        <f t="shared" si="74"/>
        <v>0</v>
      </c>
    </row>
    <row r="919" spans="1:27" ht="15" customHeight="1" x14ac:dyDescent="0.3">
      <c r="A919" t="s">
        <v>1565</v>
      </c>
      <c r="B919" s="20">
        <v>45714</v>
      </c>
      <c r="C919" t="s">
        <v>1415</v>
      </c>
      <c r="D919" t="s">
        <v>35</v>
      </c>
      <c r="E919" s="37">
        <v>37</v>
      </c>
      <c r="F919" t="s">
        <v>108</v>
      </c>
      <c r="G919" t="s">
        <v>109</v>
      </c>
      <c r="H919" t="s">
        <v>38</v>
      </c>
      <c r="I919" t="s">
        <v>39</v>
      </c>
      <c r="J919" t="s">
        <v>190</v>
      </c>
      <c r="K919" s="37">
        <v>7</v>
      </c>
      <c r="L919" t="s">
        <v>120</v>
      </c>
      <c r="M919" s="21">
        <v>41900</v>
      </c>
      <c r="N919" s="21">
        <v>568164</v>
      </c>
      <c r="O919" s="21">
        <v>65364</v>
      </c>
      <c r="P919" s="37">
        <v>4</v>
      </c>
      <c r="Q919" t="s">
        <v>126</v>
      </c>
      <c r="R919" s="37">
        <v>8</v>
      </c>
      <c r="S919" s="37">
        <v>35</v>
      </c>
      <c r="T919" t="s">
        <v>105</v>
      </c>
      <c r="U919" t="s">
        <v>44</v>
      </c>
      <c r="V919" t="s">
        <v>45</v>
      </c>
      <c r="W919" t="str">
        <f t="shared" si="70"/>
        <v>31-40</v>
      </c>
      <c r="X919" t="str">
        <f t="shared" si="71"/>
        <v>6-10 yrs</v>
      </c>
      <c r="Y919" t="str">
        <f t="shared" si="72"/>
        <v>Feb</v>
      </c>
      <c r="Z919">
        <f t="shared" si="73"/>
        <v>2025</v>
      </c>
      <c r="AA919">
        <f t="shared" si="74"/>
        <v>1</v>
      </c>
    </row>
    <row r="920" spans="1:27" ht="15" customHeight="1" x14ac:dyDescent="0.3">
      <c r="A920" t="s">
        <v>1566</v>
      </c>
      <c r="B920" s="20">
        <v>45839</v>
      </c>
      <c r="C920" t="s">
        <v>692</v>
      </c>
      <c r="D920" t="s">
        <v>48</v>
      </c>
      <c r="E920" s="37">
        <v>23</v>
      </c>
      <c r="F920" t="s">
        <v>86</v>
      </c>
      <c r="G920" t="s">
        <v>87</v>
      </c>
      <c r="H920" t="s">
        <v>74</v>
      </c>
      <c r="I920" t="s">
        <v>82</v>
      </c>
      <c r="J920" t="s">
        <v>115</v>
      </c>
      <c r="K920" s="37">
        <v>10</v>
      </c>
      <c r="L920" t="s">
        <v>52</v>
      </c>
      <c r="M920" s="21">
        <v>74200</v>
      </c>
      <c r="N920" s="21">
        <v>1032863</v>
      </c>
      <c r="O920" s="21">
        <v>142464</v>
      </c>
      <c r="P920" s="37">
        <v>4</v>
      </c>
      <c r="Q920" t="s">
        <v>42</v>
      </c>
      <c r="R920" s="37">
        <v>5</v>
      </c>
      <c r="S920" s="37">
        <v>33</v>
      </c>
      <c r="T920" t="s">
        <v>62</v>
      </c>
      <c r="U920" t="s">
        <v>63</v>
      </c>
      <c r="V920" t="s">
        <v>69</v>
      </c>
      <c r="W920" t="str">
        <f t="shared" si="70"/>
        <v>22-30</v>
      </c>
      <c r="X920" t="str">
        <f t="shared" si="71"/>
        <v>6-10 yrs</v>
      </c>
      <c r="Y920" t="str">
        <f t="shared" si="72"/>
        <v>Jul</v>
      </c>
      <c r="Z920">
        <f t="shared" si="73"/>
        <v>2025</v>
      </c>
      <c r="AA920">
        <f t="shared" si="74"/>
        <v>0</v>
      </c>
    </row>
    <row r="921" spans="1:27" ht="15" customHeight="1" x14ac:dyDescent="0.3">
      <c r="A921" t="s">
        <v>1567</v>
      </c>
      <c r="B921" s="20">
        <v>45924</v>
      </c>
      <c r="C921" t="s">
        <v>870</v>
      </c>
      <c r="D921" t="s">
        <v>35</v>
      </c>
      <c r="E921" s="37">
        <v>39</v>
      </c>
      <c r="F921" t="s">
        <v>123</v>
      </c>
      <c r="G921" t="s">
        <v>124</v>
      </c>
      <c r="H921" t="s">
        <v>38</v>
      </c>
      <c r="I921" t="s">
        <v>39</v>
      </c>
      <c r="J921" t="s">
        <v>40</v>
      </c>
      <c r="K921" s="37">
        <v>10</v>
      </c>
      <c r="L921" t="s">
        <v>52</v>
      </c>
      <c r="M921" s="21">
        <v>37300</v>
      </c>
      <c r="N921" s="21">
        <v>501312</v>
      </c>
      <c r="O921" s="21">
        <v>53712</v>
      </c>
      <c r="P921" s="37">
        <v>4</v>
      </c>
      <c r="Q921" t="s">
        <v>42</v>
      </c>
      <c r="R921" s="37">
        <v>9</v>
      </c>
      <c r="S921" s="37">
        <v>27</v>
      </c>
      <c r="T921" t="s">
        <v>105</v>
      </c>
      <c r="U921" t="s">
        <v>63</v>
      </c>
      <c r="V921" t="s">
        <v>45</v>
      </c>
      <c r="W921" t="str">
        <f t="shared" si="70"/>
        <v>31-40</v>
      </c>
      <c r="X921" t="str">
        <f t="shared" si="71"/>
        <v>6-10 yrs</v>
      </c>
      <c r="Y921" t="str">
        <f t="shared" si="72"/>
        <v>Sep</v>
      </c>
      <c r="Z921">
        <f t="shared" si="73"/>
        <v>2025</v>
      </c>
      <c r="AA921">
        <f t="shared" si="74"/>
        <v>0</v>
      </c>
    </row>
    <row r="922" spans="1:27" ht="15" customHeight="1" x14ac:dyDescent="0.3">
      <c r="A922" t="s">
        <v>1568</v>
      </c>
      <c r="B922" s="20">
        <v>45707</v>
      </c>
      <c r="C922" t="s">
        <v>184</v>
      </c>
      <c r="D922" t="s">
        <v>35</v>
      </c>
      <c r="E922" s="37">
        <v>46</v>
      </c>
      <c r="F922" t="s">
        <v>123</v>
      </c>
      <c r="G922" t="s">
        <v>124</v>
      </c>
      <c r="H922" t="s">
        <v>66</v>
      </c>
      <c r="I922" t="s">
        <v>82</v>
      </c>
      <c r="J922" t="s">
        <v>161</v>
      </c>
      <c r="K922" s="37">
        <v>21</v>
      </c>
      <c r="L922" t="s">
        <v>52</v>
      </c>
      <c r="M922" s="21">
        <v>72000</v>
      </c>
      <c r="N922" s="21">
        <v>959040</v>
      </c>
      <c r="O922" s="21">
        <v>95040</v>
      </c>
      <c r="P922" s="37">
        <v>4</v>
      </c>
      <c r="Q922" t="s">
        <v>42</v>
      </c>
      <c r="R922" s="37">
        <v>13</v>
      </c>
      <c r="S922" s="37">
        <v>28</v>
      </c>
      <c r="T922" t="s">
        <v>62</v>
      </c>
      <c r="U922" t="s">
        <v>54</v>
      </c>
      <c r="V922" t="s">
        <v>45</v>
      </c>
      <c r="W922" t="str">
        <f t="shared" si="70"/>
        <v>41-50</v>
      </c>
      <c r="X922" t="str">
        <f t="shared" si="71"/>
        <v>21-30 yrs</v>
      </c>
      <c r="Y922" t="str">
        <f t="shared" si="72"/>
        <v>Feb</v>
      </c>
      <c r="Z922">
        <f t="shared" si="73"/>
        <v>2025</v>
      </c>
      <c r="AA922">
        <f t="shared" si="74"/>
        <v>0</v>
      </c>
    </row>
    <row r="923" spans="1:27" ht="15" customHeight="1" x14ac:dyDescent="0.3">
      <c r="A923" t="s">
        <v>1569</v>
      </c>
      <c r="B923" s="20">
        <v>45983</v>
      </c>
      <c r="C923" t="s">
        <v>1570</v>
      </c>
      <c r="D923" t="s">
        <v>35</v>
      </c>
      <c r="E923" s="37">
        <v>54</v>
      </c>
      <c r="F923" t="s">
        <v>97</v>
      </c>
      <c r="G923" t="s">
        <v>98</v>
      </c>
      <c r="H923" t="s">
        <v>66</v>
      </c>
      <c r="I923" t="s">
        <v>39</v>
      </c>
      <c r="J923" t="s">
        <v>93</v>
      </c>
      <c r="K923" s="37">
        <v>28</v>
      </c>
      <c r="L923" t="s">
        <v>120</v>
      </c>
      <c r="M923" s="21">
        <v>37100</v>
      </c>
      <c r="N923" s="21">
        <v>520883</v>
      </c>
      <c r="O923" s="21">
        <v>75684</v>
      </c>
      <c r="P923" s="37">
        <v>4</v>
      </c>
      <c r="Q923" t="s">
        <v>42</v>
      </c>
      <c r="R923" s="37">
        <v>11</v>
      </c>
      <c r="S923" s="37">
        <v>21</v>
      </c>
      <c r="T923" t="s">
        <v>175</v>
      </c>
      <c r="U923" t="s">
        <v>63</v>
      </c>
      <c r="V923" t="s">
        <v>69</v>
      </c>
      <c r="W923" t="str">
        <f t="shared" si="70"/>
        <v>51-58</v>
      </c>
      <c r="X923" t="str">
        <f t="shared" si="71"/>
        <v>21-30 yrs</v>
      </c>
      <c r="Y923" t="str">
        <f t="shared" si="72"/>
        <v>Nov</v>
      </c>
      <c r="Z923">
        <f t="shared" si="73"/>
        <v>2025</v>
      </c>
      <c r="AA923">
        <f t="shared" si="74"/>
        <v>0</v>
      </c>
    </row>
    <row r="924" spans="1:27" ht="15" customHeight="1" x14ac:dyDescent="0.3">
      <c r="A924" t="s">
        <v>1571</v>
      </c>
      <c r="B924" s="20">
        <v>45819</v>
      </c>
      <c r="C924" t="s">
        <v>1043</v>
      </c>
      <c r="D924" t="s">
        <v>48</v>
      </c>
      <c r="E924" s="37">
        <v>34</v>
      </c>
      <c r="F924" t="s">
        <v>49</v>
      </c>
      <c r="G924" t="s">
        <v>50</v>
      </c>
      <c r="H924" t="s">
        <v>74</v>
      </c>
      <c r="I924" t="s">
        <v>82</v>
      </c>
      <c r="J924" t="s">
        <v>367</v>
      </c>
      <c r="K924" s="37">
        <v>22</v>
      </c>
      <c r="L924" t="s">
        <v>41</v>
      </c>
      <c r="M924" s="21">
        <v>69200</v>
      </c>
      <c r="N924" s="21">
        <v>988176</v>
      </c>
      <c r="O924" s="21">
        <v>157776</v>
      </c>
      <c r="P924" s="37">
        <v>3</v>
      </c>
      <c r="Q924" t="s">
        <v>42</v>
      </c>
      <c r="R924" s="37">
        <v>15</v>
      </c>
      <c r="S924" s="37">
        <v>11</v>
      </c>
      <c r="T924" t="s">
        <v>175</v>
      </c>
      <c r="U924" t="s">
        <v>54</v>
      </c>
      <c r="V924" t="s">
        <v>45</v>
      </c>
      <c r="W924" t="str">
        <f t="shared" si="70"/>
        <v>31-40</v>
      </c>
      <c r="X924" t="str">
        <f t="shared" si="71"/>
        <v>21-30 yrs</v>
      </c>
      <c r="Y924" t="str">
        <f t="shared" si="72"/>
        <v>Jun</v>
      </c>
      <c r="Z924">
        <f t="shared" si="73"/>
        <v>2025</v>
      </c>
      <c r="AA924">
        <f t="shared" si="74"/>
        <v>0</v>
      </c>
    </row>
    <row r="925" spans="1:27" ht="15" customHeight="1" x14ac:dyDescent="0.3">
      <c r="A925" t="s">
        <v>1572</v>
      </c>
      <c r="B925" s="20">
        <v>45678</v>
      </c>
      <c r="C925" t="s">
        <v>362</v>
      </c>
      <c r="D925" t="s">
        <v>35</v>
      </c>
      <c r="E925" s="37">
        <v>44</v>
      </c>
      <c r="F925" t="s">
        <v>57</v>
      </c>
      <c r="G925" t="s">
        <v>58</v>
      </c>
      <c r="H925" t="s">
        <v>38</v>
      </c>
      <c r="I925" t="s">
        <v>51</v>
      </c>
      <c r="J925" t="s">
        <v>190</v>
      </c>
      <c r="K925" s="37">
        <v>18</v>
      </c>
      <c r="L925" t="s">
        <v>52</v>
      </c>
      <c r="M925" s="21">
        <v>183700</v>
      </c>
      <c r="N925" s="21">
        <v>2623236</v>
      </c>
      <c r="O925" s="21">
        <v>418836</v>
      </c>
      <c r="P925" s="37">
        <v>3</v>
      </c>
      <c r="Q925" t="s">
        <v>42</v>
      </c>
      <c r="R925" s="37">
        <v>6</v>
      </c>
      <c r="S925" s="37">
        <v>40</v>
      </c>
      <c r="T925" t="s">
        <v>62</v>
      </c>
      <c r="U925" t="s">
        <v>63</v>
      </c>
      <c r="V925" t="s">
        <v>69</v>
      </c>
      <c r="W925" t="str">
        <f t="shared" si="70"/>
        <v>41-50</v>
      </c>
      <c r="X925" t="str">
        <f t="shared" si="71"/>
        <v>11-20 yrs</v>
      </c>
      <c r="Y925" t="str">
        <f t="shared" si="72"/>
        <v>Jan</v>
      </c>
      <c r="Z925">
        <f t="shared" si="73"/>
        <v>2025</v>
      </c>
      <c r="AA925">
        <f t="shared" si="74"/>
        <v>0</v>
      </c>
    </row>
    <row r="926" spans="1:27" ht="15" customHeight="1" x14ac:dyDescent="0.3">
      <c r="A926" t="s">
        <v>1573</v>
      </c>
      <c r="B926" s="20">
        <v>45817</v>
      </c>
      <c r="C926" t="s">
        <v>956</v>
      </c>
      <c r="D926" t="s">
        <v>48</v>
      </c>
      <c r="E926" s="37">
        <v>24</v>
      </c>
      <c r="F926" t="s">
        <v>91</v>
      </c>
      <c r="G926" t="s">
        <v>92</v>
      </c>
      <c r="H926" t="s">
        <v>74</v>
      </c>
      <c r="I926" t="s">
        <v>82</v>
      </c>
      <c r="J926" t="s">
        <v>83</v>
      </c>
      <c r="K926" s="37">
        <v>29</v>
      </c>
      <c r="L926" t="s">
        <v>52</v>
      </c>
      <c r="M926" s="21">
        <v>60200</v>
      </c>
      <c r="N926" s="21">
        <v>859656</v>
      </c>
      <c r="O926" s="21">
        <v>137256</v>
      </c>
      <c r="P926" s="37">
        <v>3</v>
      </c>
      <c r="Q926" t="s">
        <v>42</v>
      </c>
      <c r="R926" s="37">
        <v>16</v>
      </c>
      <c r="S926" s="37">
        <v>6</v>
      </c>
      <c r="T926" t="s">
        <v>129</v>
      </c>
      <c r="U926" t="s">
        <v>63</v>
      </c>
      <c r="V926" t="s">
        <v>45</v>
      </c>
      <c r="W926" t="str">
        <f t="shared" si="70"/>
        <v>22-30</v>
      </c>
      <c r="X926" t="str">
        <f t="shared" si="71"/>
        <v>21-30 yrs</v>
      </c>
      <c r="Y926" t="str">
        <f t="shared" si="72"/>
        <v>Jun</v>
      </c>
      <c r="Z926">
        <f t="shared" si="73"/>
        <v>2025</v>
      </c>
      <c r="AA926">
        <f t="shared" si="74"/>
        <v>0</v>
      </c>
    </row>
    <row r="927" spans="1:27" ht="15" customHeight="1" x14ac:dyDescent="0.3">
      <c r="A927" t="s">
        <v>1574</v>
      </c>
      <c r="B927" s="20">
        <v>46000</v>
      </c>
      <c r="C927" t="s">
        <v>1575</v>
      </c>
      <c r="D927" t="s">
        <v>35</v>
      </c>
      <c r="E927" s="37">
        <v>57</v>
      </c>
      <c r="F927" t="s">
        <v>123</v>
      </c>
      <c r="G927" t="s">
        <v>124</v>
      </c>
      <c r="H927" t="s">
        <v>38</v>
      </c>
      <c r="I927" t="s">
        <v>82</v>
      </c>
      <c r="J927" t="s">
        <v>134</v>
      </c>
      <c r="K927" s="37">
        <v>29</v>
      </c>
      <c r="L927" t="s">
        <v>52</v>
      </c>
      <c r="M927" s="21">
        <v>49900</v>
      </c>
      <c r="N927" s="21">
        <v>646704</v>
      </c>
      <c r="O927" s="21">
        <v>47904</v>
      </c>
      <c r="P927" s="37">
        <v>2</v>
      </c>
      <c r="Q927" t="s">
        <v>42</v>
      </c>
      <c r="R927" s="37">
        <v>17</v>
      </c>
      <c r="S927" s="37">
        <v>16</v>
      </c>
      <c r="T927" t="s">
        <v>68</v>
      </c>
      <c r="U927" t="s">
        <v>138</v>
      </c>
      <c r="V927" t="s">
        <v>45</v>
      </c>
      <c r="W927" t="str">
        <f t="shared" si="70"/>
        <v>51-58</v>
      </c>
      <c r="X927" t="str">
        <f t="shared" si="71"/>
        <v>21-30 yrs</v>
      </c>
      <c r="Y927" t="str">
        <f t="shared" si="72"/>
        <v>Dec</v>
      </c>
      <c r="Z927">
        <f t="shared" si="73"/>
        <v>2025</v>
      </c>
      <c r="AA927">
        <f t="shared" si="74"/>
        <v>0</v>
      </c>
    </row>
    <row r="928" spans="1:27" ht="15" customHeight="1" x14ac:dyDescent="0.3">
      <c r="A928" t="s">
        <v>1576</v>
      </c>
      <c r="B928" s="20">
        <v>45789</v>
      </c>
      <c r="C928" t="s">
        <v>1577</v>
      </c>
      <c r="D928" t="s">
        <v>48</v>
      </c>
      <c r="E928" s="37">
        <v>24</v>
      </c>
      <c r="F928" t="s">
        <v>80</v>
      </c>
      <c r="G928" t="s">
        <v>81</v>
      </c>
      <c r="H928" t="s">
        <v>66</v>
      </c>
      <c r="I928" t="s">
        <v>51</v>
      </c>
      <c r="J928" t="s">
        <v>149</v>
      </c>
      <c r="K928" s="37">
        <v>28</v>
      </c>
      <c r="L928" t="s">
        <v>41</v>
      </c>
      <c r="M928" s="21">
        <v>278400</v>
      </c>
      <c r="N928" s="21">
        <v>3775103</v>
      </c>
      <c r="O928" s="21">
        <v>434304</v>
      </c>
      <c r="P928" s="37">
        <v>4</v>
      </c>
      <c r="Q928" t="s">
        <v>42</v>
      </c>
      <c r="R928" s="37">
        <v>15</v>
      </c>
      <c r="S928" s="37">
        <v>31</v>
      </c>
      <c r="T928" t="s">
        <v>105</v>
      </c>
      <c r="U928" t="s">
        <v>138</v>
      </c>
      <c r="V928" t="s">
        <v>69</v>
      </c>
      <c r="W928" t="str">
        <f t="shared" si="70"/>
        <v>22-30</v>
      </c>
      <c r="X928" t="str">
        <f t="shared" si="71"/>
        <v>21-30 yrs</v>
      </c>
      <c r="Y928" t="str">
        <f t="shared" si="72"/>
        <v>May</v>
      </c>
      <c r="Z928">
        <f t="shared" si="73"/>
        <v>2025</v>
      </c>
      <c r="AA928">
        <f t="shared" si="74"/>
        <v>0</v>
      </c>
    </row>
    <row r="929" spans="1:27" ht="15" customHeight="1" x14ac:dyDescent="0.3">
      <c r="A929" t="s">
        <v>1578</v>
      </c>
      <c r="B929" s="20">
        <v>45902</v>
      </c>
      <c r="C929" t="s">
        <v>1579</v>
      </c>
      <c r="D929" t="s">
        <v>35</v>
      </c>
      <c r="E929" s="37">
        <v>42</v>
      </c>
      <c r="F929" t="s">
        <v>72</v>
      </c>
      <c r="G929" t="s">
        <v>73</v>
      </c>
      <c r="H929" t="s">
        <v>38</v>
      </c>
      <c r="I929" t="s">
        <v>75</v>
      </c>
      <c r="J929" t="s">
        <v>110</v>
      </c>
      <c r="K929" s="37">
        <v>25</v>
      </c>
      <c r="L929" t="s">
        <v>52</v>
      </c>
      <c r="M929" s="21">
        <v>73200</v>
      </c>
      <c r="N929" s="21">
        <v>1001376</v>
      </c>
      <c r="O929" s="21">
        <v>122976</v>
      </c>
      <c r="P929" s="37">
        <v>5</v>
      </c>
      <c r="Q929" t="s">
        <v>42</v>
      </c>
      <c r="R929" s="37">
        <v>8</v>
      </c>
      <c r="S929" s="37">
        <v>34</v>
      </c>
      <c r="T929" t="s">
        <v>94</v>
      </c>
      <c r="U929" t="s">
        <v>44</v>
      </c>
      <c r="V929" t="s">
        <v>69</v>
      </c>
      <c r="W929" t="str">
        <f t="shared" si="70"/>
        <v>41-50</v>
      </c>
      <c r="X929" t="str">
        <f t="shared" si="71"/>
        <v>21-30 yrs</v>
      </c>
      <c r="Y929" t="str">
        <f t="shared" si="72"/>
        <v>Sep</v>
      </c>
      <c r="Z929">
        <f t="shared" si="73"/>
        <v>2025</v>
      </c>
      <c r="AA929">
        <f t="shared" si="74"/>
        <v>0</v>
      </c>
    </row>
    <row r="930" spans="1:27" ht="15" customHeight="1" x14ac:dyDescent="0.3">
      <c r="A930" t="s">
        <v>1580</v>
      </c>
      <c r="B930" s="20">
        <v>45717</v>
      </c>
      <c r="C930" t="s">
        <v>777</v>
      </c>
      <c r="D930" t="s">
        <v>48</v>
      </c>
      <c r="E930" s="37">
        <v>26</v>
      </c>
      <c r="F930" t="s">
        <v>49</v>
      </c>
      <c r="G930" t="s">
        <v>50</v>
      </c>
      <c r="H930" t="s">
        <v>74</v>
      </c>
      <c r="I930" t="s">
        <v>75</v>
      </c>
      <c r="J930" t="s">
        <v>76</v>
      </c>
      <c r="K930" s="37">
        <v>15</v>
      </c>
      <c r="L930" t="s">
        <v>52</v>
      </c>
      <c r="M930" s="21">
        <v>110500</v>
      </c>
      <c r="N930" s="21">
        <v>1498379</v>
      </c>
      <c r="O930" s="21">
        <v>172380</v>
      </c>
      <c r="P930" s="37">
        <v>5</v>
      </c>
      <c r="Q930" t="s">
        <v>42</v>
      </c>
      <c r="R930" s="37">
        <v>15</v>
      </c>
      <c r="S930" s="37">
        <v>24</v>
      </c>
      <c r="T930" t="s">
        <v>62</v>
      </c>
      <c r="U930" t="s">
        <v>44</v>
      </c>
      <c r="V930" t="s">
        <v>45</v>
      </c>
      <c r="W930" t="str">
        <f t="shared" si="70"/>
        <v>22-30</v>
      </c>
      <c r="X930" t="str">
        <f t="shared" si="71"/>
        <v>11-20 yrs</v>
      </c>
      <c r="Y930" t="str">
        <f t="shared" si="72"/>
        <v>Mar</v>
      </c>
      <c r="Z930">
        <f t="shared" si="73"/>
        <v>2025</v>
      </c>
      <c r="AA930">
        <f t="shared" si="74"/>
        <v>0</v>
      </c>
    </row>
    <row r="931" spans="1:27" ht="15" customHeight="1" x14ac:dyDescent="0.3">
      <c r="A931" t="s">
        <v>1581</v>
      </c>
      <c r="B931" s="20">
        <v>45963</v>
      </c>
      <c r="C931" t="s">
        <v>1134</v>
      </c>
      <c r="D931" t="s">
        <v>48</v>
      </c>
      <c r="E931" s="37">
        <v>46</v>
      </c>
      <c r="F931" t="s">
        <v>97</v>
      </c>
      <c r="G931" t="s">
        <v>98</v>
      </c>
      <c r="H931" t="s">
        <v>118</v>
      </c>
      <c r="I931" t="s">
        <v>51</v>
      </c>
      <c r="J931" t="s">
        <v>119</v>
      </c>
      <c r="K931" s="37">
        <v>23</v>
      </c>
      <c r="L931" t="s">
        <v>41</v>
      </c>
      <c r="M931" s="21">
        <v>210200</v>
      </c>
      <c r="N931" s="21">
        <v>2925984</v>
      </c>
      <c r="O931" s="21">
        <v>403584</v>
      </c>
      <c r="P931" s="37">
        <v>2</v>
      </c>
      <c r="Q931" t="s">
        <v>42</v>
      </c>
      <c r="R931" s="37">
        <v>6</v>
      </c>
      <c r="S931" s="37">
        <v>22</v>
      </c>
      <c r="T931" t="s">
        <v>94</v>
      </c>
      <c r="U931" t="s">
        <v>54</v>
      </c>
      <c r="V931" t="s">
        <v>69</v>
      </c>
      <c r="W931" t="str">
        <f t="shared" si="70"/>
        <v>41-50</v>
      </c>
      <c r="X931" t="str">
        <f t="shared" si="71"/>
        <v>21-30 yrs</v>
      </c>
      <c r="Y931" t="str">
        <f t="shared" si="72"/>
        <v>Nov</v>
      </c>
      <c r="Z931">
        <f t="shared" si="73"/>
        <v>2025</v>
      </c>
      <c r="AA931">
        <f t="shared" si="74"/>
        <v>0</v>
      </c>
    </row>
    <row r="932" spans="1:27" ht="15" customHeight="1" x14ac:dyDescent="0.3">
      <c r="A932" t="s">
        <v>1582</v>
      </c>
      <c r="B932" s="20">
        <v>45825</v>
      </c>
      <c r="C932" t="s">
        <v>1208</v>
      </c>
      <c r="D932" t="s">
        <v>35</v>
      </c>
      <c r="E932" s="37">
        <v>37</v>
      </c>
      <c r="F932" t="s">
        <v>108</v>
      </c>
      <c r="G932" t="s">
        <v>109</v>
      </c>
      <c r="H932" t="s">
        <v>38</v>
      </c>
      <c r="I932" t="s">
        <v>82</v>
      </c>
      <c r="J932" t="s">
        <v>40</v>
      </c>
      <c r="K932" s="37">
        <v>19</v>
      </c>
      <c r="L932" t="s">
        <v>52</v>
      </c>
      <c r="M932" s="21">
        <v>63300</v>
      </c>
      <c r="N932" s="21">
        <v>827964</v>
      </c>
      <c r="O932" s="21">
        <v>68364</v>
      </c>
      <c r="P932" s="37">
        <v>3</v>
      </c>
      <c r="Q932" t="s">
        <v>42</v>
      </c>
      <c r="R932" s="37">
        <v>6</v>
      </c>
      <c r="S932" s="37">
        <v>9</v>
      </c>
      <c r="T932" t="s">
        <v>146</v>
      </c>
      <c r="U932" t="s">
        <v>63</v>
      </c>
      <c r="V932" t="s">
        <v>45</v>
      </c>
      <c r="W932" t="str">
        <f t="shared" si="70"/>
        <v>31-40</v>
      </c>
      <c r="X932" t="str">
        <f t="shared" si="71"/>
        <v>11-20 yrs</v>
      </c>
      <c r="Y932" t="str">
        <f t="shared" si="72"/>
        <v>Jun</v>
      </c>
      <c r="Z932">
        <f t="shared" si="73"/>
        <v>2025</v>
      </c>
      <c r="AA932">
        <f t="shared" si="74"/>
        <v>0</v>
      </c>
    </row>
    <row r="933" spans="1:27" ht="15" customHeight="1" x14ac:dyDescent="0.3">
      <c r="A933" t="s">
        <v>1583</v>
      </c>
      <c r="B933" s="20">
        <v>45771</v>
      </c>
      <c r="C933" t="s">
        <v>214</v>
      </c>
      <c r="D933" t="s">
        <v>48</v>
      </c>
      <c r="E933" s="37">
        <v>55</v>
      </c>
      <c r="F933" t="s">
        <v>108</v>
      </c>
      <c r="G933" t="s">
        <v>109</v>
      </c>
      <c r="H933" t="s">
        <v>59</v>
      </c>
      <c r="I933" t="s">
        <v>60</v>
      </c>
      <c r="J933" t="s">
        <v>88</v>
      </c>
      <c r="K933" s="37">
        <v>28</v>
      </c>
      <c r="L933" t="s">
        <v>52</v>
      </c>
      <c r="M933" s="21">
        <v>129600</v>
      </c>
      <c r="N933" s="21">
        <v>1695168</v>
      </c>
      <c r="O933" s="21">
        <v>139968</v>
      </c>
      <c r="P933" s="37">
        <v>5</v>
      </c>
      <c r="Q933" t="s">
        <v>42</v>
      </c>
      <c r="R933" s="37">
        <v>12</v>
      </c>
      <c r="S933" s="37">
        <v>34</v>
      </c>
      <c r="T933" t="s">
        <v>146</v>
      </c>
      <c r="U933" t="s">
        <v>138</v>
      </c>
      <c r="V933" t="s">
        <v>45</v>
      </c>
      <c r="W933" t="str">
        <f t="shared" si="70"/>
        <v>51-58</v>
      </c>
      <c r="X933" t="str">
        <f t="shared" si="71"/>
        <v>21-30 yrs</v>
      </c>
      <c r="Y933" t="str">
        <f t="shared" si="72"/>
        <v>Apr</v>
      </c>
      <c r="Z933">
        <f t="shared" si="73"/>
        <v>2025</v>
      </c>
      <c r="AA933">
        <f t="shared" si="74"/>
        <v>0</v>
      </c>
    </row>
    <row r="934" spans="1:27" ht="15" customHeight="1" x14ac:dyDescent="0.3">
      <c r="A934" t="s">
        <v>1584</v>
      </c>
      <c r="B934" s="20">
        <v>45810</v>
      </c>
      <c r="C934" t="s">
        <v>1585</v>
      </c>
      <c r="D934" t="s">
        <v>48</v>
      </c>
      <c r="E934" s="37">
        <v>39</v>
      </c>
      <c r="F934" t="s">
        <v>57</v>
      </c>
      <c r="G934" t="s">
        <v>58</v>
      </c>
      <c r="H934" t="s">
        <v>74</v>
      </c>
      <c r="I934" t="s">
        <v>39</v>
      </c>
      <c r="J934" t="s">
        <v>83</v>
      </c>
      <c r="K934" s="37">
        <v>15</v>
      </c>
      <c r="L934" t="s">
        <v>52</v>
      </c>
      <c r="M934" s="21">
        <v>45500</v>
      </c>
      <c r="N934" s="21">
        <v>611520</v>
      </c>
      <c r="O934" s="21">
        <v>65520</v>
      </c>
      <c r="P934" s="37">
        <v>5</v>
      </c>
      <c r="Q934" t="s">
        <v>42</v>
      </c>
      <c r="R934" s="37">
        <v>7</v>
      </c>
      <c r="S934" s="37">
        <v>25</v>
      </c>
      <c r="T934" t="s">
        <v>105</v>
      </c>
      <c r="U934" t="s">
        <v>44</v>
      </c>
      <c r="V934" t="s">
        <v>69</v>
      </c>
      <c r="W934" t="str">
        <f t="shared" si="70"/>
        <v>31-40</v>
      </c>
      <c r="X934" t="str">
        <f t="shared" si="71"/>
        <v>11-20 yrs</v>
      </c>
      <c r="Y934" t="str">
        <f t="shared" si="72"/>
        <v>Jun</v>
      </c>
      <c r="Z934">
        <f t="shared" si="73"/>
        <v>2025</v>
      </c>
      <c r="AA934">
        <f t="shared" si="74"/>
        <v>0</v>
      </c>
    </row>
    <row r="935" spans="1:27" ht="15" customHeight="1" x14ac:dyDescent="0.3">
      <c r="A935" t="s">
        <v>1586</v>
      </c>
      <c r="B935" s="20">
        <v>45921</v>
      </c>
      <c r="C935" t="s">
        <v>743</v>
      </c>
      <c r="D935" t="s">
        <v>35</v>
      </c>
      <c r="E935" s="37">
        <v>43</v>
      </c>
      <c r="F935" t="s">
        <v>57</v>
      </c>
      <c r="G935" t="s">
        <v>58</v>
      </c>
      <c r="H935" t="s">
        <v>38</v>
      </c>
      <c r="I935" t="s">
        <v>82</v>
      </c>
      <c r="J935" t="s">
        <v>134</v>
      </c>
      <c r="K935" s="37">
        <v>10</v>
      </c>
      <c r="L935" t="s">
        <v>52</v>
      </c>
      <c r="M935" s="21">
        <v>60400</v>
      </c>
      <c r="N935" s="21">
        <v>775536</v>
      </c>
      <c r="O935" s="21">
        <v>50736</v>
      </c>
      <c r="P935" s="37">
        <v>5</v>
      </c>
      <c r="Q935" t="s">
        <v>42</v>
      </c>
      <c r="R935" s="37">
        <v>11</v>
      </c>
      <c r="S935" s="37">
        <v>24</v>
      </c>
      <c r="T935" t="s">
        <v>68</v>
      </c>
      <c r="U935" t="s">
        <v>44</v>
      </c>
      <c r="V935" t="s">
        <v>45</v>
      </c>
      <c r="W935" t="str">
        <f t="shared" si="70"/>
        <v>41-50</v>
      </c>
      <c r="X935" t="str">
        <f t="shared" si="71"/>
        <v>6-10 yrs</v>
      </c>
      <c r="Y935" t="str">
        <f t="shared" si="72"/>
        <v>Sep</v>
      </c>
      <c r="Z935">
        <f t="shared" si="73"/>
        <v>2025</v>
      </c>
      <c r="AA935">
        <f t="shared" si="74"/>
        <v>0</v>
      </c>
    </row>
    <row r="936" spans="1:27" ht="15" customHeight="1" x14ac:dyDescent="0.3">
      <c r="A936" t="s">
        <v>1587</v>
      </c>
      <c r="B936" s="20">
        <v>46015</v>
      </c>
      <c r="C936" t="s">
        <v>1532</v>
      </c>
      <c r="D936" t="s">
        <v>48</v>
      </c>
      <c r="E936" s="37">
        <v>42</v>
      </c>
      <c r="F936" t="s">
        <v>86</v>
      </c>
      <c r="G936" t="s">
        <v>87</v>
      </c>
      <c r="H936" t="s">
        <v>118</v>
      </c>
      <c r="I936" t="s">
        <v>51</v>
      </c>
      <c r="J936" t="s">
        <v>250</v>
      </c>
      <c r="K936" s="37">
        <v>1</v>
      </c>
      <c r="L936" t="s">
        <v>52</v>
      </c>
      <c r="M936" s="21">
        <v>185700</v>
      </c>
      <c r="N936" s="21">
        <v>2629512</v>
      </c>
      <c r="O936" s="21">
        <v>401112</v>
      </c>
      <c r="P936" s="37">
        <v>5</v>
      </c>
      <c r="Q936" t="s">
        <v>42</v>
      </c>
      <c r="R936" s="37">
        <v>14</v>
      </c>
      <c r="S936" s="37">
        <v>38</v>
      </c>
      <c r="T936" t="s">
        <v>105</v>
      </c>
      <c r="U936" t="s">
        <v>63</v>
      </c>
      <c r="V936" t="s">
        <v>45</v>
      </c>
      <c r="W936" t="str">
        <f t="shared" si="70"/>
        <v>41-50</v>
      </c>
      <c r="X936" t="str">
        <f t="shared" si="71"/>
        <v>0-5 yrs</v>
      </c>
      <c r="Y936" t="str">
        <f t="shared" si="72"/>
        <v>Dec</v>
      </c>
      <c r="Z936">
        <f t="shared" si="73"/>
        <v>2025</v>
      </c>
      <c r="AA936">
        <f t="shared" si="74"/>
        <v>0</v>
      </c>
    </row>
    <row r="937" spans="1:27" ht="15" customHeight="1" x14ac:dyDescent="0.3">
      <c r="A937" t="s">
        <v>1588</v>
      </c>
      <c r="B937" s="20">
        <v>45916</v>
      </c>
      <c r="C937" t="s">
        <v>1257</v>
      </c>
      <c r="D937" t="s">
        <v>35</v>
      </c>
      <c r="E937" s="37">
        <v>42</v>
      </c>
      <c r="F937" t="s">
        <v>80</v>
      </c>
      <c r="G937" t="s">
        <v>81</v>
      </c>
      <c r="H937" t="s">
        <v>74</v>
      </c>
      <c r="I937" t="s">
        <v>75</v>
      </c>
      <c r="J937" t="s">
        <v>76</v>
      </c>
      <c r="K937" s="37">
        <v>26</v>
      </c>
      <c r="L937" t="s">
        <v>52</v>
      </c>
      <c r="M937" s="21">
        <v>108300</v>
      </c>
      <c r="N937" s="21">
        <v>1455552</v>
      </c>
      <c r="O937" s="21">
        <v>155952</v>
      </c>
      <c r="P937" s="37">
        <v>3</v>
      </c>
      <c r="Q937" t="s">
        <v>42</v>
      </c>
      <c r="R937" s="37">
        <v>15</v>
      </c>
      <c r="S937" s="37">
        <v>9</v>
      </c>
      <c r="T937" t="s">
        <v>53</v>
      </c>
      <c r="U937" t="s">
        <v>44</v>
      </c>
      <c r="V937" t="s">
        <v>45</v>
      </c>
      <c r="W937" t="str">
        <f t="shared" si="70"/>
        <v>41-50</v>
      </c>
      <c r="X937" t="str">
        <f t="shared" si="71"/>
        <v>21-30 yrs</v>
      </c>
      <c r="Y937" t="str">
        <f t="shared" si="72"/>
        <v>Sep</v>
      </c>
      <c r="Z937">
        <f t="shared" si="73"/>
        <v>2025</v>
      </c>
      <c r="AA937">
        <f t="shared" si="74"/>
        <v>0</v>
      </c>
    </row>
    <row r="938" spans="1:27" ht="15" customHeight="1" x14ac:dyDescent="0.3">
      <c r="A938" t="s">
        <v>1589</v>
      </c>
      <c r="B938" s="20">
        <v>45979</v>
      </c>
      <c r="C938" t="s">
        <v>1590</v>
      </c>
      <c r="D938" t="s">
        <v>35</v>
      </c>
      <c r="E938" s="37">
        <v>28</v>
      </c>
      <c r="F938" t="s">
        <v>86</v>
      </c>
      <c r="G938" t="s">
        <v>87</v>
      </c>
      <c r="H938" t="s">
        <v>59</v>
      </c>
      <c r="I938" t="s">
        <v>39</v>
      </c>
      <c r="J938" t="s">
        <v>104</v>
      </c>
      <c r="K938" s="37">
        <v>2</v>
      </c>
      <c r="L938" t="s">
        <v>52</v>
      </c>
      <c r="M938" s="21">
        <v>27700</v>
      </c>
      <c r="N938" s="21">
        <v>352344</v>
      </c>
      <c r="O938" s="21">
        <v>19944</v>
      </c>
      <c r="P938" s="37">
        <v>5</v>
      </c>
      <c r="Q938" t="s">
        <v>42</v>
      </c>
      <c r="R938" s="37">
        <v>9</v>
      </c>
      <c r="S938" s="37">
        <v>22</v>
      </c>
      <c r="T938" t="s">
        <v>53</v>
      </c>
      <c r="U938" t="s">
        <v>44</v>
      </c>
      <c r="V938" t="s">
        <v>45</v>
      </c>
      <c r="W938" t="str">
        <f t="shared" si="70"/>
        <v>22-30</v>
      </c>
      <c r="X938" t="str">
        <f t="shared" si="71"/>
        <v>0-5 yrs</v>
      </c>
      <c r="Y938" t="str">
        <f t="shared" si="72"/>
        <v>Nov</v>
      </c>
      <c r="Z938">
        <f t="shared" si="73"/>
        <v>2025</v>
      </c>
      <c r="AA938">
        <f t="shared" si="74"/>
        <v>0</v>
      </c>
    </row>
    <row r="939" spans="1:27" ht="15" customHeight="1" x14ac:dyDescent="0.3">
      <c r="A939" t="s">
        <v>1591</v>
      </c>
      <c r="B939" s="20">
        <v>45774</v>
      </c>
      <c r="C939" t="s">
        <v>348</v>
      </c>
      <c r="D939" t="s">
        <v>48</v>
      </c>
      <c r="E939" s="37">
        <v>33</v>
      </c>
      <c r="F939" t="s">
        <v>123</v>
      </c>
      <c r="G939" t="s">
        <v>124</v>
      </c>
      <c r="H939" t="s">
        <v>59</v>
      </c>
      <c r="I939" t="s">
        <v>82</v>
      </c>
      <c r="J939" t="s">
        <v>141</v>
      </c>
      <c r="K939" s="37">
        <v>8</v>
      </c>
      <c r="L939" t="s">
        <v>52</v>
      </c>
      <c r="M939" s="21">
        <v>59500</v>
      </c>
      <c r="N939" s="21">
        <v>792540</v>
      </c>
      <c r="O939" s="21">
        <v>78540</v>
      </c>
      <c r="P939" s="37">
        <v>2</v>
      </c>
      <c r="Q939" t="s">
        <v>42</v>
      </c>
      <c r="R939" s="37">
        <v>6</v>
      </c>
      <c r="S939" s="37">
        <v>9</v>
      </c>
      <c r="T939" t="s">
        <v>43</v>
      </c>
      <c r="U939" t="s">
        <v>44</v>
      </c>
      <c r="V939" t="s">
        <v>45</v>
      </c>
      <c r="W939" t="str">
        <f t="shared" si="70"/>
        <v>31-40</v>
      </c>
      <c r="X939" t="str">
        <f t="shared" si="71"/>
        <v>6-10 yrs</v>
      </c>
      <c r="Y939" t="str">
        <f t="shared" si="72"/>
        <v>Apr</v>
      </c>
      <c r="Z939">
        <f t="shared" si="73"/>
        <v>2025</v>
      </c>
      <c r="AA939">
        <f t="shared" si="74"/>
        <v>0</v>
      </c>
    </row>
    <row r="940" spans="1:27" ht="15" customHeight="1" x14ac:dyDescent="0.3">
      <c r="A940" t="s">
        <v>1592</v>
      </c>
      <c r="B940" s="20">
        <v>45875</v>
      </c>
      <c r="C940" t="s">
        <v>449</v>
      </c>
      <c r="D940" t="s">
        <v>35</v>
      </c>
      <c r="E940" s="37">
        <v>55</v>
      </c>
      <c r="F940" t="s">
        <v>123</v>
      </c>
      <c r="G940" t="s">
        <v>124</v>
      </c>
      <c r="H940" t="s">
        <v>66</v>
      </c>
      <c r="I940" t="s">
        <v>39</v>
      </c>
      <c r="J940" t="s">
        <v>93</v>
      </c>
      <c r="K940" s="37">
        <v>28</v>
      </c>
      <c r="L940" t="s">
        <v>52</v>
      </c>
      <c r="M940" s="21">
        <v>44000</v>
      </c>
      <c r="N940" s="21">
        <v>570240</v>
      </c>
      <c r="O940" s="21">
        <v>42240</v>
      </c>
      <c r="P940" s="37">
        <v>4</v>
      </c>
      <c r="Q940" t="s">
        <v>42</v>
      </c>
      <c r="R940" s="37">
        <v>10</v>
      </c>
      <c r="S940" s="37">
        <v>12</v>
      </c>
      <c r="T940" t="s">
        <v>68</v>
      </c>
      <c r="U940" t="s">
        <v>138</v>
      </c>
      <c r="V940" t="s">
        <v>69</v>
      </c>
      <c r="W940" t="str">
        <f t="shared" si="70"/>
        <v>51-58</v>
      </c>
      <c r="X940" t="str">
        <f t="shared" si="71"/>
        <v>21-30 yrs</v>
      </c>
      <c r="Y940" t="str">
        <f t="shared" si="72"/>
        <v>Aug</v>
      </c>
      <c r="Z940">
        <f t="shared" si="73"/>
        <v>2025</v>
      </c>
      <c r="AA940">
        <f t="shared" si="74"/>
        <v>0</v>
      </c>
    </row>
    <row r="941" spans="1:27" ht="15" customHeight="1" x14ac:dyDescent="0.3">
      <c r="A941" t="s">
        <v>1593</v>
      </c>
      <c r="B941" s="20">
        <v>45670</v>
      </c>
      <c r="C941" t="s">
        <v>1106</v>
      </c>
      <c r="D941" t="s">
        <v>48</v>
      </c>
      <c r="E941" s="37">
        <v>28</v>
      </c>
      <c r="F941" t="s">
        <v>97</v>
      </c>
      <c r="G941" t="s">
        <v>98</v>
      </c>
      <c r="H941" t="s">
        <v>38</v>
      </c>
      <c r="I941" t="s">
        <v>75</v>
      </c>
      <c r="J941" t="s">
        <v>110</v>
      </c>
      <c r="K941" s="37">
        <v>18</v>
      </c>
      <c r="L941" t="s">
        <v>52</v>
      </c>
      <c r="M941" s="21">
        <v>75300</v>
      </c>
      <c r="N941" s="21">
        <v>984924</v>
      </c>
      <c r="O941" s="21">
        <v>81324</v>
      </c>
      <c r="P941" s="37">
        <v>3</v>
      </c>
      <c r="Q941" t="s">
        <v>42</v>
      </c>
      <c r="R941" s="37">
        <v>7</v>
      </c>
      <c r="S941" s="37">
        <v>31</v>
      </c>
      <c r="T941" t="s">
        <v>175</v>
      </c>
      <c r="U941" t="s">
        <v>63</v>
      </c>
      <c r="V941" t="s">
        <v>69</v>
      </c>
      <c r="W941" t="str">
        <f t="shared" si="70"/>
        <v>22-30</v>
      </c>
      <c r="X941" t="str">
        <f t="shared" si="71"/>
        <v>11-20 yrs</v>
      </c>
      <c r="Y941" t="str">
        <f t="shared" si="72"/>
        <v>Jan</v>
      </c>
      <c r="Z941">
        <f t="shared" si="73"/>
        <v>2025</v>
      </c>
      <c r="AA941">
        <f t="shared" si="74"/>
        <v>0</v>
      </c>
    </row>
    <row r="942" spans="1:27" ht="15" customHeight="1" x14ac:dyDescent="0.3">
      <c r="A942" t="s">
        <v>1594</v>
      </c>
      <c r="B942" s="20">
        <v>45736</v>
      </c>
      <c r="C942" t="s">
        <v>516</v>
      </c>
      <c r="D942" t="s">
        <v>48</v>
      </c>
      <c r="E942" s="37">
        <v>31</v>
      </c>
      <c r="F942" t="s">
        <v>91</v>
      </c>
      <c r="G942" t="s">
        <v>92</v>
      </c>
      <c r="H942" t="s">
        <v>66</v>
      </c>
      <c r="I942" t="s">
        <v>82</v>
      </c>
      <c r="J942" t="s">
        <v>67</v>
      </c>
      <c r="K942" s="37">
        <v>13</v>
      </c>
      <c r="L942" t="s">
        <v>52</v>
      </c>
      <c r="M942" s="21">
        <v>53700</v>
      </c>
      <c r="N942" s="21">
        <v>683064</v>
      </c>
      <c r="O942" s="21">
        <v>38664</v>
      </c>
      <c r="P942" s="37">
        <v>2</v>
      </c>
      <c r="Q942" t="s">
        <v>42</v>
      </c>
      <c r="R942" s="37">
        <v>2</v>
      </c>
      <c r="S942" s="37">
        <v>28</v>
      </c>
      <c r="T942" t="s">
        <v>53</v>
      </c>
      <c r="U942" t="s">
        <v>44</v>
      </c>
      <c r="V942" t="s">
        <v>45</v>
      </c>
      <c r="W942" t="str">
        <f t="shared" si="70"/>
        <v>31-40</v>
      </c>
      <c r="X942" t="str">
        <f t="shared" si="71"/>
        <v>11-20 yrs</v>
      </c>
      <c r="Y942" t="str">
        <f t="shared" si="72"/>
        <v>Mar</v>
      </c>
      <c r="Z942">
        <f t="shared" si="73"/>
        <v>2025</v>
      </c>
      <c r="AA942">
        <f t="shared" si="74"/>
        <v>0</v>
      </c>
    </row>
    <row r="943" spans="1:27" ht="15" customHeight="1" x14ac:dyDescent="0.3">
      <c r="A943" t="s">
        <v>1595</v>
      </c>
      <c r="B943" s="20">
        <v>45846</v>
      </c>
      <c r="C943" t="s">
        <v>1596</v>
      </c>
      <c r="D943" t="s">
        <v>35</v>
      </c>
      <c r="E943" s="37">
        <v>51</v>
      </c>
      <c r="F943" t="s">
        <v>91</v>
      </c>
      <c r="G943" t="s">
        <v>92</v>
      </c>
      <c r="H943" t="s">
        <v>118</v>
      </c>
      <c r="I943" t="s">
        <v>75</v>
      </c>
      <c r="J943" t="s">
        <v>137</v>
      </c>
      <c r="K943" s="37">
        <v>28</v>
      </c>
      <c r="L943" t="s">
        <v>52</v>
      </c>
      <c r="M943" s="21">
        <v>69100</v>
      </c>
      <c r="N943" s="21">
        <v>936995</v>
      </c>
      <c r="O943" s="21">
        <v>107796</v>
      </c>
      <c r="P943" s="37">
        <v>4</v>
      </c>
      <c r="Q943" t="s">
        <v>126</v>
      </c>
      <c r="R943" s="37">
        <v>4</v>
      </c>
      <c r="S943" s="37">
        <v>18</v>
      </c>
      <c r="T943" t="s">
        <v>105</v>
      </c>
      <c r="U943" t="s">
        <v>44</v>
      </c>
      <c r="V943" t="s">
        <v>45</v>
      </c>
      <c r="W943" t="str">
        <f t="shared" si="70"/>
        <v>51-58</v>
      </c>
      <c r="X943" t="str">
        <f t="shared" si="71"/>
        <v>21-30 yrs</v>
      </c>
      <c r="Y943" t="str">
        <f t="shared" si="72"/>
        <v>Jul</v>
      </c>
      <c r="Z943">
        <f t="shared" si="73"/>
        <v>2025</v>
      </c>
      <c r="AA943">
        <f t="shared" si="74"/>
        <v>1</v>
      </c>
    </row>
    <row r="944" spans="1:27" ht="15" customHeight="1" x14ac:dyDescent="0.3">
      <c r="A944" t="s">
        <v>1597</v>
      </c>
      <c r="B944" s="20">
        <v>45740</v>
      </c>
      <c r="C944" t="s">
        <v>1598</v>
      </c>
      <c r="D944" t="s">
        <v>48</v>
      </c>
      <c r="E944" s="37">
        <v>50</v>
      </c>
      <c r="F944" t="s">
        <v>86</v>
      </c>
      <c r="G944" t="s">
        <v>87</v>
      </c>
      <c r="H944" t="s">
        <v>38</v>
      </c>
      <c r="I944" t="s">
        <v>39</v>
      </c>
      <c r="J944" t="s">
        <v>190</v>
      </c>
      <c r="K944" s="37">
        <v>30</v>
      </c>
      <c r="L944" t="s">
        <v>52</v>
      </c>
      <c r="M944" s="21">
        <v>33200</v>
      </c>
      <c r="N944" s="21">
        <v>454176</v>
      </c>
      <c r="O944" s="21">
        <v>55776</v>
      </c>
      <c r="P944" s="37">
        <v>4</v>
      </c>
      <c r="Q944" t="s">
        <v>126</v>
      </c>
      <c r="R944" s="37">
        <v>19</v>
      </c>
      <c r="S944" s="37">
        <v>15</v>
      </c>
      <c r="T944" t="s">
        <v>62</v>
      </c>
      <c r="U944" t="s">
        <v>138</v>
      </c>
      <c r="V944" t="s">
        <v>45</v>
      </c>
      <c r="W944" t="str">
        <f t="shared" si="70"/>
        <v>41-50</v>
      </c>
      <c r="X944" t="str">
        <f t="shared" si="71"/>
        <v>21-30 yrs</v>
      </c>
      <c r="Y944" t="str">
        <f t="shared" si="72"/>
        <v>Mar</v>
      </c>
      <c r="Z944">
        <f t="shared" si="73"/>
        <v>2025</v>
      </c>
      <c r="AA944">
        <f t="shared" si="74"/>
        <v>1</v>
      </c>
    </row>
    <row r="945" spans="1:27" ht="15" customHeight="1" x14ac:dyDescent="0.3">
      <c r="A945" t="s">
        <v>1599</v>
      </c>
      <c r="B945" s="20">
        <v>45972</v>
      </c>
      <c r="C945" t="s">
        <v>753</v>
      </c>
      <c r="D945" t="s">
        <v>35</v>
      </c>
      <c r="E945" s="37">
        <v>40</v>
      </c>
      <c r="F945" t="s">
        <v>123</v>
      </c>
      <c r="G945" t="s">
        <v>124</v>
      </c>
      <c r="H945" t="s">
        <v>38</v>
      </c>
      <c r="I945" t="s">
        <v>39</v>
      </c>
      <c r="J945" t="s">
        <v>134</v>
      </c>
      <c r="K945" s="37">
        <v>30</v>
      </c>
      <c r="L945" t="s">
        <v>52</v>
      </c>
      <c r="M945" s="21">
        <v>31400</v>
      </c>
      <c r="N945" s="21">
        <v>437087</v>
      </c>
      <c r="O945" s="21">
        <v>60288</v>
      </c>
      <c r="P945" s="37">
        <v>3</v>
      </c>
      <c r="Q945" t="s">
        <v>42</v>
      </c>
      <c r="R945" s="37">
        <v>19</v>
      </c>
      <c r="S945" s="37">
        <v>23</v>
      </c>
      <c r="T945" t="s">
        <v>43</v>
      </c>
      <c r="U945" t="s">
        <v>63</v>
      </c>
      <c r="V945" t="s">
        <v>69</v>
      </c>
      <c r="W945" t="str">
        <f t="shared" si="70"/>
        <v>31-40</v>
      </c>
      <c r="X945" t="str">
        <f t="shared" si="71"/>
        <v>21-30 yrs</v>
      </c>
      <c r="Y945" t="str">
        <f t="shared" si="72"/>
        <v>Nov</v>
      </c>
      <c r="Z945">
        <f t="shared" si="73"/>
        <v>2025</v>
      </c>
      <c r="AA945">
        <f t="shared" si="74"/>
        <v>0</v>
      </c>
    </row>
    <row r="946" spans="1:27" ht="15" customHeight="1" x14ac:dyDescent="0.3">
      <c r="A946" t="s">
        <v>1600</v>
      </c>
      <c r="B946" s="20">
        <v>46007</v>
      </c>
      <c r="C946" t="s">
        <v>1415</v>
      </c>
      <c r="D946" t="s">
        <v>35</v>
      </c>
      <c r="E946" s="37">
        <v>45</v>
      </c>
      <c r="F946" t="s">
        <v>57</v>
      </c>
      <c r="G946" t="s">
        <v>58</v>
      </c>
      <c r="H946" t="s">
        <v>38</v>
      </c>
      <c r="I946" t="s">
        <v>51</v>
      </c>
      <c r="J946" t="s">
        <v>99</v>
      </c>
      <c r="K946" s="37">
        <v>19</v>
      </c>
      <c r="L946" t="s">
        <v>52</v>
      </c>
      <c r="M946" s="21">
        <v>237200</v>
      </c>
      <c r="N946" s="21">
        <v>3330288</v>
      </c>
      <c r="O946" s="21">
        <v>483888</v>
      </c>
      <c r="P946" s="37">
        <v>4</v>
      </c>
      <c r="Q946" t="s">
        <v>42</v>
      </c>
      <c r="R946" s="37">
        <v>2</v>
      </c>
      <c r="S946" s="37">
        <v>37</v>
      </c>
      <c r="T946" t="s">
        <v>77</v>
      </c>
      <c r="U946" t="s">
        <v>44</v>
      </c>
      <c r="V946" t="s">
        <v>45</v>
      </c>
      <c r="W946" t="str">
        <f t="shared" si="70"/>
        <v>41-50</v>
      </c>
      <c r="X946" t="str">
        <f t="shared" si="71"/>
        <v>11-20 yrs</v>
      </c>
      <c r="Y946" t="str">
        <f t="shared" si="72"/>
        <v>Dec</v>
      </c>
      <c r="Z946">
        <f t="shared" si="73"/>
        <v>2025</v>
      </c>
      <c r="AA946">
        <f t="shared" si="74"/>
        <v>0</v>
      </c>
    </row>
    <row r="947" spans="1:27" ht="15" customHeight="1" x14ac:dyDescent="0.3">
      <c r="A947" t="s">
        <v>1601</v>
      </c>
      <c r="B947" s="20">
        <v>45949</v>
      </c>
      <c r="C947" t="s">
        <v>988</v>
      </c>
      <c r="D947" t="s">
        <v>35</v>
      </c>
      <c r="E947" s="37">
        <v>42</v>
      </c>
      <c r="F947" t="s">
        <v>97</v>
      </c>
      <c r="G947" t="s">
        <v>98</v>
      </c>
      <c r="H947" t="s">
        <v>38</v>
      </c>
      <c r="I947" t="s">
        <v>51</v>
      </c>
      <c r="J947" t="s">
        <v>40</v>
      </c>
      <c r="K947" s="37">
        <v>30</v>
      </c>
      <c r="L947" t="s">
        <v>52</v>
      </c>
      <c r="M947" s="21">
        <v>210300</v>
      </c>
      <c r="N947" s="21">
        <v>2927376</v>
      </c>
      <c r="O947" s="21">
        <v>403776</v>
      </c>
      <c r="P947" s="37">
        <v>3</v>
      </c>
      <c r="Q947" t="s">
        <v>42</v>
      </c>
      <c r="R947" s="37">
        <v>14</v>
      </c>
      <c r="S947" s="37">
        <v>11</v>
      </c>
      <c r="T947" t="s">
        <v>94</v>
      </c>
      <c r="U947" t="s">
        <v>44</v>
      </c>
      <c r="V947" t="s">
        <v>69</v>
      </c>
      <c r="W947" t="str">
        <f t="shared" si="70"/>
        <v>41-50</v>
      </c>
      <c r="X947" t="str">
        <f t="shared" si="71"/>
        <v>21-30 yrs</v>
      </c>
      <c r="Y947" t="str">
        <f t="shared" si="72"/>
        <v>Oct</v>
      </c>
      <c r="Z947">
        <f t="shared" si="73"/>
        <v>2025</v>
      </c>
      <c r="AA947">
        <f t="shared" si="74"/>
        <v>0</v>
      </c>
    </row>
    <row r="948" spans="1:27" ht="15" customHeight="1" x14ac:dyDescent="0.3">
      <c r="A948" t="s">
        <v>1602</v>
      </c>
      <c r="B948" s="20">
        <v>45742</v>
      </c>
      <c r="C948" t="s">
        <v>1603</v>
      </c>
      <c r="D948" t="s">
        <v>48</v>
      </c>
      <c r="E948" s="37">
        <v>53</v>
      </c>
      <c r="F948" t="s">
        <v>80</v>
      </c>
      <c r="G948" t="s">
        <v>81</v>
      </c>
      <c r="H948" t="s">
        <v>74</v>
      </c>
      <c r="I948" t="s">
        <v>39</v>
      </c>
      <c r="J948" t="s">
        <v>83</v>
      </c>
      <c r="K948" s="37">
        <v>9</v>
      </c>
      <c r="L948" t="s">
        <v>52</v>
      </c>
      <c r="M948" s="21">
        <v>32100</v>
      </c>
      <c r="N948" s="21">
        <v>416016</v>
      </c>
      <c r="O948" s="21">
        <v>30816</v>
      </c>
      <c r="P948" s="37">
        <v>1</v>
      </c>
      <c r="Q948" t="s">
        <v>42</v>
      </c>
      <c r="R948" s="37">
        <v>18</v>
      </c>
      <c r="S948" s="37">
        <v>18</v>
      </c>
      <c r="T948" t="s">
        <v>62</v>
      </c>
      <c r="U948" t="s">
        <v>44</v>
      </c>
      <c r="V948" t="s">
        <v>69</v>
      </c>
      <c r="W948" t="str">
        <f t="shared" si="70"/>
        <v>51-58</v>
      </c>
      <c r="X948" t="str">
        <f t="shared" si="71"/>
        <v>6-10 yrs</v>
      </c>
      <c r="Y948" t="str">
        <f t="shared" si="72"/>
        <v>Mar</v>
      </c>
      <c r="Z948">
        <f t="shared" si="73"/>
        <v>2025</v>
      </c>
      <c r="AA948">
        <f t="shared" si="74"/>
        <v>0</v>
      </c>
    </row>
    <row r="949" spans="1:27" ht="15" customHeight="1" x14ac:dyDescent="0.3">
      <c r="A949" t="s">
        <v>1604</v>
      </c>
      <c r="B949" s="20">
        <v>45918</v>
      </c>
      <c r="C949" t="s">
        <v>1028</v>
      </c>
      <c r="D949" t="s">
        <v>48</v>
      </c>
      <c r="E949" s="37">
        <v>49</v>
      </c>
      <c r="F949" t="s">
        <v>80</v>
      </c>
      <c r="G949" t="s">
        <v>81</v>
      </c>
      <c r="H949" t="s">
        <v>66</v>
      </c>
      <c r="I949" t="s">
        <v>39</v>
      </c>
      <c r="J949" t="s">
        <v>93</v>
      </c>
      <c r="K949" s="37">
        <v>16</v>
      </c>
      <c r="L949" t="s">
        <v>52</v>
      </c>
      <c r="M949" s="21">
        <v>41800</v>
      </c>
      <c r="N949" s="21">
        <v>531696</v>
      </c>
      <c r="O949" s="21">
        <v>30096</v>
      </c>
      <c r="P949" s="37">
        <v>2</v>
      </c>
      <c r="Q949" t="s">
        <v>42</v>
      </c>
      <c r="R949" s="37">
        <v>4</v>
      </c>
      <c r="S949" s="37">
        <v>28</v>
      </c>
      <c r="T949" t="s">
        <v>43</v>
      </c>
      <c r="U949" t="s">
        <v>44</v>
      </c>
      <c r="V949" t="s">
        <v>69</v>
      </c>
      <c r="W949" t="str">
        <f t="shared" si="70"/>
        <v>41-50</v>
      </c>
      <c r="X949" t="str">
        <f t="shared" si="71"/>
        <v>11-20 yrs</v>
      </c>
      <c r="Y949" t="str">
        <f t="shared" si="72"/>
        <v>Sep</v>
      </c>
      <c r="Z949">
        <f t="shared" si="73"/>
        <v>2025</v>
      </c>
      <c r="AA949">
        <f t="shared" si="74"/>
        <v>0</v>
      </c>
    </row>
    <row r="950" spans="1:27" ht="15" customHeight="1" x14ac:dyDescent="0.3">
      <c r="A950" t="s">
        <v>1605</v>
      </c>
      <c r="B950" s="20">
        <v>45933</v>
      </c>
      <c r="C950" t="s">
        <v>1036</v>
      </c>
      <c r="D950" t="s">
        <v>48</v>
      </c>
      <c r="E950" s="37">
        <v>49</v>
      </c>
      <c r="F950" t="s">
        <v>80</v>
      </c>
      <c r="G950" t="s">
        <v>81</v>
      </c>
      <c r="H950" t="s">
        <v>118</v>
      </c>
      <c r="I950" t="s">
        <v>82</v>
      </c>
      <c r="J950" t="s">
        <v>219</v>
      </c>
      <c r="K950" s="37">
        <v>20</v>
      </c>
      <c r="L950" t="s">
        <v>41</v>
      </c>
      <c r="M950" s="21">
        <v>53800</v>
      </c>
      <c r="N950" s="21">
        <v>690792</v>
      </c>
      <c r="O950" s="21">
        <v>45192</v>
      </c>
      <c r="P950" s="37">
        <v>3</v>
      </c>
      <c r="Q950" t="s">
        <v>126</v>
      </c>
      <c r="R950" s="37">
        <v>6</v>
      </c>
      <c r="S950" s="37">
        <v>2</v>
      </c>
      <c r="T950" t="s">
        <v>62</v>
      </c>
      <c r="U950" t="s">
        <v>44</v>
      </c>
      <c r="V950" t="s">
        <v>45</v>
      </c>
      <c r="W950" t="str">
        <f t="shared" si="70"/>
        <v>41-50</v>
      </c>
      <c r="X950" t="str">
        <f t="shared" si="71"/>
        <v>11-20 yrs</v>
      </c>
      <c r="Y950" t="str">
        <f t="shared" si="72"/>
        <v>Oct</v>
      </c>
      <c r="Z950">
        <f t="shared" si="73"/>
        <v>2025</v>
      </c>
      <c r="AA950">
        <f t="shared" si="74"/>
        <v>1</v>
      </c>
    </row>
    <row r="951" spans="1:27" ht="15" customHeight="1" x14ac:dyDescent="0.3">
      <c r="A951" t="s">
        <v>1606</v>
      </c>
      <c r="B951" s="20">
        <v>45860</v>
      </c>
      <c r="C951" t="s">
        <v>249</v>
      </c>
      <c r="D951" t="s">
        <v>35</v>
      </c>
      <c r="E951" s="37">
        <v>51</v>
      </c>
      <c r="F951" t="s">
        <v>86</v>
      </c>
      <c r="G951" t="s">
        <v>87</v>
      </c>
      <c r="H951" t="s">
        <v>38</v>
      </c>
      <c r="I951" t="s">
        <v>82</v>
      </c>
      <c r="J951" t="s">
        <v>134</v>
      </c>
      <c r="K951" s="37">
        <v>6</v>
      </c>
      <c r="L951" t="s">
        <v>120</v>
      </c>
      <c r="M951" s="21">
        <v>60000</v>
      </c>
      <c r="N951" s="21">
        <v>856800</v>
      </c>
      <c r="O951" s="21">
        <v>136800</v>
      </c>
      <c r="P951" s="37">
        <v>3</v>
      </c>
      <c r="Q951" t="s">
        <v>42</v>
      </c>
      <c r="R951" s="37">
        <v>12</v>
      </c>
      <c r="S951" s="37">
        <v>16</v>
      </c>
      <c r="T951" t="s">
        <v>68</v>
      </c>
      <c r="U951" t="s">
        <v>63</v>
      </c>
      <c r="V951" t="s">
        <v>45</v>
      </c>
      <c r="W951" t="str">
        <f t="shared" si="70"/>
        <v>51-58</v>
      </c>
      <c r="X951" t="str">
        <f t="shared" si="71"/>
        <v>6-10 yrs</v>
      </c>
      <c r="Y951" t="str">
        <f t="shared" si="72"/>
        <v>Jul</v>
      </c>
      <c r="Z951">
        <f t="shared" si="73"/>
        <v>2025</v>
      </c>
      <c r="AA951">
        <f t="shared" si="74"/>
        <v>0</v>
      </c>
    </row>
    <row r="952" spans="1:27" ht="15" customHeight="1" x14ac:dyDescent="0.3">
      <c r="A952" t="s">
        <v>1607</v>
      </c>
      <c r="B952" s="20">
        <v>45780</v>
      </c>
      <c r="C952" t="s">
        <v>821</v>
      </c>
      <c r="D952" t="s">
        <v>35</v>
      </c>
      <c r="E952" s="37">
        <v>31</v>
      </c>
      <c r="F952" t="s">
        <v>108</v>
      </c>
      <c r="G952" t="s">
        <v>109</v>
      </c>
      <c r="H952" t="s">
        <v>38</v>
      </c>
      <c r="I952" t="s">
        <v>39</v>
      </c>
      <c r="J952" t="s">
        <v>134</v>
      </c>
      <c r="K952" s="37">
        <v>2</v>
      </c>
      <c r="L952" t="s">
        <v>52</v>
      </c>
      <c r="M952" s="21">
        <v>29800</v>
      </c>
      <c r="N952" s="21">
        <v>418392</v>
      </c>
      <c r="O952" s="21">
        <v>60792</v>
      </c>
      <c r="P952" s="37">
        <v>4</v>
      </c>
      <c r="Q952" t="s">
        <v>42</v>
      </c>
      <c r="R952" s="37">
        <v>5</v>
      </c>
      <c r="S952" s="37">
        <v>13</v>
      </c>
      <c r="T952" t="s">
        <v>94</v>
      </c>
      <c r="U952" t="s">
        <v>63</v>
      </c>
      <c r="V952" t="s">
        <v>45</v>
      </c>
      <c r="W952" t="str">
        <f t="shared" si="70"/>
        <v>31-40</v>
      </c>
      <c r="X952" t="str">
        <f t="shared" si="71"/>
        <v>0-5 yrs</v>
      </c>
      <c r="Y952" t="str">
        <f t="shared" si="72"/>
        <v>May</v>
      </c>
      <c r="Z952">
        <f t="shared" si="73"/>
        <v>2025</v>
      </c>
      <c r="AA952">
        <f t="shared" si="74"/>
        <v>0</v>
      </c>
    </row>
    <row r="953" spans="1:27" ht="15" customHeight="1" x14ac:dyDescent="0.3">
      <c r="A953" t="s">
        <v>1608</v>
      </c>
      <c r="B953" s="20">
        <v>45932</v>
      </c>
      <c r="C953" t="s">
        <v>821</v>
      </c>
      <c r="D953" t="s">
        <v>35</v>
      </c>
      <c r="E953" s="37">
        <v>22</v>
      </c>
      <c r="F953" t="s">
        <v>123</v>
      </c>
      <c r="G953" t="s">
        <v>124</v>
      </c>
      <c r="H953" t="s">
        <v>66</v>
      </c>
      <c r="I953" t="s">
        <v>75</v>
      </c>
      <c r="J953" t="s">
        <v>93</v>
      </c>
      <c r="K953" s="37">
        <v>22</v>
      </c>
      <c r="L953" t="s">
        <v>52</v>
      </c>
      <c r="M953" s="21">
        <v>108000</v>
      </c>
      <c r="N953" s="21">
        <v>1373760</v>
      </c>
      <c r="O953" s="21">
        <v>77760</v>
      </c>
      <c r="P953" s="37">
        <v>3</v>
      </c>
      <c r="Q953" t="s">
        <v>42</v>
      </c>
      <c r="R953" s="37">
        <v>15</v>
      </c>
      <c r="S953" s="37">
        <v>15</v>
      </c>
      <c r="T953" t="s">
        <v>77</v>
      </c>
      <c r="U953" t="s">
        <v>54</v>
      </c>
      <c r="V953" t="s">
        <v>45</v>
      </c>
      <c r="W953" t="str">
        <f t="shared" si="70"/>
        <v>22-30</v>
      </c>
      <c r="X953" t="str">
        <f t="shared" si="71"/>
        <v>21-30 yrs</v>
      </c>
      <c r="Y953" t="str">
        <f t="shared" si="72"/>
        <v>Oct</v>
      </c>
      <c r="Z953">
        <f t="shared" si="73"/>
        <v>2025</v>
      </c>
      <c r="AA953">
        <f t="shared" si="74"/>
        <v>0</v>
      </c>
    </row>
    <row r="954" spans="1:27" ht="15" customHeight="1" x14ac:dyDescent="0.3">
      <c r="A954" t="s">
        <v>1609</v>
      </c>
      <c r="B954" s="20">
        <v>45948</v>
      </c>
      <c r="C954" t="s">
        <v>112</v>
      </c>
      <c r="D954" t="s">
        <v>35</v>
      </c>
      <c r="E954" s="37">
        <v>48</v>
      </c>
      <c r="F954" t="s">
        <v>57</v>
      </c>
      <c r="G954" t="s">
        <v>58</v>
      </c>
      <c r="H954" t="s">
        <v>38</v>
      </c>
      <c r="I954" t="s">
        <v>39</v>
      </c>
      <c r="J954" t="s">
        <v>99</v>
      </c>
      <c r="K954" s="37">
        <v>5</v>
      </c>
      <c r="L954" t="s">
        <v>52</v>
      </c>
      <c r="M954" s="21">
        <v>35200</v>
      </c>
      <c r="N954" s="21">
        <v>494207</v>
      </c>
      <c r="O954" s="21">
        <v>71808</v>
      </c>
      <c r="P954" s="37">
        <v>3</v>
      </c>
      <c r="Q954" t="s">
        <v>42</v>
      </c>
      <c r="R954" s="37">
        <v>19</v>
      </c>
      <c r="S954" s="37">
        <v>6</v>
      </c>
      <c r="T954" t="s">
        <v>77</v>
      </c>
      <c r="U954" t="s">
        <v>54</v>
      </c>
      <c r="V954" t="s">
        <v>69</v>
      </c>
      <c r="W954" t="str">
        <f t="shared" si="70"/>
        <v>41-50</v>
      </c>
      <c r="X954" t="str">
        <f t="shared" si="71"/>
        <v>0-5 yrs</v>
      </c>
      <c r="Y954" t="str">
        <f t="shared" si="72"/>
        <v>Oct</v>
      </c>
      <c r="Z954">
        <f t="shared" si="73"/>
        <v>2025</v>
      </c>
      <c r="AA954">
        <f t="shared" si="74"/>
        <v>0</v>
      </c>
    </row>
    <row r="955" spans="1:27" ht="15" customHeight="1" x14ac:dyDescent="0.3">
      <c r="A955" t="s">
        <v>1610</v>
      </c>
      <c r="B955" s="20">
        <v>45809</v>
      </c>
      <c r="C955" t="s">
        <v>566</v>
      </c>
      <c r="D955" t="s">
        <v>35</v>
      </c>
      <c r="E955" s="37">
        <v>26</v>
      </c>
      <c r="F955" t="s">
        <v>123</v>
      </c>
      <c r="G955" t="s">
        <v>124</v>
      </c>
      <c r="H955" t="s">
        <v>59</v>
      </c>
      <c r="I955" t="s">
        <v>60</v>
      </c>
      <c r="J955" t="s">
        <v>141</v>
      </c>
      <c r="K955" s="37">
        <v>16</v>
      </c>
      <c r="L955" t="s">
        <v>52</v>
      </c>
      <c r="M955" s="21">
        <v>119200</v>
      </c>
      <c r="N955" s="21">
        <v>1602048</v>
      </c>
      <c r="O955" s="21">
        <v>171648</v>
      </c>
      <c r="P955" s="37">
        <v>3</v>
      </c>
      <c r="Q955" t="s">
        <v>42</v>
      </c>
      <c r="R955" s="37">
        <v>9</v>
      </c>
      <c r="S955" s="37">
        <v>29</v>
      </c>
      <c r="T955" t="s">
        <v>105</v>
      </c>
      <c r="U955" t="s">
        <v>63</v>
      </c>
      <c r="V955" t="s">
        <v>69</v>
      </c>
      <c r="W955" t="str">
        <f t="shared" si="70"/>
        <v>22-30</v>
      </c>
      <c r="X955" t="str">
        <f t="shared" si="71"/>
        <v>11-20 yrs</v>
      </c>
      <c r="Y955" t="str">
        <f t="shared" si="72"/>
        <v>Jun</v>
      </c>
      <c r="Z955">
        <f t="shared" si="73"/>
        <v>2025</v>
      </c>
      <c r="AA955">
        <f t="shared" si="74"/>
        <v>0</v>
      </c>
    </row>
    <row r="956" spans="1:27" ht="15" customHeight="1" x14ac:dyDescent="0.3">
      <c r="A956" t="s">
        <v>1611</v>
      </c>
      <c r="B956" s="20">
        <v>45809</v>
      </c>
      <c r="C956" t="s">
        <v>1612</v>
      </c>
      <c r="D956" t="s">
        <v>35</v>
      </c>
      <c r="E956" s="37">
        <v>33</v>
      </c>
      <c r="F956" t="s">
        <v>57</v>
      </c>
      <c r="G956" t="s">
        <v>58</v>
      </c>
      <c r="H956" t="s">
        <v>66</v>
      </c>
      <c r="I956" t="s">
        <v>82</v>
      </c>
      <c r="J956" t="s">
        <v>161</v>
      </c>
      <c r="K956" s="37">
        <v>17</v>
      </c>
      <c r="L956" t="s">
        <v>52</v>
      </c>
      <c r="M956" s="21">
        <v>76400</v>
      </c>
      <c r="N956" s="21">
        <v>1017648</v>
      </c>
      <c r="O956" s="21">
        <v>100848</v>
      </c>
      <c r="P956" s="37">
        <v>3</v>
      </c>
      <c r="Q956" t="s">
        <v>126</v>
      </c>
      <c r="R956" s="37">
        <v>10</v>
      </c>
      <c r="S956" s="37">
        <v>4</v>
      </c>
      <c r="T956" t="s">
        <v>62</v>
      </c>
      <c r="U956" t="s">
        <v>63</v>
      </c>
      <c r="V956" t="s">
        <v>45</v>
      </c>
      <c r="W956" t="str">
        <f t="shared" si="70"/>
        <v>31-40</v>
      </c>
      <c r="X956" t="str">
        <f t="shared" si="71"/>
        <v>11-20 yrs</v>
      </c>
      <c r="Y956" t="str">
        <f t="shared" si="72"/>
        <v>Jun</v>
      </c>
      <c r="Z956">
        <f t="shared" si="73"/>
        <v>2025</v>
      </c>
      <c r="AA956">
        <f t="shared" si="74"/>
        <v>1</v>
      </c>
    </row>
    <row r="957" spans="1:27" ht="15" customHeight="1" x14ac:dyDescent="0.3">
      <c r="A957" t="s">
        <v>1613</v>
      </c>
      <c r="B957" s="20">
        <v>45700</v>
      </c>
      <c r="C957" t="s">
        <v>473</v>
      </c>
      <c r="D957" t="s">
        <v>35</v>
      </c>
      <c r="E957" s="37">
        <v>45</v>
      </c>
      <c r="F957" t="s">
        <v>49</v>
      </c>
      <c r="G957" t="s">
        <v>50</v>
      </c>
      <c r="H957" t="s">
        <v>38</v>
      </c>
      <c r="I957" t="s">
        <v>82</v>
      </c>
      <c r="J957" t="s">
        <v>190</v>
      </c>
      <c r="K957" s="37">
        <v>15</v>
      </c>
      <c r="L957" t="s">
        <v>52</v>
      </c>
      <c r="M957" s="21">
        <v>52500</v>
      </c>
      <c r="N957" s="21">
        <v>730800</v>
      </c>
      <c r="O957" s="21">
        <v>100800</v>
      </c>
      <c r="P957" s="37">
        <v>3</v>
      </c>
      <c r="Q957" t="s">
        <v>42</v>
      </c>
      <c r="R957" s="37">
        <v>13</v>
      </c>
      <c r="S957" s="37">
        <v>20</v>
      </c>
      <c r="T957" t="s">
        <v>105</v>
      </c>
      <c r="U957" t="s">
        <v>63</v>
      </c>
      <c r="V957" t="s">
        <v>69</v>
      </c>
      <c r="W957" t="str">
        <f t="shared" si="70"/>
        <v>41-50</v>
      </c>
      <c r="X957" t="str">
        <f t="shared" si="71"/>
        <v>11-20 yrs</v>
      </c>
      <c r="Y957" t="str">
        <f t="shared" si="72"/>
        <v>Feb</v>
      </c>
      <c r="Z957">
        <f t="shared" si="73"/>
        <v>2025</v>
      </c>
      <c r="AA957">
        <f t="shared" si="74"/>
        <v>0</v>
      </c>
    </row>
    <row r="958" spans="1:27" ht="15" customHeight="1" x14ac:dyDescent="0.3">
      <c r="A958" t="s">
        <v>1614</v>
      </c>
      <c r="B958" s="20">
        <v>45678</v>
      </c>
      <c r="C958" t="s">
        <v>1615</v>
      </c>
      <c r="D958" t="s">
        <v>48</v>
      </c>
      <c r="E958" s="37">
        <v>30</v>
      </c>
      <c r="F958" t="s">
        <v>80</v>
      </c>
      <c r="G958" t="s">
        <v>81</v>
      </c>
      <c r="H958" t="s">
        <v>59</v>
      </c>
      <c r="I958" t="s">
        <v>39</v>
      </c>
      <c r="J958" t="s">
        <v>125</v>
      </c>
      <c r="K958" s="37">
        <v>25</v>
      </c>
      <c r="L958" t="s">
        <v>52</v>
      </c>
      <c r="M958" s="21">
        <v>29300</v>
      </c>
      <c r="N958" s="21">
        <v>383244</v>
      </c>
      <c r="O958" s="21">
        <v>31644</v>
      </c>
      <c r="P958" s="37">
        <v>3</v>
      </c>
      <c r="Q958" t="s">
        <v>42</v>
      </c>
      <c r="R958" s="37">
        <v>15</v>
      </c>
      <c r="S958" s="37">
        <v>31</v>
      </c>
      <c r="T958" t="s">
        <v>68</v>
      </c>
      <c r="U958" t="s">
        <v>44</v>
      </c>
      <c r="V958" t="s">
        <v>45</v>
      </c>
      <c r="W958" t="str">
        <f t="shared" si="70"/>
        <v>22-30</v>
      </c>
      <c r="X958" t="str">
        <f t="shared" si="71"/>
        <v>21-30 yrs</v>
      </c>
      <c r="Y958" t="str">
        <f t="shared" si="72"/>
        <v>Jan</v>
      </c>
      <c r="Z958">
        <f t="shared" si="73"/>
        <v>2025</v>
      </c>
      <c r="AA958">
        <f t="shared" si="74"/>
        <v>0</v>
      </c>
    </row>
    <row r="959" spans="1:27" ht="15" customHeight="1" x14ac:dyDescent="0.3">
      <c r="A959" t="s">
        <v>1616</v>
      </c>
      <c r="B959" s="20">
        <v>45860</v>
      </c>
      <c r="C959" t="s">
        <v>1010</v>
      </c>
      <c r="D959" t="s">
        <v>35</v>
      </c>
      <c r="E959" s="37">
        <v>50</v>
      </c>
      <c r="F959" t="s">
        <v>108</v>
      </c>
      <c r="G959" t="s">
        <v>109</v>
      </c>
      <c r="H959" t="s">
        <v>38</v>
      </c>
      <c r="I959" t="s">
        <v>75</v>
      </c>
      <c r="J959" t="s">
        <v>99</v>
      </c>
      <c r="K959" s="37">
        <v>27</v>
      </c>
      <c r="L959" t="s">
        <v>52</v>
      </c>
      <c r="M959" s="21">
        <v>100200</v>
      </c>
      <c r="N959" s="21">
        <v>1286568</v>
      </c>
      <c r="O959" s="21">
        <v>84168</v>
      </c>
      <c r="P959" s="37">
        <v>5</v>
      </c>
      <c r="Q959" t="s">
        <v>42</v>
      </c>
      <c r="R959" s="37">
        <v>0</v>
      </c>
      <c r="S959" s="37">
        <v>21</v>
      </c>
      <c r="T959" t="s">
        <v>43</v>
      </c>
      <c r="U959" t="s">
        <v>44</v>
      </c>
      <c r="V959" t="s">
        <v>69</v>
      </c>
      <c r="W959" t="str">
        <f t="shared" si="70"/>
        <v>41-50</v>
      </c>
      <c r="X959" t="str">
        <f t="shared" si="71"/>
        <v>21-30 yrs</v>
      </c>
      <c r="Y959" t="str">
        <f t="shared" si="72"/>
        <v>Jul</v>
      </c>
      <c r="Z959">
        <f t="shared" si="73"/>
        <v>2025</v>
      </c>
      <c r="AA959">
        <f t="shared" si="74"/>
        <v>0</v>
      </c>
    </row>
    <row r="960" spans="1:27" ht="15" customHeight="1" x14ac:dyDescent="0.3">
      <c r="A960" t="s">
        <v>1617</v>
      </c>
      <c r="B960" s="20">
        <v>45893</v>
      </c>
      <c r="C960" t="s">
        <v>1334</v>
      </c>
      <c r="D960" t="s">
        <v>35</v>
      </c>
      <c r="E960" s="37">
        <v>28</v>
      </c>
      <c r="F960" t="s">
        <v>36</v>
      </c>
      <c r="G960" t="s">
        <v>37</v>
      </c>
      <c r="H960" t="s">
        <v>74</v>
      </c>
      <c r="I960" t="s">
        <v>75</v>
      </c>
      <c r="J960" t="s">
        <v>367</v>
      </c>
      <c r="K960" s="37">
        <v>6</v>
      </c>
      <c r="L960" t="s">
        <v>52</v>
      </c>
      <c r="M960" s="21">
        <v>86600</v>
      </c>
      <c r="N960" s="21">
        <v>1205472</v>
      </c>
      <c r="O960" s="21">
        <v>166272</v>
      </c>
      <c r="P960" s="37">
        <v>5</v>
      </c>
      <c r="Q960" t="s">
        <v>42</v>
      </c>
      <c r="R960" s="37">
        <v>18</v>
      </c>
      <c r="S960" s="37">
        <v>20</v>
      </c>
      <c r="T960" t="s">
        <v>43</v>
      </c>
      <c r="U960" t="s">
        <v>44</v>
      </c>
      <c r="V960" t="s">
        <v>69</v>
      </c>
      <c r="W960" t="str">
        <f t="shared" si="70"/>
        <v>22-30</v>
      </c>
      <c r="X960" t="str">
        <f t="shared" si="71"/>
        <v>6-10 yrs</v>
      </c>
      <c r="Y960" t="str">
        <f t="shared" si="72"/>
        <v>Aug</v>
      </c>
      <c r="Z960">
        <f t="shared" si="73"/>
        <v>2025</v>
      </c>
      <c r="AA960">
        <f t="shared" si="74"/>
        <v>0</v>
      </c>
    </row>
    <row r="961" spans="1:27" ht="15" customHeight="1" x14ac:dyDescent="0.3">
      <c r="A961" t="s">
        <v>1618</v>
      </c>
      <c r="B961" s="20">
        <v>45800</v>
      </c>
      <c r="C961" t="s">
        <v>1619</v>
      </c>
      <c r="D961" t="s">
        <v>35</v>
      </c>
      <c r="E961" s="37">
        <v>55</v>
      </c>
      <c r="F961" t="s">
        <v>80</v>
      </c>
      <c r="G961" t="s">
        <v>81</v>
      </c>
      <c r="H961" t="s">
        <v>74</v>
      </c>
      <c r="I961" t="s">
        <v>75</v>
      </c>
      <c r="J961" t="s">
        <v>76</v>
      </c>
      <c r="K961" s="37">
        <v>29</v>
      </c>
      <c r="L961" t="s">
        <v>52</v>
      </c>
      <c r="M961" s="21">
        <v>82000</v>
      </c>
      <c r="N961" s="21">
        <v>1102080</v>
      </c>
      <c r="O961" s="21">
        <v>118080</v>
      </c>
      <c r="P961" s="37">
        <v>3</v>
      </c>
      <c r="Q961" t="s">
        <v>42</v>
      </c>
      <c r="R961" s="37">
        <v>9</v>
      </c>
      <c r="S961" s="37">
        <v>34</v>
      </c>
      <c r="T961" t="s">
        <v>94</v>
      </c>
      <c r="U961" t="s">
        <v>44</v>
      </c>
      <c r="V961" t="s">
        <v>45</v>
      </c>
      <c r="W961" t="str">
        <f t="shared" si="70"/>
        <v>51-58</v>
      </c>
      <c r="X961" t="str">
        <f t="shared" si="71"/>
        <v>21-30 yrs</v>
      </c>
      <c r="Y961" t="str">
        <f t="shared" si="72"/>
        <v>May</v>
      </c>
      <c r="Z961">
        <f t="shared" si="73"/>
        <v>2025</v>
      </c>
      <c r="AA961">
        <f t="shared" si="74"/>
        <v>0</v>
      </c>
    </row>
    <row r="962" spans="1:27" ht="15" customHeight="1" x14ac:dyDescent="0.3">
      <c r="A962" t="s">
        <v>1620</v>
      </c>
      <c r="B962" s="20">
        <v>45972</v>
      </c>
      <c r="C962" t="s">
        <v>376</v>
      </c>
      <c r="D962" t="s">
        <v>48</v>
      </c>
      <c r="E962" s="37">
        <v>39</v>
      </c>
      <c r="F962" t="s">
        <v>49</v>
      </c>
      <c r="G962" t="s">
        <v>50</v>
      </c>
      <c r="H962" t="s">
        <v>38</v>
      </c>
      <c r="I962" t="s">
        <v>60</v>
      </c>
      <c r="J962" t="s">
        <v>99</v>
      </c>
      <c r="K962" s="37">
        <v>13</v>
      </c>
      <c r="L962" t="s">
        <v>52</v>
      </c>
      <c r="M962" s="21">
        <v>118100</v>
      </c>
      <c r="N962" s="21">
        <v>1488060</v>
      </c>
      <c r="O962" s="21">
        <v>70860</v>
      </c>
      <c r="P962" s="37">
        <v>5</v>
      </c>
      <c r="Q962" t="s">
        <v>42</v>
      </c>
      <c r="R962" s="37">
        <v>6</v>
      </c>
      <c r="S962" s="37">
        <v>38</v>
      </c>
      <c r="T962" t="s">
        <v>129</v>
      </c>
      <c r="U962" t="s">
        <v>44</v>
      </c>
      <c r="V962" t="s">
        <v>45</v>
      </c>
      <c r="W962" t="str">
        <f t="shared" ref="W962:W1001" si="75">IF(E962&lt;=30,"22-30",IF(E962&lt;=40,"31-40",IF(E962&lt;=50,"41-50","51-58")))</f>
        <v>31-40</v>
      </c>
      <c r="X962" t="str">
        <f t="shared" ref="X962:X1001" si="76">IF(K962&lt;=5,"0-5 yrs",IF(K962&lt;=10,"6-10 yrs",IF(K962&lt;=20,"11-20 yrs","21-30 yrs")))</f>
        <v>11-20 yrs</v>
      </c>
      <c r="Y962" t="str">
        <f t="shared" ref="Y962:Y1001" si="77">TEXT(B962,"mmm")</f>
        <v>Nov</v>
      </c>
      <c r="Z962">
        <f t="shared" ref="Z962:Z1001" si="78">YEAR(B962)</f>
        <v>2025</v>
      </c>
      <c r="AA962">
        <f t="shared" ref="AA962:AA1001" si="79">IF(Q962="Yes",1,0)</f>
        <v>0</v>
      </c>
    </row>
    <row r="963" spans="1:27" ht="15" customHeight="1" x14ac:dyDescent="0.3">
      <c r="A963" t="s">
        <v>1621</v>
      </c>
      <c r="B963" s="20">
        <v>45858</v>
      </c>
      <c r="C963" t="s">
        <v>210</v>
      </c>
      <c r="D963" t="s">
        <v>35</v>
      </c>
      <c r="E963" s="37">
        <v>53</v>
      </c>
      <c r="F963" t="s">
        <v>80</v>
      </c>
      <c r="G963" t="s">
        <v>81</v>
      </c>
      <c r="H963" t="s">
        <v>74</v>
      </c>
      <c r="I963" t="s">
        <v>51</v>
      </c>
      <c r="J963" t="s">
        <v>152</v>
      </c>
      <c r="K963" s="37">
        <v>23</v>
      </c>
      <c r="L963" t="s">
        <v>41</v>
      </c>
      <c r="M963" s="21">
        <v>236200</v>
      </c>
      <c r="N963" s="21">
        <v>3174528</v>
      </c>
      <c r="O963" s="21">
        <v>340128</v>
      </c>
      <c r="P963" s="37">
        <v>3</v>
      </c>
      <c r="Q963" t="s">
        <v>42</v>
      </c>
      <c r="R963" s="37">
        <v>15</v>
      </c>
      <c r="S963" s="37">
        <v>35</v>
      </c>
      <c r="T963" t="s">
        <v>94</v>
      </c>
      <c r="U963" t="s">
        <v>44</v>
      </c>
      <c r="V963" t="s">
        <v>69</v>
      </c>
      <c r="W963" t="str">
        <f t="shared" si="75"/>
        <v>51-58</v>
      </c>
      <c r="X963" t="str">
        <f t="shared" si="76"/>
        <v>21-30 yrs</v>
      </c>
      <c r="Y963" t="str">
        <f t="shared" si="77"/>
        <v>Jul</v>
      </c>
      <c r="Z963">
        <f t="shared" si="78"/>
        <v>2025</v>
      </c>
      <c r="AA963">
        <f t="shared" si="79"/>
        <v>0</v>
      </c>
    </row>
    <row r="964" spans="1:27" ht="15" customHeight="1" x14ac:dyDescent="0.3">
      <c r="A964" t="s">
        <v>1622</v>
      </c>
      <c r="B964" s="20">
        <v>45730</v>
      </c>
      <c r="C964" t="s">
        <v>1623</v>
      </c>
      <c r="D964" t="s">
        <v>35</v>
      </c>
      <c r="E964" s="37">
        <v>31</v>
      </c>
      <c r="F964" t="s">
        <v>108</v>
      </c>
      <c r="G964" t="s">
        <v>109</v>
      </c>
      <c r="H964" t="s">
        <v>118</v>
      </c>
      <c r="I964" t="s">
        <v>82</v>
      </c>
      <c r="J964" t="s">
        <v>219</v>
      </c>
      <c r="K964" s="37">
        <v>13</v>
      </c>
      <c r="L964" t="s">
        <v>52</v>
      </c>
      <c r="M964" s="21">
        <v>47400</v>
      </c>
      <c r="N964" s="21">
        <v>614304</v>
      </c>
      <c r="O964" s="21">
        <v>45504</v>
      </c>
      <c r="P964" s="37">
        <v>4</v>
      </c>
      <c r="Q964" t="s">
        <v>126</v>
      </c>
      <c r="R964" s="37">
        <v>19</v>
      </c>
      <c r="S964" s="37">
        <v>39</v>
      </c>
      <c r="T964" t="s">
        <v>94</v>
      </c>
      <c r="U964" t="s">
        <v>44</v>
      </c>
      <c r="V964" t="s">
        <v>69</v>
      </c>
      <c r="W964" t="str">
        <f t="shared" si="75"/>
        <v>31-40</v>
      </c>
      <c r="X964" t="str">
        <f t="shared" si="76"/>
        <v>11-20 yrs</v>
      </c>
      <c r="Y964" t="str">
        <f t="shared" si="77"/>
        <v>Mar</v>
      </c>
      <c r="Z964">
        <f t="shared" si="78"/>
        <v>2025</v>
      </c>
      <c r="AA964">
        <f t="shared" si="79"/>
        <v>1</v>
      </c>
    </row>
    <row r="965" spans="1:27" ht="15" customHeight="1" x14ac:dyDescent="0.3">
      <c r="A965" t="s">
        <v>1624</v>
      </c>
      <c r="B965" s="20">
        <v>45809</v>
      </c>
      <c r="C965" t="s">
        <v>1625</v>
      </c>
      <c r="D965" t="s">
        <v>35</v>
      </c>
      <c r="E965" s="37">
        <v>37</v>
      </c>
      <c r="F965" t="s">
        <v>91</v>
      </c>
      <c r="G965" t="s">
        <v>92</v>
      </c>
      <c r="H965" t="s">
        <v>38</v>
      </c>
      <c r="I965" t="s">
        <v>39</v>
      </c>
      <c r="J965" t="s">
        <v>134</v>
      </c>
      <c r="K965" s="37">
        <v>20</v>
      </c>
      <c r="L965" t="s">
        <v>52</v>
      </c>
      <c r="M965" s="21">
        <v>34400</v>
      </c>
      <c r="N965" s="21">
        <v>478847</v>
      </c>
      <c r="O965" s="21">
        <v>66048</v>
      </c>
      <c r="P965" s="37">
        <v>4</v>
      </c>
      <c r="Q965" t="s">
        <v>42</v>
      </c>
      <c r="R965" s="37">
        <v>1</v>
      </c>
      <c r="S965" s="37">
        <v>32</v>
      </c>
      <c r="T965" t="s">
        <v>175</v>
      </c>
      <c r="U965" t="s">
        <v>44</v>
      </c>
      <c r="V965" t="s">
        <v>69</v>
      </c>
      <c r="W965" t="str">
        <f t="shared" si="75"/>
        <v>31-40</v>
      </c>
      <c r="X965" t="str">
        <f t="shared" si="76"/>
        <v>11-20 yrs</v>
      </c>
      <c r="Y965" t="str">
        <f t="shared" si="77"/>
        <v>Jun</v>
      </c>
      <c r="Z965">
        <f t="shared" si="78"/>
        <v>2025</v>
      </c>
      <c r="AA965">
        <f t="shared" si="79"/>
        <v>0</v>
      </c>
    </row>
    <row r="966" spans="1:27" ht="15" customHeight="1" x14ac:dyDescent="0.3">
      <c r="A966" t="s">
        <v>1626</v>
      </c>
      <c r="B966" s="20">
        <v>45884</v>
      </c>
      <c r="C966" t="s">
        <v>194</v>
      </c>
      <c r="D966" t="s">
        <v>48</v>
      </c>
      <c r="E966" s="37">
        <v>39</v>
      </c>
      <c r="F966" t="s">
        <v>72</v>
      </c>
      <c r="G966" t="s">
        <v>73</v>
      </c>
      <c r="H966" t="s">
        <v>118</v>
      </c>
      <c r="I966" t="s">
        <v>39</v>
      </c>
      <c r="J966" t="s">
        <v>182</v>
      </c>
      <c r="K966" s="37">
        <v>14</v>
      </c>
      <c r="L966" t="s">
        <v>52</v>
      </c>
      <c r="M966" s="21">
        <v>34600</v>
      </c>
      <c r="N966" s="21">
        <v>473328</v>
      </c>
      <c r="O966" s="21">
        <v>58128</v>
      </c>
      <c r="P966" s="37">
        <v>4</v>
      </c>
      <c r="Q966" t="s">
        <v>42</v>
      </c>
      <c r="R966" s="37">
        <v>16</v>
      </c>
      <c r="S966" s="37">
        <v>31</v>
      </c>
      <c r="T966" t="s">
        <v>175</v>
      </c>
      <c r="U966" t="s">
        <v>63</v>
      </c>
      <c r="V966" t="s">
        <v>45</v>
      </c>
      <c r="W966" t="str">
        <f t="shared" si="75"/>
        <v>31-40</v>
      </c>
      <c r="X966" t="str">
        <f t="shared" si="76"/>
        <v>11-20 yrs</v>
      </c>
      <c r="Y966" t="str">
        <f t="shared" si="77"/>
        <v>Aug</v>
      </c>
      <c r="Z966">
        <f t="shared" si="78"/>
        <v>2025</v>
      </c>
      <c r="AA966">
        <f t="shared" si="79"/>
        <v>0</v>
      </c>
    </row>
    <row r="967" spans="1:27" ht="15" customHeight="1" x14ac:dyDescent="0.3">
      <c r="A967" t="s">
        <v>1627</v>
      </c>
      <c r="B967" s="20">
        <v>45853</v>
      </c>
      <c r="C967" t="s">
        <v>1628</v>
      </c>
      <c r="D967" t="s">
        <v>48</v>
      </c>
      <c r="E967" s="37">
        <v>55</v>
      </c>
      <c r="F967" t="s">
        <v>72</v>
      </c>
      <c r="G967" t="s">
        <v>73</v>
      </c>
      <c r="H967" t="s">
        <v>66</v>
      </c>
      <c r="I967" t="s">
        <v>39</v>
      </c>
      <c r="J967" t="s">
        <v>67</v>
      </c>
      <c r="K967" s="37">
        <v>19</v>
      </c>
      <c r="L967" t="s">
        <v>52</v>
      </c>
      <c r="M967" s="21">
        <v>49300</v>
      </c>
      <c r="N967" s="21">
        <v>686256</v>
      </c>
      <c r="O967" s="21">
        <v>94656</v>
      </c>
      <c r="P967" s="37">
        <v>4</v>
      </c>
      <c r="Q967" t="s">
        <v>42</v>
      </c>
      <c r="R967" s="37">
        <v>17</v>
      </c>
      <c r="S967" s="37">
        <v>13</v>
      </c>
      <c r="T967" t="s">
        <v>129</v>
      </c>
      <c r="U967" t="s">
        <v>44</v>
      </c>
      <c r="V967" t="s">
        <v>69</v>
      </c>
      <c r="W967" t="str">
        <f t="shared" si="75"/>
        <v>51-58</v>
      </c>
      <c r="X967" t="str">
        <f t="shared" si="76"/>
        <v>11-20 yrs</v>
      </c>
      <c r="Y967" t="str">
        <f t="shared" si="77"/>
        <v>Jul</v>
      </c>
      <c r="Z967">
        <f t="shared" si="78"/>
        <v>2025</v>
      </c>
      <c r="AA967">
        <f t="shared" si="79"/>
        <v>0</v>
      </c>
    </row>
    <row r="968" spans="1:27" ht="15" customHeight="1" x14ac:dyDescent="0.3">
      <c r="A968" t="s">
        <v>1629</v>
      </c>
      <c r="B968" s="20">
        <v>45793</v>
      </c>
      <c r="C968" t="s">
        <v>1630</v>
      </c>
      <c r="D968" t="s">
        <v>48</v>
      </c>
      <c r="E968" s="37">
        <v>32</v>
      </c>
      <c r="F968" t="s">
        <v>86</v>
      </c>
      <c r="G968" t="s">
        <v>87</v>
      </c>
      <c r="H968" t="s">
        <v>118</v>
      </c>
      <c r="I968" t="s">
        <v>60</v>
      </c>
      <c r="J968" t="s">
        <v>250</v>
      </c>
      <c r="K968" s="37">
        <v>3</v>
      </c>
      <c r="L968" t="s">
        <v>52</v>
      </c>
      <c r="M968" s="21">
        <v>116500</v>
      </c>
      <c r="N968" s="21">
        <v>1607699</v>
      </c>
      <c r="O968" s="21">
        <v>209700</v>
      </c>
      <c r="P968" s="37">
        <v>4</v>
      </c>
      <c r="Q968" t="s">
        <v>42</v>
      </c>
      <c r="R968" s="37">
        <v>7</v>
      </c>
      <c r="S968" s="37">
        <v>22</v>
      </c>
      <c r="T968" t="s">
        <v>68</v>
      </c>
      <c r="U968" t="s">
        <v>54</v>
      </c>
      <c r="V968" t="s">
        <v>69</v>
      </c>
      <c r="W968" t="str">
        <f t="shared" si="75"/>
        <v>31-40</v>
      </c>
      <c r="X968" t="str">
        <f t="shared" si="76"/>
        <v>0-5 yrs</v>
      </c>
      <c r="Y968" t="str">
        <f t="shared" si="77"/>
        <v>May</v>
      </c>
      <c r="Z968">
        <f t="shared" si="78"/>
        <v>2025</v>
      </c>
      <c r="AA968">
        <f t="shared" si="79"/>
        <v>0</v>
      </c>
    </row>
    <row r="969" spans="1:27" ht="15" customHeight="1" x14ac:dyDescent="0.3">
      <c r="A969" t="s">
        <v>1631</v>
      </c>
      <c r="B969" s="20">
        <v>45827</v>
      </c>
      <c r="C969" t="s">
        <v>1331</v>
      </c>
      <c r="D969" t="s">
        <v>48</v>
      </c>
      <c r="E969" s="37">
        <v>53</v>
      </c>
      <c r="F969" t="s">
        <v>97</v>
      </c>
      <c r="G969" t="s">
        <v>98</v>
      </c>
      <c r="H969" t="s">
        <v>74</v>
      </c>
      <c r="I969" t="s">
        <v>75</v>
      </c>
      <c r="J969" t="s">
        <v>76</v>
      </c>
      <c r="K969" s="37">
        <v>16</v>
      </c>
      <c r="L969" t="s">
        <v>41</v>
      </c>
      <c r="M969" s="21">
        <v>98000</v>
      </c>
      <c r="N969" s="21">
        <v>1305360</v>
      </c>
      <c r="O969" s="21">
        <v>129360</v>
      </c>
      <c r="P969" s="37">
        <v>2</v>
      </c>
      <c r="Q969" t="s">
        <v>42</v>
      </c>
      <c r="R969" s="37">
        <v>12</v>
      </c>
      <c r="S969" s="37">
        <v>10</v>
      </c>
      <c r="T969" t="s">
        <v>129</v>
      </c>
      <c r="U969" t="s">
        <v>44</v>
      </c>
      <c r="V969" t="s">
        <v>45</v>
      </c>
      <c r="W969" t="str">
        <f t="shared" si="75"/>
        <v>51-58</v>
      </c>
      <c r="X969" t="str">
        <f t="shared" si="76"/>
        <v>11-20 yrs</v>
      </c>
      <c r="Y969" t="str">
        <f t="shared" si="77"/>
        <v>Jun</v>
      </c>
      <c r="Z969">
        <f t="shared" si="78"/>
        <v>2025</v>
      </c>
      <c r="AA969">
        <f t="shared" si="79"/>
        <v>0</v>
      </c>
    </row>
    <row r="970" spans="1:27" ht="15" customHeight="1" x14ac:dyDescent="0.3">
      <c r="A970" t="s">
        <v>1632</v>
      </c>
      <c r="B970" s="20">
        <v>45948</v>
      </c>
      <c r="C970" t="s">
        <v>1291</v>
      </c>
      <c r="D970" t="s">
        <v>35</v>
      </c>
      <c r="E970" s="37">
        <v>26</v>
      </c>
      <c r="F970" t="s">
        <v>72</v>
      </c>
      <c r="G970" t="s">
        <v>73</v>
      </c>
      <c r="H970" t="s">
        <v>66</v>
      </c>
      <c r="I970" t="s">
        <v>39</v>
      </c>
      <c r="J970" t="s">
        <v>149</v>
      </c>
      <c r="K970" s="37">
        <v>8</v>
      </c>
      <c r="L970" t="s">
        <v>52</v>
      </c>
      <c r="M970" s="21">
        <v>45100</v>
      </c>
      <c r="N970" s="21">
        <v>644028</v>
      </c>
      <c r="O970" s="21">
        <v>102828</v>
      </c>
      <c r="P970" s="37">
        <v>5</v>
      </c>
      <c r="Q970" t="s">
        <v>126</v>
      </c>
      <c r="R970" s="37">
        <v>0</v>
      </c>
      <c r="S970" s="37">
        <v>34</v>
      </c>
      <c r="T970" t="s">
        <v>129</v>
      </c>
      <c r="U970" t="s">
        <v>63</v>
      </c>
      <c r="V970" t="s">
        <v>69</v>
      </c>
      <c r="W970" t="str">
        <f t="shared" si="75"/>
        <v>22-30</v>
      </c>
      <c r="X970" t="str">
        <f t="shared" si="76"/>
        <v>6-10 yrs</v>
      </c>
      <c r="Y970" t="str">
        <f t="shared" si="77"/>
        <v>Oct</v>
      </c>
      <c r="Z970">
        <f t="shared" si="78"/>
        <v>2025</v>
      </c>
      <c r="AA970">
        <f t="shared" si="79"/>
        <v>1</v>
      </c>
    </row>
    <row r="971" spans="1:27" ht="15" customHeight="1" x14ac:dyDescent="0.3">
      <c r="A971" t="s">
        <v>1633</v>
      </c>
      <c r="B971" s="20">
        <v>45773</v>
      </c>
      <c r="C971" t="s">
        <v>1079</v>
      </c>
      <c r="D971" t="s">
        <v>35</v>
      </c>
      <c r="E971" s="37">
        <v>56</v>
      </c>
      <c r="F971" t="s">
        <v>86</v>
      </c>
      <c r="G971" t="s">
        <v>87</v>
      </c>
      <c r="H971" t="s">
        <v>38</v>
      </c>
      <c r="I971" t="s">
        <v>75</v>
      </c>
      <c r="J971" t="s">
        <v>190</v>
      </c>
      <c r="K971" s="37">
        <v>12</v>
      </c>
      <c r="L971" t="s">
        <v>41</v>
      </c>
      <c r="M971" s="21">
        <v>77800</v>
      </c>
      <c r="N971" s="21">
        <v>1110984</v>
      </c>
      <c r="O971" s="21">
        <v>177384</v>
      </c>
      <c r="P971" s="37">
        <v>5</v>
      </c>
      <c r="Q971" t="s">
        <v>42</v>
      </c>
      <c r="R971" s="37">
        <v>16</v>
      </c>
      <c r="S971" s="37">
        <v>40</v>
      </c>
      <c r="T971" t="s">
        <v>129</v>
      </c>
      <c r="U971" t="s">
        <v>44</v>
      </c>
      <c r="V971" t="s">
        <v>45</v>
      </c>
      <c r="W971" t="str">
        <f t="shared" si="75"/>
        <v>51-58</v>
      </c>
      <c r="X971" t="str">
        <f t="shared" si="76"/>
        <v>11-20 yrs</v>
      </c>
      <c r="Y971" t="str">
        <f t="shared" si="77"/>
        <v>Apr</v>
      </c>
      <c r="Z971">
        <f t="shared" si="78"/>
        <v>2025</v>
      </c>
      <c r="AA971">
        <f t="shared" si="79"/>
        <v>0</v>
      </c>
    </row>
    <row r="972" spans="1:27" ht="15" customHeight="1" x14ac:dyDescent="0.3">
      <c r="A972" t="s">
        <v>1634</v>
      </c>
      <c r="B972" s="20">
        <v>45947</v>
      </c>
      <c r="C972" t="s">
        <v>890</v>
      </c>
      <c r="D972" t="s">
        <v>35</v>
      </c>
      <c r="E972" s="37">
        <v>56</v>
      </c>
      <c r="F972" t="s">
        <v>91</v>
      </c>
      <c r="G972" t="s">
        <v>92</v>
      </c>
      <c r="H972" t="s">
        <v>74</v>
      </c>
      <c r="I972" t="s">
        <v>39</v>
      </c>
      <c r="J972" t="s">
        <v>367</v>
      </c>
      <c r="K972" s="37">
        <v>25</v>
      </c>
      <c r="L972" t="s">
        <v>52</v>
      </c>
      <c r="M972" s="21">
        <v>43200</v>
      </c>
      <c r="N972" s="21">
        <v>580608</v>
      </c>
      <c r="O972" s="21">
        <v>62208</v>
      </c>
      <c r="P972" s="37">
        <v>5</v>
      </c>
      <c r="Q972" t="s">
        <v>42</v>
      </c>
      <c r="R972" s="37">
        <v>2</v>
      </c>
      <c r="S972" s="37">
        <v>26</v>
      </c>
      <c r="T972" t="s">
        <v>175</v>
      </c>
      <c r="U972" t="s">
        <v>44</v>
      </c>
      <c r="V972" t="s">
        <v>45</v>
      </c>
      <c r="W972" t="str">
        <f t="shared" si="75"/>
        <v>51-58</v>
      </c>
      <c r="X972" t="str">
        <f t="shared" si="76"/>
        <v>21-30 yrs</v>
      </c>
      <c r="Y972" t="str">
        <f t="shared" si="77"/>
        <v>Oct</v>
      </c>
      <c r="Z972">
        <f t="shared" si="78"/>
        <v>2025</v>
      </c>
      <c r="AA972">
        <f t="shared" si="79"/>
        <v>0</v>
      </c>
    </row>
    <row r="973" spans="1:27" ht="15" customHeight="1" x14ac:dyDescent="0.3">
      <c r="A973" t="s">
        <v>1635</v>
      </c>
      <c r="B973" s="20">
        <v>45817</v>
      </c>
      <c r="C973" t="s">
        <v>1636</v>
      </c>
      <c r="D973" t="s">
        <v>48</v>
      </c>
      <c r="E973" s="37">
        <v>35</v>
      </c>
      <c r="F973" t="s">
        <v>49</v>
      </c>
      <c r="G973" t="s">
        <v>50</v>
      </c>
      <c r="H973" t="s">
        <v>59</v>
      </c>
      <c r="I973" t="s">
        <v>75</v>
      </c>
      <c r="J973" t="s">
        <v>88</v>
      </c>
      <c r="K973" s="37">
        <v>9</v>
      </c>
      <c r="L973" t="s">
        <v>120</v>
      </c>
      <c r="M973" s="21">
        <v>95400</v>
      </c>
      <c r="N973" s="21">
        <v>1236384</v>
      </c>
      <c r="O973" s="21">
        <v>91584</v>
      </c>
      <c r="P973" s="37">
        <v>3</v>
      </c>
      <c r="Q973" t="s">
        <v>42</v>
      </c>
      <c r="R973" s="37">
        <v>11</v>
      </c>
      <c r="S973" s="37">
        <v>29</v>
      </c>
      <c r="T973" t="s">
        <v>94</v>
      </c>
      <c r="U973" t="s">
        <v>63</v>
      </c>
      <c r="V973" t="s">
        <v>45</v>
      </c>
      <c r="W973" t="str">
        <f t="shared" si="75"/>
        <v>31-40</v>
      </c>
      <c r="X973" t="str">
        <f t="shared" si="76"/>
        <v>6-10 yrs</v>
      </c>
      <c r="Y973" t="str">
        <f t="shared" si="77"/>
        <v>Jun</v>
      </c>
      <c r="Z973">
        <f t="shared" si="78"/>
        <v>2025</v>
      </c>
      <c r="AA973">
        <f t="shared" si="79"/>
        <v>0</v>
      </c>
    </row>
    <row r="974" spans="1:27" ht="15" customHeight="1" x14ac:dyDescent="0.3">
      <c r="A974" t="s">
        <v>1637</v>
      </c>
      <c r="B974" s="20">
        <v>45865</v>
      </c>
      <c r="C974" t="s">
        <v>837</v>
      </c>
      <c r="D974" t="s">
        <v>48</v>
      </c>
      <c r="E974" s="37">
        <v>40</v>
      </c>
      <c r="F974" t="s">
        <v>86</v>
      </c>
      <c r="G974" t="s">
        <v>87</v>
      </c>
      <c r="H974" t="s">
        <v>38</v>
      </c>
      <c r="I974" t="s">
        <v>82</v>
      </c>
      <c r="J974" t="s">
        <v>134</v>
      </c>
      <c r="K974" s="37">
        <v>18</v>
      </c>
      <c r="L974" t="s">
        <v>52</v>
      </c>
      <c r="M974" s="21">
        <v>58200</v>
      </c>
      <c r="N974" s="21">
        <v>768240</v>
      </c>
      <c r="O974" s="21">
        <v>69840</v>
      </c>
      <c r="P974" s="37">
        <v>2</v>
      </c>
      <c r="Q974" t="s">
        <v>42</v>
      </c>
      <c r="R974" s="37">
        <v>11</v>
      </c>
      <c r="S974" s="37">
        <v>32</v>
      </c>
      <c r="T974" t="s">
        <v>105</v>
      </c>
      <c r="U974" t="s">
        <v>54</v>
      </c>
      <c r="V974" t="s">
        <v>69</v>
      </c>
      <c r="W974" t="str">
        <f t="shared" si="75"/>
        <v>31-40</v>
      </c>
      <c r="X974" t="str">
        <f t="shared" si="76"/>
        <v>11-20 yrs</v>
      </c>
      <c r="Y974" t="str">
        <f t="shared" si="77"/>
        <v>Jul</v>
      </c>
      <c r="Z974">
        <f t="shared" si="78"/>
        <v>2025</v>
      </c>
      <c r="AA974">
        <f t="shared" si="79"/>
        <v>0</v>
      </c>
    </row>
    <row r="975" spans="1:27" ht="15" customHeight="1" x14ac:dyDescent="0.3">
      <c r="A975" t="s">
        <v>1638</v>
      </c>
      <c r="B975" s="20">
        <v>45911</v>
      </c>
      <c r="C975" t="s">
        <v>1399</v>
      </c>
      <c r="D975" t="s">
        <v>35</v>
      </c>
      <c r="E975" s="37">
        <v>39</v>
      </c>
      <c r="F975" t="s">
        <v>108</v>
      </c>
      <c r="G975" t="s">
        <v>109</v>
      </c>
      <c r="H975" t="s">
        <v>38</v>
      </c>
      <c r="I975" t="s">
        <v>75</v>
      </c>
      <c r="J975" t="s">
        <v>110</v>
      </c>
      <c r="K975" s="37">
        <v>11</v>
      </c>
      <c r="L975" t="s">
        <v>52</v>
      </c>
      <c r="M975" s="21">
        <v>79000</v>
      </c>
      <c r="N975" s="21">
        <v>1128120</v>
      </c>
      <c r="O975" s="21">
        <v>180120</v>
      </c>
      <c r="P975" s="37">
        <v>2</v>
      </c>
      <c r="Q975" t="s">
        <v>42</v>
      </c>
      <c r="R975" s="37">
        <v>17</v>
      </c>
      <c r="S975" s="37">
        <v>14</v>
      </c>
      <c r="T975" t="s">
        <v>175</v>
      </c>
      <c r="U975" t="s">
        <v>44</v>
      </c>
      <c r="V975" t="s">
        <v>45</v>
      </c>
      <c r="W975" t="str">
        <f t="shared" si="75"/>
        <v>31-40</v>
      </c>
      <c r="X975" t="str">
        <f t="shared" si="76"/>
        <v>11-20 yrs</v>
      </c>
      <c r="Y975" t="str">
        <f t="shared" si="77"/>
        <v>Sep</v>
      </c>
      <c r="Z975">
        <f t="shared" si="78"/>
        <v>2025</v>
      </c>
      <c r="AA975">
        <f t="shared" si="79"/>
        <v>0</v>
      </c>
    </row>
    <row r="976" spans="1:27" ht="15" customHeight="1" x14ac:dyDescent="0.3">
      <c r="A976" t="s">
        <v>1639</v>
      </c>
      <c r="B976" s="20">
        <v>45767</v>
      </c>
      <c r="C976" t="s">
        <v>1156</v>
      </c>
      <c r="D976" t="s">
        <v>35</v>
      </c>
      <c r="E976" s="37">
        <v>52</v>
      </c>
      <c r="F976" t="s">
        <v>36</v>
      </c>
      <c r="G976" t="s">
        <v>37</v>
      </c>
      <c r="H976" t="s">
        <v>38</v>
      </c>
      <c r="I976" t="s">
        <v>82</v>
      </c>
      <c r="J976" t="s">
        <v>110</v>
      </c>
      <c r="K976" s="37">
        <v>20</v>
      </c>
      <c r="L976" t="s">
        <v>52</v>
      </c>
      <c r="M976" s="21">
        <v>48600</v>
      </c>
      <c r="N976" s="21">
        <v>664848</v>
      </c>
      <c r="O976" s="21">
        <v>81648</v>
      </c>
      <c r="P976" s="37">
        <v>3</v>
      </c>
      <c r="Q976" t="s">
        <v>42</v>
      </c>
      <c r="R976" s="37">
        <v>10</v>
      </c>
      <c r="S976" s="37">
        <v>4</v>
      </c>
      <c r="T976" t="s">
        <v>62</v>
      </c>
      <c r="U976" t="s">
        <v>44</v>
      </c>
      <c r="V976" t="s">
        <v>45</v>
      </c>
      <c r="W976" t="str">
        <f t="shared" si="75"/>
        <v>51-58</v>
      </c>
      <c r="X976" t="str">
        <f t="shared" si="76"/>
        <v>11-20 yrs</v>
      </c>
      <c r="Y976" t="str">
        <f t="shared" si="77"/>
        <v>Apr</v>
      </c>
      <c r="Z976">
        <f t="shared" si="78"/>
        <v>2025</v>
      </c>
      <c r="AA976">
        <f t="shared" si="79"/>
        <v>0</v>
      </c>
    </row>
    <row r="977" spans="1:27" ht="15" customHeight="1" x14ac:dyDescent="0.3">
      <c r="A977" t="s">
        <v>1640</v>
      </c>
      <c r="B977" s="20">
        <v>45969</v>
      </c>
      <c r="C977" t="s">
        <v>323</v>
      </c>
      <c r="D977" t="s">
        <v>35</v>
      </c>
      <c r="E977" s="37">
        <v>49</v>
      </c>
      <c r="F977" t="s">
        <v>49</v>
      </c>
      <c r="G977" t="s">
        <v>50</v>
      </c>
      <c r="H977" t="s">
        <v>38</v>
      </c>
      <c r="I977" t="s">
        <v>39</v>
      </c>
      <c r="J977" t="s">
        <v>110</v>
      </c>
      <c r="K977" s="37">
        <v>21</v>
      </c>
      <c r="L977" t="s">
        <v>52</v>
      </c>
      <c r="M977" s="21">
        <v>31400</v>
      </c>
      <c r="N977" s="21">
        <v>440856</v>
      </c>
      <c r="O977" s="21">
        <v>64056</v>
      </c>
      <c r="P977" s="37">
        <v>4</v>
      </c>
      <c r="Q977" t="s">
        <v>42</v>
      </c>
      <c r="R977" s="37">
        <v>11</v>
      </c>
      <c r="S977" s="37">
        <v>35</v>
      </c>
      <c r="T977" t="s">
        <v>129</v>
      </c>
      <c r="U977" t="s">
        <v>44</v>
      </c>
      <c r="V977" t="s">
        <v>45</v>
      </c>
      <c r="W977" t="str">
        <f t="shared" si="75"/>
        <v>41-50</v>
      </c>
      <c r="X977" t="str">
        <f t="shared" si="76"/>
        <v>21-30 yrs</v>
      </c>
      <c r="Y977" t="str">
        <f t="shared" si="77"/>
        <v>Nov</v>
      </c>
      <c r="Z977">
        <f t="shared" si="78"/>
        <v>2025</v>
      </c>
      <c r="AA977">
        <f t="shared" si="79"/>
        <v>0</v>
      </c>
    </row>
    <row r="978" spans="1:27" ht="15" customHeight="1" x14ac:dyDescent="0.3">
      <c r="A978" t="s">
        <v>1641</v>
      </c>
      <c r="B978" s="20">
        <v>45784</v>
      </c>
      <c r="C978" t="s">
        <v>951</v>
      </c>
      <c r="D978" t="s">
        <v>35</v>
      </c>
      <c r="E978" s="37">
        <v>36</v>
      </c>
      <c r="F978" t="s">
        <v>57</v>
      </c>
      <c r="G978" t="s">
        <v>58</v>
      </c>
      <c r="H978" t="s">
        <v>74</v>
      </c>
      <c r="I978" t="s">
        <v>60</v>
      </c>
      <c r="J978" t="s">
        <v>367</v>
      </c>
      <c r="K978" s="37">
        <v>13</v>
      </c>
      <c r="L978" t="s">
        <v>52</v>
      </c>
      <c r="M978" s="21">
        <v>135900</v>
      </c>
      <c r="N978" s="21">
        <v>1908036</v>
      </c>
      <c r="O978" s="21">
        <v>277236</v>
      </c>
      <c r="P978" s="37">
        <v>5</v>
      </c>
      <c r="Q978" t="s">
        <v>42</v>
      </c>
      <c r="R978" s="37">
        <v>1</v>
      </c>
      <c r="S978" s="37">
        <v>27</v>
      </c>
      <c r="T978" t="s">
        <v>175</v>
      </c>
      <c r="U978" t="s">
        <v>63</v>
      </c>
      <c r="V978" t="s">
        <v>69</v>
      </c>
      <c r="W978" t="str">
        <f t="shared" si="75"/>
        <v>31-40</v>
      </c>
      <c r="X978" t="str">
        <f t="shared" si="76"/>
        <v>11-20 yrs</v>
      </c>
      <c r="Y978" t="str">
        <f t="shared" si="77"/>
        <v>May</v>
      </c>
      <c r="Z978">
        <f t="shared" si="78"/>
        <v>2025</v>
      </c>
      <c r="AA978">
        <f t="shared" si="79"/>
        <v>0</v>
      </c>
    </row>
    <row r="979" spans="1:27" ht="15" customHeight="1" x14ac:dyDescent="0.3">
      <c r="A979" t="s">
        <v>1642</v>
      </c>
      <c r="B979" s="20">
        <v>45978</v>
      </c>
      <c r="C979" t="s">
        <v>1643</v>
      </c>
      <c r="D979" t="s">
        <v>35</v>
      </c>
      <c r="E979" s="37">
        <v>32</v>
      </c>
      <c r="F979" t="s">
        <v>108</v>
      </c>
      <c r="G979" t="s">
        <v>109</v>
      </c>
      <c r="H979" t="s">
        <v>66</v>
      </c>
      <c r="I979" t="s">
        <v>39</v>
      </c>
      <c r="J979" t="s">
        <v>93</v>
      </c>
      <c r="K979" s="37">
        <v>14</v>
      </c>
      <c r="L979" t="s">
        <v>52</v>
      </c>
      <c r="M979" s="21">
        <v>39700</v>
      </c>
      <c r="N979" s="21">
        <v>538332</v>
      </c>
      <c r="O979" s="21">
        <v>61932</v>
      </c>
      <c r="P979" s="37">
        <v>4</v>
      </c>
      <c r="Q979" t="s">
        <v>42</v>
      </c>
      <c r="R979" s="37">
        <v>19</v>
      </c>
      <c r="S979" s="37">
        <v>5</v>
      </c>
      <c r="T979" t="s">
        <v>68</v>
      </c>
      <c r="U979" t="s">
        <v>44</v>
      </c>
      <c r="V979" t="s">
        <v>45</v>
      </c>
      <c r="W979" t="str">
        <f t="shared" si="75"/>
        <v>31-40</v>
      </c>
      <c r="X979" t="str">
        <f t="shared" si="76"/>
        <v>11-20 yrs</v>
      </c>
      <c r="Y979" t="str">
        <f t="shared" si="77"/>
        <v>Nov</v>
      </c>
      <c r="Z979">
        <f t="shared" si="78"/>
        <v>2025</v>
      </c>
      <c r="AA979">
        <f t="shared" si="79"/>
        <v>0</v>
      </c>
    </row>
    <row r="980" spans="1:27" ht="15" customHeight="1" x14ac:dyDescent="0.3">
      <c r="A980" t="s">
        <v>1644</v>
      </c>
      <c r="B980" s="20">
        <v>45749</v>
      </c>
      <c r="C980" t="s">
        <v>1645</v>
      </c>
      <c r="D980" t="s">
        <v>48</v>
      </c>
      <c r="E980" s="37">
        <v>49</v>
      </c>
      <c r="F980" t="s">
        <v>108</v>
      </c>
      <c r="G980" t="s">
        <v>109</v>
      </c>
      <c r="H980" t="s">
        <v>38</v>
      </c>
      <c r="I980" t="s">
        <v>82</v>
      </c>
      <c r="J980" t="s">
        <v>110</v>
      </c>
      <c r="K980" s="37">
        <v>27</v>
      </c>
      <c r="L980" t="s">
        <v>52</v>
      </c>
      <c r="M980" s="21">
        <v>59300</v>
      </c>
      <c r="N980" s="21">
        <v>789876</v>
      </c>
      <c r="O980" s="21">
        <v>78276</v>
      </c>
      <c r="P980" s="37">
        <v>2</v>
      </c>
      <c r="Q980" t="s">
        <v>42</v>
      </c>
      <c r="R980" s="37">
        <v>8</v>
      </c>
      <c r="S980" s="37">
        <v>30</v>
      </c>
      <c r="T980" t="s">
        <v>43</v>
      </c>
      <c r="U980" t="s">
        <v>63</v>
      </c>
      <c r="V980" t="s">
        <v>69</v>
      </c>
      <c r="W980" t="str">
        <f t="shared" si="75"/>
        <v>41-50</v>
      </c>
      <c r="X980" t="str">
        <f t="shared" si="76"/>
        <v>21-30 yrs</v>
      </c>
      <c r="Y980" t="str">
        <f t="shared" si="77"/>
        <v>Apr</v>
      </c>
      <c r="Z980">
        <f t="shared" si="78"/>
        <v>2025</v>
      </c>
      <c r="AA980">
        <f t="shared" si="79"/>
        <v>0</v>
      </c>
    </row>
    <row r="981" spans="1:27" ht="15" customHeight="1" x14ac:dyDescent="0.3">
      <c r="A981" t="s">
        <v>1646</v>
      </c>
      <c r="B981" s="20">
        <v>45903</v>
      </c>
      <c r="C981" t="s">
        <v>145</v>
      </c>
      <c r="D981" t="s">
        <v>48</v>
      </c>
      <c r="E981" s="37">
        <v>57</v>
      </c>
      <c r="F981" t="s">
        <v>49</v>
      </c>
      <c r="G981" t="s">
        <v>50</v>
      </c>
      <c r="H981" t="s">
        <v>66</v>
      </c>
      <c r="I981" t="s">
        <v>75</v>
      </c>
      <c r="J981" t="s">
        <v>149</v>
      </c>
      <c r="K981" s="37">
        <v>29</v>
      </c>
      <c r="L981" t="s">
        <v>52</v>
      </c>
      <c r="M981" s="21">
        <v>118800</v>
      </c>
      <c r="N981" s="21">
        <v>1553904</v>
      </c>
      <c r="O981" s="21">
        <v>128304</v>
      </c>
      <c r="P981" s="37">
        <v>2</v>
      </c>
      <c r="Q981" t="s">
        <v>42</v>
      </c>
      <c r="R981" s="37">
        <v>9</v>
      </c>
      <c r="S981" s="37">
        <v>20</v>
      </c>
      <c r="T981" t="s">
        <v>68</v>
      </c>
      <c r="U981" t="s">
        <v>63</v>
      </c>
      <c r="V981" t="s">
        <v>45</v>
      </c>
      <c r="W981" t="str">
        <f t="shared" si="75"/>
        <v>51-58</v>
      </c>
      <c r="X981" t="str">
        <f t="shared" si="76"/>
        <v>21-30 yrs</v>
      </c>
      <c r="Y981" t="str">
        <f t="shared" si="77"/>
        <v>Sep</v>
      </c>
      <c r="Z981">
        <f t="shared" si="78"/>
        <v>2025</v>
      </c>
      <c r="AA981">
        <f t="shared" si="79"/>
        <v>0</v>
      </c>
    </row>
    <row r="982" spans="1:27" ht="15" customHeight="1" x14ac:dyDescent="0.3">
      <c r="A982" t="s">
        <v>1647</v>
      </c>
      <c r="B982" s="20">
        <v>45903</v>
      </c>
      <c r="C982" t="s">
        <v>1648</v>
      </c>
      <c r="D982" t="s">
        <v>35</v>
      </c>
      <c r="E982" s="37">
        <v>56</v>
      </c>
      <c r="F982" t="s">
        <v>49</v>
      </c>
      <c r="G982" t="s">
        <v>50</v>
      </c>
      <c r="H982" t="s">
        <v>66</v>
      </c>
      <c r="I982" t="s">
        <v>60</v>
      </c>
      <c r="J982" t="s">
        <v>149</v>
      </c>
      <c r="K982" s="37">
        <v>7</v>
      </c>
      <c r="L982" t="s">
        <v>41</v>
      </c>
      <c r="M982" s="21">
        <v>137400</v>
      </c>
      <c r="N982" s="21">
        <v>1780704</v>
      </c>
      <c r="O982" s="21">
        <v>131904</v>
      </c>
      <c r="P982" s="37">
        <v>4</v>
      </c>
      <c r="Q982" t="s">
        <v>42</v>
      </c>
      <c r="R982" s="37">
        <v>5</v>
      </c>
      <c r="S982" s="37">
        <v>20</v>
      </c>
      <c r="T982" t="s">
        <v>53</v>
      </c>
      <c r="U982" t="s">
        <v>63</v>
      </c>
      <c r="V982" t="s">
        <v>45</v>
      </c>
      <c r="W982" t="str">
        <f t="shared" si="75"/>
        <v>51-58</v>
      </c>
      <c r="X982" t="str">
        <f t="shared" si="76"/>
        <v>6-10 yrs</v>
      </c>
      <c r="Y982" t="str">
        <f t="shared" si="77"/>
        <v>Sep</v>
      </c>
      <c r="Z982">
        <f t="shared" si="78"/>
        <v>2025</v>
      </c>
      <c r="AA982">
        <f t="shared" si="79"/>
        <v>0</v>
      </c>
    </row>
    <row r="983" spans="1:27" ht="15" customHeight="1" x14ac:dyDescent="0.3">
      <c r="A983" t="s">
        <v>1649</v>
      </c>
      <c r="B983" s="20">
        <v>45792</v>
      </c>
      <c r="C983" t="s">
        <v>366</v>
      </c>
      <c r="D983" t="s">
        <v>35</v>
      </c>
      <c r="E983" s="37">
        <v>48</v>
      </c>
      <c r="F983" t="s">
        <v>49</v>
      </c>
      <c r="G983" t="s">
        <v>50</v>
      </c>
      <c r="H983" t="s">
        <v>59</v>
      </c>
      <c r="I983" t="s">
        <v>39</v>
      </c>
      <c r="J983" t="s">
        <v>141</v>
      </c>
      <c r="K983" s="37">
        <v>9</v>
      </c>
      <c r="L983" t="s">
        <v>52</v>
      </c>
      <c r="M983" s="21">
        <v>34800</v>
      </c>
      <c r="N983" s="21">
        <v>446832</v>
      </c>
      <c r="O983" s="21">
        <v>29232</v>
      </c>
      <c r="P983" s="37">
        <v>3</v>
      </c>
      <c r="Q983" t="s">
        <v>42</v>
      </c>
      <c r="R983" s="37">
        <v>11</v>
      </c>
      <c r="S983" s="37">
        <v>31</v>
      </c>
      <c r="T983" t="s">
        <v>68</v>
      </c>
      <c r="U983" t="s">
        <v>44</v>
      </c>
      <c r="V983" t="s">
        <v>69</v>
      </c>
      <c r="W983" t="str">
        <f t="shared" si="75"/>
        <v>41-50</v>
      </c>
      <c r="X983" t="str">
        <f t="shared" si="76"/>
        <v>6-10 yrs</v>
      </c>
      <c r="Y983" t="str">
        <f t="shared" si="77"/>
        <v>May</v>
      </c>
      <c r="Z983">
        <f t="shared" si="78"/>
        <v>2025</v>
      </c>
      <c r="AA983">
        <f t="shared" si="79"/>
        <v>0</v>
      </c>
    </row>
    <row r="984" spans="1:27" ht="15" customHeight="1" x14ac:dyDescent="0.3">
      <c r="A984" t="s">
        <v>1650</v>
      </c>
      <c r="B984" s="20">
        <v>45865</v>
      </c>
      <c r="C984" t="s">
        <v>992</v>
      </c>
      <c r="D984" t="s">
        <v>35</v>
      </c>
      <c r="E984" s="37">
        <v>25</v>
      </c>
      <c r="F984" t="s">
        <v>91</v>
      </c>
      <c r="G984" t="s">
        <v>92</v>
      </c>
      <c r="H984" t="s">
        <v>38</v>
      </c>
      <c r="I984" t="s">
        <v>75</v>
      </c>
      <c r="J984" t="s">
        <v>190</v>
      </c>
      <c r="K984" s="37">
        <v>11</v>
      </c>
      <c r="L984" t="s">
        <v>52</v>
      </c>
      <c r="M984" s="21">
        <v>86800</v>
      </c>
      <c r="N984" s="21">
        <v>1114512</v>
      </c>
      <c r="O984" s="21">
        <v>72912</v>
      </c>
      <c r="P984" s="37">
        <v>4</v>
      </c>
      <c r="Q984" t="s">
        <v>42</v>
      </c>
      <c r="R984" s="37">
        <v>16</v>
      </c>
      <c r="S984" s="37">
        <v>38</v>
      </c>
      <c r="T984" t="s">
        <v>62</v>
      </c>
      <c r="U984" t="s">
        <v>44</v>
      </c>
      <c r="V984" t="s">
        <v>69</v>
      </c>
      <c r="W984" t="str">
        <f t="shared" si="75"/>
        <v>22-30</v>
      </c>
      <c r="X984" t="str">
        <f t="shared" si="76"/>
        <v>11-20 yrs</v>
      </c>
      <c r="Y984" t="str">
        <f t="shared" si="77"/>
        <v>Jul</v>
      </c>
      <c r="Z984">
        <f t="shared" si="78"/>
        <v>2025</v>
      </c>
      <c r="AA984">
        <f t="shared" si="79"/>
        <v>0</v>
      </c>
    </row>
    <row r="985" spans="1:27" ht="15" customHeight="1" x14ac:dyDescent="0.3">
      <c r="A985" t="s">
        <v>1651</v>
      </c>
      <c r="B985" s="20">
        <v>45756</v>
      </c>
      <c r="C985" t="s">
        <v>174</v>
      </c>
      <c r="D985" t="s">
        <v>35</v>
      </c>
      <c r="E985" s="37">
        <v>53</v>
      </c>
      <c r="F985" t="s">
        <v>97</v>
      </c>
      <c r="G985" t="s">
        <v>98</v>
      </c>
      <c r="H985" t="s">
        <v>38</v>
      </c>
      <c r="I985" t="s">
        <v>82</v>
      </c>
      <c r="J985" t="s">
        <v>99</v>
      </c>
      <c r="K985" s="37">
        <v>14</v>
      </c>
      <c r="L985" t="s">
        <v>52</v>
      </c>
      <c r="M985" s="21">
        <v>58700</v>
      </c>
      <c r="N985" s="21">
        <v>781884</v>
      </c>
      <c r="O985" s="21">
        <v>77484</v>
      </c>
      <c r="P985" s="37">
        <v>4</v>
      </c>
      <c r="Q985" t="s">
        <v>42</v>
      </c>
      <c r="R985" s="37">
        <v>2</v>
      </c>
      <c r="S985" s="37">
        <v>28</v>
      </c>
      <c r="T985" t="s">
        <v>77</v>
      </c>
      <c r="U985" t="s">
        <v>44</v>
      </c>
      <c r="V985" t="s">
        <v>69</v>
      </c>
      <c r="W985" t="str">
        <f t="shared" si="75"/>
        <v>51-58</v>
      </c>
      <c r="X985" t="str">
        <f t="shared" si="76"/>
        <v>11-20 yrs</v>
      </c>
      <c r="Y985" t="str">
        <f t="shared" si="77"/>
        <v>Apr</v>
      </c>
      <c r="Z985">
        <f t="shared" si="78"/>
        <v>2025</v>
      </c>
      <c r="AA985">
        <f t="shared" si="79"/>
        <v>0</v>
      </c>
    </row>
    <row r="986" spans="1:27" ht="15" customHeight="1" x14ac:dyDescent="0.3">
      <c r="A986" t="s">
        <v>1652</v>
      </c>
      <c r="B986" s="20">
        <v>45780</v>
      </c>
      <c r="C986" t="s">
        <v>1653</v>
      </c>
      <c r="D986" t="s">
        <v>35</v>
      </c>
      <c r="E986" s="37">
        <v>43</v>
      </c>
      <c r="F986" t="s">
        <v>57</v>
      </c>
      <c r="G986" t="s">
        <v>58</v>
      </c>
      <c r="H986" t="s">
        <v>66</v>
      </c>
      <c r="I986" t="s">
        <v>39</v>
      </c>
      <c r="J986" t="s">
        <v>161</v>
      </c>
      <c r="K986" s="37">
        <v>13</v>
      </c>
      <c r="L986" t="s">
        <v>52</v>
      </c>
      <c r="M986" s="21">
        <v>49300</v>
      </c>
      <c r="N986" s="21">
        <v>680340</v>
      </c>
      <c r="O986" s="21">
        <v>88740</v>
      </c>
      <c r="P986" s="37">
        <v>5</v>
      </c>
      <c r="Q986" t="s">
        <v>42</v>
      </c>
      <c r="R986" s="37">
        <v>11</v>
      </c>
      <c r="S986" s="37">
        <v>18</v>
      </c>
      <c r="T986" t="s">
        <v>105</v>
      </c>
      <c r="U986" t="s">
        <v>44</v>
      </c>
      <c r="V986" t="s">
        <v>69</v>
      </c>
      <c r="W986" t="str">
        <f t="shared" si="75"/>
        <v>41-50</v>
      </c>
      <c r="X986" t="str">
        <f t="shared" si="76"/>
        <v>11-20 yrs</v>
      </c>
      <c r="Y986" t="str">
        <f t="shared" si="77"/>
        <v>May</v>
      </c>
      <c r="Z986">
        <f t="shared" si="78"/>
        <v>2025</v>
      </c>
      <c r="AA986">
        <f t="shared" si="79"/>
        <v>0</v>
      </c>
    </row>
    <row r="987" spans="1:27" ht="15" customHeight="1" x14ac:dyDescent="0.3">
      <c r="A987" t="s">
        <v>1654</v>
      </c>
      <c r="B987" s="20">
        <v>45997</v>
      </c>
      <c r="C987" t="s">
        <v>684</v>
      </c>
      <c r="D987" t="s">
        <v>35</v>
      </c>
      <c r="E987" s="37">
        <v>23</v>
      </c>
      <c r="F987" t="s">
        <v>91</v>
      </c>
      <c r="G987" t="s">
        <v>92</v>
      </c>
      <c r="H987" t="s">
        <v>38</v>
      </c>
      <c r="I987" t="s">
        <v>39</v>
      </c>
      <c r="J987" t="s">
        <v>40</v>
      </c>
      <c r="K987" s="37">
        <v>2</v>
      </c>
      <c r="L987" t="s">
        <v>52</v>
      </c>
      <c r="M987" s="21">
        <v>36100</v>
      </c>
      <c r="N987" s="21">
        <v>454860</v>
      </c>
      <c r="O987" s="21">
        <v>21660</v>
      </c>
      <c r="P987" s="37">
        <v>3</v>
      </c>
      <c r="Q987" t="s">
        <v>42</v>
      </c>
      <c r="R987" s="37">
        <v>13</v>
      </c>
      <c r="S987" s="37">
        <v>30</v>
      </c>
      <c r="T987" t="s">
        <v>68</v>
      </c>
      <c r="U987" t="s">
        <v>44</v>
      </c>
      <c r="V987" t="s">
        <v>69</v>
      </c>
      <c r="W987" t="str">
        <f t="shared" si="75"/>
        <v>22-30</v>
      </c>
      <c r="X987" t="str">
        <f t="shared" si="76"/>
        <v>0-5 yrs</v>
      </c>
      <c r="Y987" t="str">
        <f t="shared" si="77"/>
        <v>Dec</v>
      </c>
      <c r="Z987">
        <f t="shared" si="78"/>
        <v>2025</v>
      </c>
      <c r="AA987">
        <f t="shared" si="79"/>
        <v>0</v>
      </c>
    </row>
    <row r="988" spans="1:27" ht="15" customHeight="1" x14ac:dyDescent="0.3">
      <c r="A988" t="s">
        <v>1655</v>
      </c>
      <c r="B988" s="20">
        <v>45974</v>
      </c>
      <c r="C988" t="s">
        <v>1656</v>
      </c>
      <c r="D988" t="s">
        <v>48</v>
      </c>
      <c r="E988" s="37">
        <v>44</v>
      </c>
      <c r="F988" t="s">
        <v>91</v>
      </c>
      <c r="G988" t="s">
        <v>92</v>
      </c>
      <c r="H988" t="s">
        <v>66</v>
      </c>
      <c r="I988" t="s">
        <v>75</v>
      </c>
      <c r="J988" t="s">
        <v>93</v>
      </c>
      <c r="K988" s="37">
        <v>0</v>
      </c>
      <c r="L988" t="s">
        <v>52</v>
      </c>
      <c r="M988" s="21">
        <v>119200</v>
      </c>
      <c r="N988" s="21">
        <v>1587744</v>
      </c>
      <c r="O988" s="21">
        <v>157344</v>
      </c>
      <c r="P988" s="37">
        <v>4</v>
      </c>
      <c r="Q988" t="s">
        <v>42</v>
      </c>
      <c r="R988" s="37">
        <v>18</v>
      </c>
      <c r="S988" s="37">
        <v>29</v>
      </c>
      <c r="T988" t="s">
        <v>77</v>
      </c>
      <c r="U988" t="s">
        <v>44</v>
      </c>
      <c r="V988" t="s">
        <v>69</v>
      </c>
      <c r="W988" t="str">
        <f t="shared" si="75"/>
        <v>41-50</v>
      </c>
      <c r="X988" t="str">
        <f t="shared" si="76"/>
        <v>0-5 yrs</v>
      </c>
      <c r="Y988" t="str">
        <f t="shared" si="77"/>
        <v>Nov</v>
      </c>
      <c r="Z988">
        <f t="shared" si="78"/>
        <v>2025</v>
      </c>
      <c r="AA988">
        <f t="shared" si="79"/>
        <v>0</v>
      </c>
    </row>
    <row r="989" spans="1:27" ht="15" customHeight="1" x14ac:dyDescent="0.3">
      <c r="A989" t="s">
        <v>1657</v>
      </c>
      <c r="B989" s="20">
        <v>45725</v>
      </c>
      <c r="C989" t="s">
        <v>1366</v>
      </c>
      <c r="D989" t="s">
        <v>35</v>
      </c>
      <c r="E989" s="37">
        <v>43</v>
      </c>
      <c r="F989" t="s">
        <v>57</v>
      </c>
      <c r="G989" t="s">
        <v>58</v>
      </c>
      <c r="H989" t="s">
        <v>66</v>
      </c>
      <c r="I989" t="s">
        <v>39</v>
      </c>
      <c r="J989" t="s">
        <v>67</v>
      </c>
      <c r="K989" s="37">
        <v>5</v>
      </c>
      <c r="L989" t="s">
        <v>52</v>
      </c>
      <c r="M989" s="21">
        <v>45300</v>
      </c>
      <c r="N989" s="21">
        <v>603396</v>
      </c>
      <c r="O989" s="21">
        <v>59796</v>
      </c>
      <c r="P989" s="37">
        <v>4</v>
      </c>
      <c r="Q989" t="s">
        <v>42</v>
      </c>
      <c r="R989" s="37">
        <v>14</v>
      </c>
      <c r="S989" s="37">
        <v>40</v>
      </c>
      <c r="T989" t="s">
        <v>105</v>
      </c>
      <c r="U989" t="s">
        <v>63</v>
      </c>
      <c r="V989" t="s">
        <v>45</v>
      </c>
      <c r="W989" t="str">
        <f t="shared" si="75"/>
        <v>41-50</v>
      </c>
      <c r="X989" t="str">
        <f t="shared" si="76"/>
        <v>0-5 yrs</v>
      </c>
      <c r="Y989" t="str">
        <f t="shared" si="77"/>
        <v>Mar</v>
      </c>
      <c r="Z989">
        <f t="shared" si="78"/>
        <v>2025</v>
      </c>
      <c r="AA989">
        <f t="shared" si="79"/>
        <v>0</v>
      </c>
    </row>
    <row r="990" spans="1:27" ht="15" customHeight="1" x14ac:dyDescent="0.3">
      <c r="A990" t="s">
        <v>1658</v>
      </c>
      <c r="B990" s="20">
        <v>45812</v>
      </c>
      <c r="C990" t="s">
        <v>156</v>
      </c>
      <c r="D990" t="s">
        <v>48</v>
      </c>
      <c r="E990" s="37">
        <v>22</v>
      </c>
      <c r="F990" t="s">
        <v>49</v>
      </c>
      <c r="G990" t="s">
        <v>50</v>
      </c>
      <c r="H990" t="s">
        <v>74</v>
      </c>
      <c r="I990" t="s">
        <v>82</v>
      </c>
      <c r="J990" t="s">
        <v>367</v>
      </c>
      <c r="K990" s="37">
        <v>1</v>
      </c>
      <c r="L990" t="s">
        <v>52</v>
      </c>
      <c r="M990" s="21">
        <v>70400</v>
      </c>
      <c r="N990" s="21">
        <v>988415</v>
      </c>
      <c r="O990" s="21">
        <v>143616</v>
      </c>
      <c r="P990" s="37">
        <v>4</v>
      </c>
      <c r="Q990" t="s">
        <v>42</v>
      </c>
      <c r="R990" s="37">
        <v>4</v>
      </c>
      <c r="S990" s="37">
        <v>2</v>
      </c>
      <c r="T990" t="s">
        <v>68</v>
      </c>
      <c r="U990" t="s">
        <v>44</v>
      </c>
      <c r="V990" t="s">
        <v>45</v>
      </c>
      <c r="W990" t="str">
        <f t="shared" si="75"/>
        <v>22-30</v>
      </c>
      <c r="X990" t="str">
        <f t="shared" si="76"/>
        <v>0-5 yrs</v>
      </c>
      <c r="Y990" t="str">
        <f t="shared" si="77"/>
        <v>Jun</v>
      </c>
      <c r="Z990">
        <f t="shared" si="78"/>
        <v>2025</v>
      </c>
      <c r="AA990">
        <f t="shared" si="79"/>
        <v>0</v>
      </c>
    </row>
    <row r="991" spans="1:27" ht="15" customHeight="1" x14ac:dyDescent="0.3">
      <c r="A991" t="s">
        <v>1659</v>
      </c>
      <c r="B991" s="20">
        <v>45864</v>
      </c>
      <c r="C991" t="s">
        <v>447</v>
      </c>
      <c r="D991" t="s">
        <v>35</v>
      </c>
      <c r="E991" s="37">
        <v>44</v>
      </c>
      <c r="F991" t="s">
        <v>108</v>
      </c>
      <c r="G991" t="s">
        <v>109</v>
      </c>
      <c r="H991" t="s">
        <v>118</v>
      </c>
      <c r="I991" t="s">
        <v>39</v>
      </c>
      <c r="J991" t="s">
        <v>119</v>
      </c>
      <c r="K991" s="37">
        <v>3</v>
      </c>
      <c r="L991" t="s">
        <v>52</v>
      </c>
      <c r="M991" s="21">
        <v>39000</v>
      </c>
      <c r="N991" s="21">
        <v>538200</v>
      </c>
      <c r="O991" s="21">
        <v>70200</v>
      </c>
      <c r="P991" s="37">
        <v>4</v>
      </c>
      <c r="Q991" t="s">
        <v>42</v>
      </c>
      <c r="R991" s="37">
        <v>20</v>
      </c>
      <c r="S991" s="37">
        <v>22</v>
      </c>
      <c r="T991" t="s">
        <v>53</v>
      </c>
      <c r="U991" t="s">
        <v>54</v>
      </c>
      <c r="V991" t="s">
        <v>69</v>
      </c>
      <c r="W991" t="str">
        <f t="shared" si="75"/>
        <v>41-50</v>
      </c>
      <c r="X991" t="str">
        <f t="shared" si="76"/>
        <v>0-5 yrs</v>
      </c>
      <c r="Y991" t="str">
        <f t="shared" si="77"/>
        <v>Jul</v>
      </c>
      <c r="Z991">
        <f t="shared" si="78"/>
        <v>2025</v>
      </c>
      <c r="AA991">
        <f t="shared" si="79"/>
        <v>0</v>
      </c>
    </row>
    <row r="992" spans="1:27" ht="15" customHeight="1" x14ac:dyDescent="0.3">
      <c r="A992" t="s">
        <v>1660</v>
      </c>
      <c r="B992" s="20">
        <v>45901</v>
      </c>
      <c r="C992" t="s">
        <v>1239</v>
      </c>
      <c r="D992" t="s">
        <v>35</v>
      </c>
      <c r="E992" s="37">
        <v>54</v>
      </c>
      <c r="F992" t="s">
        <v>108</v>
      </c>
      <c r="G992" t="s">
        <v>109</v>
      </c>
      <c r="H992" t="s">
        <v>66</v>
      </c>
      <c r="I992" t="s">
        <v>82</v>
      </c>
      <c r="J992" t="s">
        <v>161</v>
      </c>
      <c r="K992" s="37">
        <v>8</v>
      </c>
      <c r="L992" t="s">
        <v>52</v>
      </c>
      <c r="M992" s="21">
        <v>64600</v>
      </c>
      <c r="N992" s="21">
        <v>829464</v>
      </c>
      <c r="O992" s="21">
        <v>54264</v>
      </c>
      <c r="P992" s="37">
        <v>2</v>
      </c>
      <c r="Q992" t="s">
        <v>42</v>
      </c>
      <c r="R992" s="37">
        <v>16</v>
      </c>
      <c r="S992" s="37">
        <v>38</v>
      </c>
      <c r="T992" t="s">
        <v>105</v>
      </c>
      <c r="U992" t="s">
        <v>63</v>
      </c>
      <c r="V992" t="s">
        <v>69</v>
      </c>
      <c r="W992" t="str">
        <f t="shared" si="75"/>
        <v>51-58</v>
      </c>
      <c r="X992" t="str">
        <f t="shared" si="76"/>
        <v>6-10 yrs</v>
      </c>
      <c r="Y992" t="str">
        <f t="shared" si="77"/>
        <v>Sep</v>
      </c>
      <c r="Z992">
        <f t="shared" si="78"/>
        <v>2025</v>
      </c>
      <c r="AA992">
        <f t="shared" si="79"/>
        <v>0</v>
      </c>
    </row>
    <row r="993" spans="1:27" ht="15" customHeight="1" x14ac:dyDescent="0.3">
      <c r="A993" t="s">
        <v>1661</v>
      </c>
      <c r="B993" s="20">
        <v>45932</v>
      </c>
      <c r="C993" t="s">
        <v>1662</v>
      </c>
      <c r="D993" t="s">
        <v>48</v>
      </c>
      <c r="E993" s="37">
        <v>45</v>
      </c>
      <c r="F993" t="s">
        <v>72</v>
      </c>
      <c r="G993" t="s">
        <v>73</v>
      </c>
      <c r="H993" t="s">
        <v>38</v>
      </c>
      <c r="I993" t="s">
        <v>75</v>
      </c>
      <c r="J993" t="s">
        <v>190</v>
      </c>
      <c r="K993" s="37">
        <v>24</v>
      </c>
      <c r="L993" t="s">
        <v>52</v>
      </c>
      <c r="M993" s="21">
        <v>77400</v>
      </c>
      <c r="N993" s="21">
        <v>1003104</v>
      </c>
      <c r="O993" s="21">
        <v>74304</v>
      </c>
      <c r="P993" s="37">
        <v>1</v>
      </c>
      <c r="Q993" t="s">
        <v>42</v>
      </c>
      <c r="R993" s="37">
        <v>0</v>
      </c>
      <c r="S993" s="37">
        <v>18</v>
      </c>
      <c r="T993" t="s">
        <v>175</v>
      </c>
      <c r="U993" t="s">
        <v>54</v>
      </c>
      <c r="V993" t="s">
        <v>69</v>
      </c>
      <c r="W993" t="str">
        <f t="shared" si="75"/>
        <v>41-50</v>
      </c>
      <c r="X993" t="str">
        <f t="shared" si="76"/>
        <v>21-30 yrs</v>
      </c>
      <c r="Y993" t="str">
        <f t="shared" si="77"/>
        <v>Oct</v>
      </c>
      <c r="Z993">
        <f t="shared" si="78"/>
        <v>2025</v>
      </c>
      <c r="AA993">
        <f t="shared" si="79"/>
        <v>0</v>
      </c>
    </row>
    <row r="994" spans="1:27" ht="15" customHeight="1" x14ac:dyDescent="0.3">
      <c r="A994" t="s">
        <v>1663</v>
      </c>
      <c r="B994" s="20">
        <v>45737</v>
      </c>
      <c r="C994" t="s">
        <v>396</v>
      </c>
      <c r="D994" t="s">
        <v>48</v>
      </c>
      <c r="E994" s="37">
        <v>53</v>
      </c>
      <c r="F994" t="s">
        <v>86</v>
      </c>
      <c r="G994" t="s">
        <v>87</v>
      </c>
      <c r="H994" t="s">
        <v>59</v>
      </c>
      <c r="I994" t="s">
        <v>82</v>
      </c>
      <c r="J994" t="s">
        <v>88</v>
      </c>
      <c r="K994" s="37">
        <v>18</v>
      </c>
      <c r="L994" t="s">
        <v>52</v>
      </c>
      <c r="M994" s="21">
        <v>60700</v>
      </c>
      <c r="N994" s="21">
        <v>793956</v>
      </c>
      <c r="O994" s="21">
        <v>65556</v>
      </c>
      <c r="P994" s="37">
        <v>3</v>
      </c>
      <c r="Q994" t="s">
        <v>42</v>
      </c>
      <c r="R994" s="37">
        <v>9</v>
      </c>
      <c r="S994" s="37">
        <v>13</v>
      </c>
      <c r="T994" t="s">
        <v>77</v>
      </c>
      <c r="U994" t="s">
        <v>63</v>
      </c>
      <c r="V994" t="s">
        <v>45</v>
      </c>
      <c r="W994" t="str">
        <f t="shared" si="75"/>
        <v>51-58</v>
      </c>
      <c r="X994" t="str">
        <f t="shared" si="76"/>
        <v>11-20 yrs</v>
      </c>
      <c r="Y994" t="str">
        <f t="shared" si="77"/>
        <v>Mar</v>
      </c>
      <c r="Z994">
        <f t="shared" si="78"/>
        <v>2025</v>
      </c>
      <c r="AA994">
        <f t="shared" si="79"/>
        <v>0</v>
      </c>
    </row>
    <row r="995" spans="1:27" ht="15" customHeight="1" x14ac:dyDescent="0.3">
      <c r="A995" t="s">
        <v>1664</v>
      </c>
      <c r="B995" s="20">
        <v>45995</v>
      </c>
      <c r="C995" t="s">
        <v>186</v>
      </c>
      <c r="D995" t="s">
        <v>35</v>
      </c>
      <c r="E995" s="37">
        <v>28</v>
      </c>
      <c r="F995" t="s">
        <v>108</v>
      </c>
      <c r="G995" t="s">
        <v>109</v>
      </c>
      <c r="H995" t="s">
        <v>66</v>
      </c>
      <c r="I995" t="s">
        <v>60</v>
      </c>
      <c r="J995" t="s">
        <v>161</v>
      </c>
      <c r="K995" s="37">
        <v>26</v>
      </c>
      <c r="L995" t="s">
        <v>52</v>
      </c>
      <c r="M995" s="21">
        <v>141800</v>
      </c>
      <c r="N995" s="21">
        <v>1854744</v>
      </c>
      <c r="O995" s="21">
        <v>153144</v>
      </c>
      <c r="P995" s="37">
        <v>5</v>
      </c>
      <c r="Q995" t="s">
        <v>42</v>
      </c>
      <c r="R995" s="37">
        <v>6</v>
      </c>
      <c r="S995" s="37">
        <v>20</v>
      </c>
      <c r="T995" t="s">
        <v>129</v>
      </c>
      <c r="U995" t="s">
        <v>63</v>
      </c>
      <c r="V995" t="s">
        <v>45</v>
      </c>
      <c r="W995" t="str">
        <f t="shared" si="75"/>
        <v>22-30</v>
      </c>
      <c r="X995" t="str">
        <f t="shared" si="76"/>
        <v>21-30 yrs</v>
      </c>
      <c r="Y995" t="str">
        <f t="shared" si="77"/>
        <v>Dec</v>
      </c>
      <c r="Z995">
        <f t="shared" si="78"/>
        <v>2025</v>
      </c>
      <c r="AA995">
        <f t="shared" si="79"/>
        <v>0</v>
      </c>
    </row>
    <row r="996" spans="1:27" ht="15" customHeight="1" x14ac:dyDescent="0.3">
      <c r="A996" t="s">
        <v>1665</v>
      </c>
      <c r="B996" s="20">
        <v>45787</v>
      </c>
      <c r="C996" t="s">
        <v>1666</v>
      </c>
      <c r="D996" t="s">
        <v>48</v>
      </c>
      <c r="E996" s="37">
        <v>41</v>
      </c>
      <c r="F996" t="s">
        <v>97</v>
      </c>
      <c r="G996" t="s">
        <v>98</v>
      </c>
      <c r="H996" t="s">
        <v>66</v>
      </c>
      <c r="I996" t="s">
        <v>60</v>
      </c>
      <c r="J996" t="s">
        <v>67</v>
      </c>
      <c r="K996" s="37">
        <v>13</v>
      </c>
      <c r="L996" t="s">
        <v>52</v>
      </c>
      <c r="M996" s="21">
        <v>159700</v>
      </c>
      <c r="N996" s="21">
        <v>2261352</v>
      </c>
      <c r="O996" s="21">
        <v>344952</v>
      </c>
      <c r="P996" s="37">
        <v>3</v>
      </c>
      <c r="Q996" t="s">
        <v>126</v>
      </c>
      <c r="R996" s="37">
        <v>7</v>
      </c>
      <c r="S996" s="37">
        <v>3</v>
      </c>
      <c r="T996" t="s">
        <v>53</v>
      </c>
      <c r="U996" t="s">
        <v>44</v>
      </c>
      <c r="V996" t="s">
        <v>45</v>
      </c>
      <c r="W996" t="str">
        <f t="shared" si="75"/>
        <v>41-50</v>
      </c>
      <c r="X996" t="str">
        <f t="shared" si="76"/>
        <v>11-20 yrs</v>
      </c>
      <c r="Y996" t="str">
        <f t="shared" si="77"/>
        <v>May</v>
      </c>
      <c r="Z996">
        <f t="shared" si="78"/>
        <v>2025</v>
      </c>
      <c r="AA996">
        <f t="shared" si="79"/>
        <v>1</v>
      </c>
    </row>
    <row r="997" spans="1:27" ht="15" customHeight="1" x14ac:dyDescent="0.3">
      <c r="A997" t="s">
        <v>1667</v>
      </c>
      <c r="B997" s="20">
        <v>45767</v>
      </c>
      <c r="C997" t="s">
        <v>233</v>
      </c>
      <c r="D997" t="s">
        <v>35</v>
      </c>
      <c r="E997" s="37">
        <v>24</v>
      </c>
      <c r="F997" t="s">
        <v>72</v>
      </c>
      <c r="G997" t="s">
        <v>73</v>
      </c>
      <c r="H997" t="s">
        <v>66</v>
      </c>
      <c r="I997" t="s">
        <v>82</v>
      </c>
      <c r="J997" t="s">
        <v>170</v>
      </c>
      <c r="K997" s="37">
        <v>3</v>
      </c>
      <c r="L997" t="s">
        <v>41</v>
      </c>
      <c r="M997" s="21">
        <v>75700</v>
      </c>
      <c r="N997" s="21">
        <v>1090080</v>
      </c>
      <c r="O997" s="21">
        <v>181680</v>
      </c>
      <c r="P997" s="37">
        <v>4</v>
      </c>
      <c r="Q997" t="s">
        <v>42</v>
      </c>
      <c r="R997" s="37">
        <v>13</v>
      </c>
      <c r="S997" s="37">
        <v>20</v>
      </c>
      <c r="T997" t="s">
        <v>53</v>
      </c>
      <c r="U997" t="s">
        <v>54</v>
      </c>
      <c r="V997" t="s">
        <v>45</v>
      </c>
      <c r="W997" t="str">
        <f t="shared" si="75"/>
        <v>22-30</v>
      </c>
      <c r="X997" t="str">
        <f t="shared" si="76"/>
        <v>0-5 yrs</v>
      </c>
      <c r="Y997" t="str">
        <f t="shared" si="77"/>
        <v>Apr</v>
      </c>
      <c r="Z997">
        <f t="shared" si="78"/>
        <v>2025</v>
      </c>
      <c r="AA997">
        <f t="shared" si="79"/>
        <v>0</v>
      </c>
    </row>
    <row r="998" spans="1:27" ht="15" customHeight="1" x14ac:dyDescent="0.3">
      <c r="A998" t="s">
        <v>1668</v>
      </c>
      <c r="B998" s="20">
        <v>45974</v>
      </c>
      <c r="C998" t="s">
        <v>1300</v>
      </c>
      <c r="D998" t="s">
        <v>48</v>
      </c>
      <c r="E998" s="37">
        <v>55</v>
      </c>
      <c r="F998" t="s">
        <v>123</v>
      </c>
      <c r="G998" t="s">
        <v>124</v>
      </c>
      <c r="H998" t="s">
        <v>59</v>
      </c>
      <c r="I998" t="s">
        <v>82</v>
      </c>
      <c r="J998" t="s">
        <v>61</v>
      </c>
      <c r="K998" s="37">
        <v>12</v>
      </c>
      <c r="L998" t="s">
        <v>52</v>
      </c>
      <c r="M998" s="21">
        <v>49600</v>
      </c>
      <c r="N998" s="21">
        <v>666624</v>
      </c>
      <c r="O998" s="21">
        <v>71424</v>
      </c>
      <c r="P998" s="37">
        <v>4</v>
      </c>
      <c r="Q998" t="s">
        <v>42</v>
      </c>
      <c r="R998" s="37">
        <v>19</v>
      </c>
      <c r="S998" s="37">
        <v>30</v>
      </c>
      <c r="T998" t="s">
        <v>105</v>
      </c>
      <c r="U998" t="s">
        <v>54</v>
      </c>
      <c r="V998" t="s">
        <v>69</v>
      </c>
      <c r="W998" t="str">
        <f t="shared" si="75"/>
        <v>51-58</v>
      </c>
      <c r="X998" t="str">
        <f t="shared" si="76"/>
        <v>11-20 yrs</v>
      </c>
      <c r="Y998" t="str">
        <f t="shared" si="77"/>
        <v>Nov</v>
      </c>
      <c r="Z998">
        <f t="shared" si="78"/>
        <v>2025</v>
      </c>
      <c r="AA998">
        <f t="shared" si="79"/>
        <v>0</v>
      </c>
    </row>
    <row r="999" spans="1:27" ht="15" customHeight="1" x14ac:dyDescent="0.3">
      <c r="A999" t="s">
        <v>1669</v>
      </c>
      <c r="B999" s="20">
        <v>45870</v>
      </c>
      <c r="C999" t="s">
        <v>231</v>
      </c>
      <c r="D999" t="s">
        <v>35</v>
      </c>
      <c r="E999" s="37">
        <v>42</v>
      </c>
      <c r="F999" t="s">
        <v>72</v>
      </c>
      <c r="G999" t="s">
        <v>73</v>
      </c>
      <c r="H999" t="s">
        <v>66</v>
      </c>
      <c r="I999" t="s">
        <v>60</v>
      </c>
      <c r="J999" t="s">
        <v>149</v>
      </c>
      <c r="K999" s="37">
        <v>30</v>
      </c>
      <c r="L999" t="s">
        <v>120</v>
      </c>
      <c r="M999" s="21">
        <v>153000</v>
      </c>
      <c r="N999" s="21">
        <v>2056320</v>
      </c>
      <c r="O999" s="21">
        <v>220320</v>
      </c>
      <c r="P999" s="37">
        <v>3</v>
      </c>
      <c r="Q999" t="s">
        <v>42</v>
      </c>
      <c r="R999" s="37">
        <v>7</v>
      </c>
      <c r="S999" s="37">
        <v>35</v>
      </c>
      <c r="T999" t="s">
        <v>62</v>
      </c>
      <c r="U999" t="s">
        <v>63</v>
      </c>
      <c r="V999" t="s">
        <v>69</v>
      </c>
      <c r="W999" t="str">
        <f t="shared" si="75"/>
        <v>41-50</v>
      </c>
      <c r="X999" t="str">
        <f t="shared" si="76"/>
        <v>21-30 yrs</v>
      </c>
      <c r="Y999" t="str">
        <f t="shared" si="77"/>
        <v>Aug</v>
      </c>
      <c r="Z999">
        <f t="shared" si="78"/>
        <v>2025</v>
      </c>
      <c r="AA999">
        <f t="shared" si="79"/>
        <v>0</v>
      </c>
    </row>
    <row r="1000" spans="1:27" ht="15" customHeight="1" x14ac:dyDescent="0.3">
      <c r="A1000" t="s">
        <v>1670</v>
      </c>
      <c r="B1000" s="20">
        <v>45752</v>
      </c>
      <c r="C1000" t="s">
        <v>96</v>
      </c>
      <c r="D1000" t="s">
        <v>35</v>
      </c>
      <c r="E1000" s="37">
        <v>40</v>
      </c>
      <c r="F1000" t="s">
        <v>86</v>
      </c>
      <c r="G1000" t="s">
        <v>87</v>
      </c>
      <c r="H1000" t="s">
        <v>66</v>
      </c>
      <c r="I1000" t="s">
        <v>75</v>
      </c>
      <c r="J1000" t="s">
        <v>170</v>
      </c>
      <c r="K1000" s="37">
        <v>5</v>
      </c>
      <c r="L1000" t="s">
        <v>41</v>
      </c>
      <c r="M1000" s="21">
        <v>86100</v>
      </c>
      <c r="N1000" s="21">
        <v>1177848</v>
      </c>
      <c r="O1000" s="21">
        <v>144648</v>
      </c>
      <c r="P1000" s="37">
        <v>4</v>
      </c>
      <c r="Q1000" t="s">
        <v>126</v>
      </c>
      <c r="R1000" s="37">
        <v>5</v>
      </c>
      <c r="S1000" s="37">
        <v>22</v>
      </c>
      <c r="T1000" t="s">
        <v>53</v>
      </c>
      <c r="U1000" t="s">
        <v>63</v>
      </c>
      <c r="V1000" t="s">
        <v>45</v>
      </c>
      <c r="W1000" t="str">
        <f t="shared" si="75"/>
        <v>31-40</v>
      </c>
      <c r="X1000" t="str">
        <f t="shared" si="76"/>
        <v>0-5 yrs</v>
      </c>
      <c r="Y1000" t="str">
        <f t="shared" si="77"/>
        <v>Apr</v>
      </c>
      <c r="Z1000">
        <f t="shared" si="78"/>
        <v>2025</v>
      </c>
      <c r="AA1000">
        <f t="shared" si="79"/>
        <v>1</v>
      </c>
    </row>
    <row r="1001" spans="1:27" ht="15" customHeight="1" x14ac:dyDescent="0.3">
      <c r="A1001" t="s">
        <v>1671</v>
      </c>
      <c r="B1001" s="20">
        <v>45913</v>
      </c>
      <c r="C1001" t="s">
        <v>1127</v>
      </c>
      <c r="D1001" t="s">
        <v>48</v>
      </c>
      <c r="E1001" s="37">
        <v>36</v>
      </c>
      <c r="F1001" t="s">
        <v>80</v>
      </c>
      <c r="G1001" t="s">
        <v>81</v>
      </c>
      <c r="H1001" t="s">
        <v>66</v>
      </c>
      <c r="I1001" t="s">
        <v>82</v>
      </c>
      <c r="J1001" t="s">
        <v>67</v>
      </c>
      <c r="K1001" s="37">
        <v>7</v>
      </c>
      <c r="L1001" t="s">
        <v>52</v>
      </c>
      <c r="M1001" s="21">
        <v>75800</v>
      </c>
      <c r="N1001" s="21">
        <v>1073328</v>
      </c>
      <c r="O1001" s="21">
        <v>163728</v>
      </c>
      <c r="P1001" s="37">
        <v>3</v>
      </c>
      <c r="Q1001" t="s">
        <v>42</v>
      </c>
      <c r="R1001" s="37">
        <v>1</v>
      </c>
      <c r="S1001" s="37">
        <v>7</v>
      </c>
      <c r="T1001" t="s">
        <v>43</v>
      </c>
      <c r="U1001" t="s">
        <v>63</v>
      </c>
      <c r="V1001" t="s">
        <v>69</v>
      </c>
      <c r="W1001" t="str">
        <f t="shared" si="75"/>
        <v>31-40</v>
      </c>
      <c r="X1001" t="str">
        <f t="shared" si="76"/>
        <v>6-10 yrs</v>
      </c>
      <c r="Y1001" t="str">
        <f t="shared" si="77"/>
        <v>Sep</v>
      </c>
      <c r="Z1001">
        <f t="shared" si="78"/>
        <v>2025</v>
      </c>
      <c r="AA1001">
        <f t="shared" si="79"/>
        <v>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showGridLines="0" zoomScaleNormal="100" workbookViewId="0">
      <selection sqref="A1:D1"/>
    </sheetView>
  </sheetViews>
  <sheetFormatPr defaultColWidth="8.6640625" defaultRowHeight="14.4" x14ac:dyDescent="0.3"/>
  <cols>
    <col min="1" max="1" width="26" customWidth="1"/>
    <col min="2" max="2" width="16" customWidth="1"/>
  </cols>
  <sheetData>
    <row r="1" spans="1:4" ht="19.5" customHeight="1" x14ac:dyDescent="0.4">
      <c r="A1" s="1" t="s">
        <v>1677</v>
      </c>
      <c r="B1" s="1"/>
      <c r="C1" s="1"/>
      <c r="D1" s="1"/>
    </row>
    <row r="3" spans="1:4" ht="15.75" customHeight="1" x14ac:dyDescent="0.35">
      <c r="A3" s="38" t="s">
        <v>1678</v>
      </c>
      <c r="B3" s="39">
        <f>COUNTA(Clean_Data!$A$2:$A$1001)</f>
        <v>1000</v>
      </c>
    </row>
    <row r="4" spans="1:4" ht="15.75" customHeight="1" x14ac:dyDescent="0.35">
      <c r="A4" s="38" t="s">
        <v>1679</v>
      </c>
      <c r="B4" s="39">
        <f>COUNTIF(Clean_Data!$Q$2:$Q$1001,"Yes")</f>
        <v>176</v>
      </c>
    </row>
    <row r="5" spans="1:4" ht="15.75" customHeight="1" x14ac:dyDescent="0.35">
      <c r="A5" s="38" t="s">
        <v>1680</v>
      </c>
      <c r="B5" s="40">
        <f>B4/B3</f>
        <v>0.17599999999999999</v>
      </c>
    </row>
    <row r="6" spans="1:4" ht="15.75" customHeight="1" x14ac:dyDescent="0.35">
      <c r="A6" s="38" t="s">
        <v>1681</v>
      </c>
      <c r="B6" s="41">
        <f>ROUND(AVERAGE(Clean_Data!$M$2:$M$1001),0)</f>
        <v>79452</v>
      </c>
    </row>
    <row r="7" spans="1:4" ht="15.75" customHeight="1" x14ac:dyDescent="0.35">
      <c r="A7" s="38" t="s">
        <v>1682</v>
      </c>
      <c r="B7" s="41">
        <f>ROUND(AVERAGE(Clean_Data!$N$2:$N$1001),0)</f>
        <v>1073060</v>
      </c>
    </row>
    <row r="8" spans="1:4" ht="15.75" customHeight="1" x14ac:dyDescent="0.35">
      <c r="A8" s="38" t="s">
        <v>1683</v>
      </c>
      <c r="B8" s="42">
        <f>ROUND(AVERAGE(Clean_Data!$E$2:$E$1001),1)</f>
        <v>40.200000000000003</v>
      </c>
    </row>
    <row r="9" spans="1:4" ht="15.75" customHeight="1" x14ac:dyDescent="0.35">
      <c r="A9" s="38" t="s">
        <v>1684</v>
      </c>
      <c r="B9" s="43">
        <f>ROUND(AVERAGE(Clean_Data!$P$2:$P$1001),2)</f>
        <v>3.58</v>
      </c>
    </row>
    <row r="10" spans="1:4" ht="15.75" customHeight="1" x14ac:dyDescent="0.35">
      <c r="A10" s="38" t="s">
        <v>1685</v>
      </c>
      <c r="B10" s="42">
        <f>ROUND(AVERAGE(Clean_Data!$K$2:$K$1001),1)</f>
        <v>14.9</v>
      </c>
    </row>
    <row r="11" spans="1:4" ht="15.75" customHeight="1" x14ac:dyDescent="0.35">
      <c r="A11" s="38" t="s">
        <v>1686</v>
      </c>
      <c r="B11" s="42">
        <f>ROUND(AVERAGE(Clean_Data!$R$2:$R$1001),1)</f>
        <v>10.199999999999999</v>
      </c>
    </row>
    <row r="12" spans="1:4" ht="15.75" customHeight="1" x14ac:dyDescent="0.35">
      <c r="A12" s="38" t="s">
        <v>1687</v>
      </c>
      <c r="B12" s="42">
        <f>ROUND(AVERAGE(Clean_Data!$S$2:$S$1001),1)</f>
        <v>20.3</v>
      </c>
    </row>
    <row r="13" spans="1:4" x14ac:dyDescent="0.3">
      <c r="A13" s="44"/>
      <c r="B13" s="44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4"/>
  <sheetViews>
    <sheetView showGridLines="0" topLeftCell="A38" zoomScaleNormal="100" workbookViewId="0">
      <selection activeCell="F1" sqref="F1"/>
    </sheetView>
  </sheetViews>
  <sheetFormatPr defaultColWidth="8.6640625" defaultRowHeight="14.4" x14ac:dyDescent="0.3"/>
  <cols>
    <col min="1" max="1" width="37.33203125" customWidth="1"/>
    <col min="2" max="2" width="15" customWidth="1"/>
    <col min="3" max="3" width="16" customWidth="1"/>
    <col min="4" max="4" width="14" customWidth="1"/>
    <col min="5" max="5" width="3" customWidth="1"/>
    <col min="6" max="6" width="38.88671875" customWidth="1"/>
    <col min="7" max="7" width="12" customWidth="1"/>
    <col min="8" max="8" width="14" customWidth="1"/>
    <col min="9" max="10" width="12" customWidth="1"/>
  </cols>
  <sheetData>
    <row r="1" spans="1:10" ht="15" customHeight="1" x14ac:dyDescent="0.3">
      <c r="A1" s="24" t="s">
        <v>1688</v>
      </c>
      <c r="F1" s="24" t="s">
        <v>1689</v>
      </c>
    </row>
    <row r="2" spans="1:10" ht="15" customHeight="1" x14ac:dyDescent="0.3">
      <c r="A2" s="25" t="s">
        <v>18</v>
      </c>
      <c r="B2" s="25" t="s">
        <v>1690</v>
      </c>
      <c r="C2" s="25" t="s">
        <v>1682</v>
      </c>
      <c r="D2" s="25" t="s">
        <v>1691</v>
      </c>
      <c r="F2" s="25" t="s">
        <v>1692</v>
      </c>
      <c r="G2" s="25" t="s">
        <v>1690</v>
      </c>
      <c r="H2" s="25" t="s">
        <v>1693</v>
      </c>
    </row>
    <row r="3" spans="1:10" ht="15" customHeight="1" x14ac:dyDescent="0.3">
      <c r="A3" s="26" t="s">
        <v>66</v>
      </c>
      <c r="B3" s="27">
        <f>COUNTIF(Clean_Data!$H$2:$H$1001,A3)</f>
        <v>294</v>
      </c>
      <c r="C3" s="28">
        <f>ROUND(AVERAGEIF(Clean_Data!$H$2:$H$1001,A3,Clean_Data!$N$2:$N$1001),0)</f>
        <v>1153045</v>
      </c>
      <c r="D3" s="29">
        <f>ROUND(AVERAGEIF(Clean_Data!$H$2:$H$1001,A3,Clean_Data!$P$2:$P$1001),2)</f>
        <v>3.59</v>
      </c>
      <c r="F3" s="26" t="s">
        <v>1694</v>
      </c>
      <c r="G3" s="27">
        <f>COUNTIF(Clean_Data!$W$2:$W$1001,F3)</f>
        <v>232</v>
      </c>
      <c r="H3" s="28">
        <f>ROUND(AVERAGEIF(Clean_Data!$W$2:$W$1001,F3,Clean_Data!$M$2:$M$1001),0)</f>
        <v>81815</v>
      </c>
    </row>
    <row r="4" spans="1:10" ht="15" customHeight="1" x14ac:dyDescent="0.3">
      <c r="A4" s="26" t="s">
        <v>74</v>
      </c>
      <c r="B4" s="27">
        <f>COUNTIF(Clean_Data!$H$2:$H$1001,A4)</f>
        <v>148</v>
      </c>
      <c r="C4" s="28">
        <f>ROUND(AVERAGEIF(Clean_Data!$H$2:$H$1001,A4,Clean_Data!$N$2:$N$1001),0)</f>
        <v>1208510</v>
      </c>
      <c r="D4" s="29">
        <f>ROUND(AVERAGEIF(Clean_Data!$H$2:$H$1001,A4,Clean_Data!$P$2:$P$1001),2)</f>
        <v>3.64</v>
      </c>
      <c r="F4" s="26" t="s">
        <v>1695</v>
      </c>
      <c r="G4" s="27">
        <f>COUNTIF(Clean_Data!$W$2:$W$1001,F4)</f>
        <v>276</v>
      </c>
      <c r="H4" s="28">
        <f>ROUND(AVERAGEIF(Clean_Data!$W$2:$W$1001,F4,Clean_Data!$M$2:$M$1001),0)</f>
        <v>78758</v>
      </c>
    </row>
    <row r="5" spans="1:10" ht="15" customHeight="1" x14ac:dyDescent="0.3">
      <c r="A5" s="26" t="s">
        <v>59</v>
      </c>
      <c r="B5" s="27">
        <f>COUNTIF(Clean_Data!$H$2:$H$1001,A5)</f>
        <v>133</v>
      </c>
      <c r="C5" s="28">
        <f>ROUND(AVERAGEIF(Clean_Data!$H$2:$H$1001,A5,Clean_Data!$N$2:$N$1001),0)</f>
        <v>918264</v>
      </c>
      <c r="D5" s="29">
        <f>ROUND(AVERAGEIF(Clean_Data!$H$2:$H$1001,A5,Clean_Data!$P$2:$P$1001),2)</f>
        <v>3.52</v>
      </c>
      <c r="F5" s="26" t="s">
        <v>1696</v>
      </c>
      <c r="G5" s="27">
        <f>COUNTIF(Clean_Data!$W$2:$W$1001,F5)</f>
        <v>264</v>
      </c>
      <c r="H5" s="28">
        <f>ROUND(AVERAGEIF(Clean_Data!$W$2:$W$1001,F5,Clean_Data!$M$2:$M$1001),0)</f>
        <v>79072</v>
      </c>
    </row>
    <row r="6" spans="1:10" ht="15" customHeight="1" x14ac:dyDescent="0.3">
      <c r="A6" s="26" t="s">
        <v>118</v>
      </c>
      <c r="B6" s="27">
        <f>COUNTIF(Clean_Data!$H$2:$H$1001,A6)</f>
        <v>153</v>
      </c>
      <c r="C6" s="28">
        <f>ROUND(AVERAGEIF(Clean_Data!$H$2:$H$1001,A6,Clean_Data!$N$2:$N$1001),0)</f>
        <v>1034516</v>
      </c>
      <c r="D6" s="29">
        <f>ROUND(AVERAGEIF(Clean_Data!$H$2:$H$1001,A6,Clean_Data!$P$2:$P$1001),2)</f>
        <v>3.68</v>
      </c>
      <c r="F6" s="26" t="s">
        <v>1697</v>
      </c>
      <c r="G6" s="27">
        <f>COUNTIF(Clean_Data!$W$2:$W$1001,F6)</f>
        <v>228</v>
      </c>
      <c r="H6" s="28">
        <f>ROUND(AVERAGEIF(Clean_Data!$W$2:$W$1001,F6,Clean_Data!$M$2:$M$1001),0)</f>
        <v>78325</v>
      </c>
    </row>
    <row r="7" spans="1:10" ht="15" customHeight="1" x14ac:dyDescent="0.3">
      <c r="A7" s="26" t="s">
        <v>38</v>
      </c>
      <c r="B7" s="27">
        <f>COUNTIF(Clean_Data!$H$2:$H$1001,A7)</f>
        <v>272</v>
      </c>
      <c r="C7" s="28">
        <f>ROUND(AVERAGEIF(Clean_Data!$H$2:$H$1001,A7,Clean_Data!$N$2:$N$1001),0)</f>
        <v>1010277</v>
      </c>
      <c r="D7" s="29">
        <f>ROUND(AVERAGEIF(Clean_Data!$H$2:$H$1001,A7,Clean_Data!$P$2:$P$1001),2)</f>
        <v>3.53</v>
      </c>
    </row>
    <row r="8" spans="1:10" ht="15" customHeight="1" x14ac:dyDescent="0.3">
      <c r="F8" s="24" t="s">
        <v>1698</v>
      </c>
    </row>
    <row r="9" spans="1:10" ht="15" customHeight="1" x14ac:dyDescent="0.3">
      <c r="A9" s="24" t="s">
        <v>1699</v>
      </c>
      <c r="F9" s="25" t="s">
        <v>1700</v>
      </c>
      <c r="G9" s="25" t="s">
        <v>1690</v>
      </c>
      <c r="H9" s="25" t="s">
        <v>1693</v>
      </c>
    </row>
    <row r="10" spans="1:10" ht="15" customHeight="1" x14ac:dyDescent="0.3">
      <c r="A10" s="25" t="s">
        <v>16</v>
      </c>
      <c r="B10" s="25" t="s">
        <v>1690</v>
      </c>
      <c r="F10" s="26" t="s">
        <v>1701</v>
      </c>
      <c r="G10" s="27">
        <f>COUNTIF(Clean_Data!$X$2:$X$1001,F10)</f>
        <v>181</v>
      </c>
      <c r="H10" s="28">
        <f>ROUND(AVERAGEIF(Clean_Data!$X$2:$X$1001,F10,Clean_Data!$M$2:$M$1001),0)</f>
        <v>77047</v>
      </c>
    </row>
    <row r="11" spans="1:10" ht="15" customHeight="1" x14ac:dyDescent="0.3">
      <c r="A11" s="26" t="s">
        <v>123</v>
      </c>
      <c r="B11" s="27">
        <f>COUNTIF(Clean_Data!$F$2:$F$1001,A11)</f>
        <v>98</v>
      </c>
      <c r="F11" s="26" t="s">
        <v>1702</v>
      </c>
      <c r="G11" s="27">
        <f>COUNTIF(Clean_Data!$X$2:$X$1001,F11)</f>
        <v>164</v>
      </c>
      <c r="H11" s="28">
        <f>ROUND(AVERAGEIF(Clean_Data!$X$2:$X$1001,F11,Clean_Data!$M$2:$M$1001),0)</f>
        <v>77623</v>
      </c>
    </row>
    <row r="12" spans="1:10" ht="15" customHeight="1" x14ac:dyDescent="0.3">
      <c r="A12" s="26" t="s">
        <v>86</v>
      </c>
      <c r="B12" s="27">
        <f>COUNTIF(Clean_Data!$F$2:$F$1001,A12)</f>
        <v>106</v>
      </c>
      <c r="F12" s="26" t="s">
        <v>1703</v>
      </c>
      <c r="G12" s="27">
        <f>COUNTIF(Clean_Data!$X$2:$X$1001,F12)</f>
        <v>348</v>
      </c>
      <c r="H12" s="28">
        <f>ROUND(AVERAGEIF(Clean_Data!$X$2:$X$1001,F12,Clean_Data!$M$2:$M$1001),0)</f>
        <v>80660</v>
      </c>
    </row>
    <row r="13" spans="1:10" ht="15" customHeight="1" x14ac:dyDescent="0.3">
      <c r="A13" s="26" t="s">
        <v>49</v>
      </c>
      <c r="B13" s="27">
        <f>COUNTIF(Clean_Data!$F$2:$F$1001,A13)</f>
        <v>97</v>
      </c>
      <c r="F13" s="26" t="s">
        <v>1704</v>
      </c>
      <c r="G13" s="27">
        <f>COUNTIF(Clean_Data!$X$2:$X$1001,F13)</f>
        <v>307</v>
      </c>
      <c r="H13" s="28">
        <f>ROUND(AVERAGEIF(Clean_Data!$X$2:$X$1001,F13,Clean_Data!$M$2:$M$1001),0)</f>
        <v>80476</v>
      </c>
    </row>
    <row r="14" spans="1:10" ht="15" customHeight="1" x14ac:dyDescent="0.3">
      <c r="A14" s="26" t="s">
        <v>97</v>
      </c>
      <c r="B14" s="27">
        <f>COUNTIF(Clean_Data!$F$2:$F$1001,A14)</f>
        <v>104</v>
      </c>
    </row>
    <row r="15" spans="1:10" ht="15" customHeight="1" x14ac:dyDescent="0.3">
      <c r="A15" s="26" t="s">
        <v>108</v>
      </c>
      <c r="B15" s="27">
        <f>COUNTIF(Clean_Data!$F$2:$F$1001,A15)</f>
        <v>108</v>
      </c>
      <c r="F15" s="24" t="s">
        <v>1705</v>
      </c>
    </row>
    <row r="16" spans="1:10" ht="15" customHeight="1" x14ac:dyDescent="0.3">
      <c r="A16" s="26" t="s">
        <v>72</v>
      </c>
      <c r="B16" s="27">
        <f>COUNTIF(Clean_Data!$F$2:$F$1001,A16)</f>
        <v>107</v>
      </c>
      <c r="F16" s="25" t="s">
        <v>1706</v>
      </c>
      <c r="G16" s="25" t="s">
        <v>1690</v>
      </c>
      <c r="H16" s="25" t="s">
        <v>1691</v>
      </c>
      <c r="I16" s="25" t="s">
        <v>1707</v>
      </c>
      <c r="J16" s="25" t="s">
        <v>1708</v>
      </c>
    </row>
    <row r="17" spans="1:10" ht="15" customHeight="1" x14ac:dyDescent="0.3">
      <c r="A17" s="26" t="s">
        <v>36</v>
      </c>
      <c r="B17" s="27">
        <f>COUNTIF(Clean_Data!$F$2:$F$1001,A17)</f>
        <v>99</v>
      </c>
      <c r="F17" s="26" t="s">
        <v>1709</v>
      </c>
      <c r="G17" s="27">
        <f>COUNTIF(Clean_Data!$Q$2:$Q$1001,"Yes")</f>
        <v>176</v>
      </c>
      <c r="H17" s="29">
        <f>ROUND(AVERAGEIF(Clean_Data!$Q$2:$Q$1001,"Yes",Clean_Data!$P$2:$P$1001),2)</f>
        <v>3.51</v>
      </c>
      <c r="I17" s="30">
        <f>ROUND(AVERAGEIF(Clean_Data!$Q$2:$Q$1001,"Yes",Clean_Data!$R$2:$R$1001),1)</f>
        <v>9.9</v>
      </c>
      <c r="J17" s="30">
        <f>ROUND(AVERAGEIF(Clean_Data!$Q$2:$Q$1001,"Yes",Clean_Data!$S$2:$S$1001),1)</f>
        <v>20.3</v>
      </c>
    </row>
    <row r="18" spans="1:10" ht="15" customHeight="1" x14ac:dyDescent="0.3">
      <c r="A18" s="26" t="s">
        <v>57</v>
      </c>
      <c r="B18" s="27">
        <f>COUNTIF(Clean_Data!$F$2:$F$1001,A18)</f>
        <v>86</v>
      </c>
      <c r="F18" s="26" t="s">
        <v>1710</v>
      </c>
      <c r="G18" s="27">
        <f>COUNTIF(Clean_Data!$Q$2:$Q$1001,"No")</f>
        <v>824</v>
      </c>
      <c r="H18" s="29">
        <f>ROUND(AVERAGEIF(Clean_Data!$Q$2:$Q$1001,"No",Clean_Data!$P$2:$P$1001),2)</f>
        <v>3.6</v>
      </c>
      <c r="I18" s="30">
        <f>ROUND(AVERAGEIF(Clean_Data!$Q$2:$Q$1001,"No",Clean_Data!$R$2:$R$1001),1)</f>
        <v>10.199999999999999</v>
      </c>
      <c r="J18" s="30">
        <f>ROUND(AVERAGEIF(Clean_Data!$Q$2:$Q$1001,"No",Clean_Data!$S$2:$S$1001),1)</f>
        <v>20.3</v>
      </c>
    </row>
    <row r="19" spans="1:10" ht="15" customHeight="1" x14ac:dyDescent="0.3">
      <c r="A19" s="26" t="s">
        <v>80</v>
      </c>
      <c r="B19" s="27">
        <f>COUNTIF(Clean_Data!$F$2:$F$1001,A19)</f>
        <v>92</v>
      </c>
    </row>
    <row r="20" spans="1:10" ht="15" customHeight="1" x14ac:dyDescent="0.3">
      <c r="A20" s="26" t="s">
        <v>91</v>
      </c>
      <c r="B20" s="27">
        <f>COUNTIF(Clean_Data!$F$2:$F$1001,A20)</f>
        <v>103</v>
      </c>
      <c r="F20" s="24" t="s">
        <v>1711</v>
      </c>
    </row>
    <row r="21" spans="1:10" ht="15" customHeight="1" x14ac:dyDescent="0.3">
      <c r="F21" s="25" t="s">
        <v>75</v>
      </c>
      <c r="G21" s="25" t="s">
        <v>1712</v>
      </c>
      <c r="H21" s="25" t="s">
        <v>1691</v>
      </c>
      <c r="I21" s="25" t="s">
        <v>1713</v>
      </c>
    </row>
    <row r="22" spans="1:10" ht="15" customHeight="1" x14ac:dyDescent="0.3">
      <c r="A22" s="24" t="s">
        <v>1714</v>
      </c>
      <c r="F22" s="26" t="s">
        <v>105</v>
      </c>
      <c r="G22" s="27">
        <f>COUNTIF(Clean_Data!$T$2:$T$1001,F22)</f>
        <v>89</v>
      </c>
      <c r="H22" s="29">
        <f>ROUND(AVERAGEIF(Clean_Data!$T$2:$T$1001,F22,Clean_Data!$P$2:$P$1001),2)</f>
        <v>3.46</v>
      </c>
      <c r="I22" s="31">
        <f t="shared" ref="I22:I31" si="0">RANK(G22,$G$22:$G$31)</f>
        <v>10</v>
      </c>
    </row>
    <row r="23" spans="1:10" ht="15" customHeight="1" x14ac:dyDescent="0.3">
      <c r="A23" s="25" t="s">
        <v>1715</v>
      </c>
      <c r="B23" s="25" t="s">
        <v>1690</v>
      </c>
      <c r="C23" s="25" t="s">
        <v>1681</v>
      </c>
      <c r="F23" s="26" t="s">
        <v>175</v>
      </c>
      <c r="G23" s="27">
        <f>COUNTIF(Clean_Data!$T$2:$T$1001,F23)</f>
        <v>93</v>
      </c>
      <c r="H23" s="29">
        <f>ROUND(AVERAGEIF(Clean_Data!$T$2:$T$1001,F23,Clean_Data!$P$2:$P$1001),2)</f>
        <v>3.76</v>
      </c>
      <c r="I23" s="31">
        <f t="shared" si="0"/>
        <v>9</v>
      </c>
    </row>
    <row r="24" spans="1:10" ht="15" customHeight="1" x14ac:dyDescent="0.3">
      <c r="A24" s="26" t="s">
        <v>51</v>
      </c>
      <c r="B24" s="27">
        <f>COUNTIF(Clean_Data!$I$2:$I$1001,A24)</f>
        <v>67</v>
      </c>
      <c r="C24" s="28">
        <f>ROUND(AVERAGEIF(Clean_Data!$I$2:$I$1001,A24,Clean_Data!$M$2:$M$1001),0)</f>
        <v>222957</v>
      </c>
      <c r="F24" s="26" t="s">
        <v>53</v>
      </c>
      <c r="G24" s="27">
        <f>COUNTIF(Clean_Data!$T$2:$T$1001,F24)</f>
        <v>102</v>
      </c>
      <c r="H24" s="29">
        <f>ROUND(AVERAGEIF(Clean_Data!$T$2:$T$1001,F24,Clean_Data!$P$2:$P$1001),2)</f>
        <v>3.6</v>
      </c>
      <c r="I24" s="31">
        <f t="shared" si="0"/>
        <v>5</v>
      </c>
    </row>
    <row r="25" spans="1:10" ht="15" customHeight="1" x14ac:dyDescent="0.3">
      <c r="A25" s="26" t="s">
        <v>60</v>
      </c>
      <c r="B25" s="27">
        <f>COUNTIF(Clean_Data!$I$2:$I$1001,A25)</f>
        <v>111</v>
      </c>
      <c r="C25" s="28">
        <f>ROUND(AVERAGEIF(Clean_Data!$I$2:$I$1001,A25,Clean_Data!$M$2:$M$1001),0)</f>
        <v>139088</v>
      </c>
      <c r="F25" s="26" t="s">
        <v>77</v>
      </c>
      <c r="G25" s="27">
        <f>COUNTIF(Clean_Data!$T$2:$T$1001,F25)</f>
        <v>101</v>
      </c>
      <c r="H25" s="29">
        <f>ROUND(AVERAGEIF(Clean_Data!$T$2:$T$1001,F25,Clean_Data!$P$2:$P$1001),2)</f>
        <v>3.68</v>
      </c>
      <c r="I25" s="31">
        <f t="shared" si="0"/>
        <v>6</v>
      </c>
    </row>
    <row r="26" spans="1:10" ht="15" customHeight="1" x14ac:dyDescent="0.3">
      <c r="A26" s="26" t="s">
        <v>75</v>
      </c>
      <c r="B26" s="27">
        <f>COUNTIF(Clean_Data!$I$2:$I$1001,A26)</f>
        <v>211</v>
      </c>
      <c r="C26" s="28">
        <f>ROUND(AVERAGEIF(Clean_Data!$I$2:$I$1001,A26,Clean_Data!$M$2:$M$1001),0)</f>
        <v>91411</v>
      </c>
      <c r="F26" s="26" t="s">
        <v>146</v>
      </c>
      <c r="G26" s="27">
        <f>COUNTIF(Clean_Data!$T$2:$T$1001,F26)</f>
        <v>95</v>
      </c>
      <c r="H26" s="29">
        <f>ROUND(AVERAGEIF(Clean_Data!$T$2:$T$1001,F26,Clean_Data!$P$2:$P$1001),2)</f>
        <v>3.52</v>
      </c>
      <c r="I26" s="31">
        <f t="shared" si="0"/>
        <v>8</v>
      </c>
    </row>
    <row r="27" spans="1:10" ht="15" customHeight="1" x14ac:dyDescent="0.3">
      <c r="A27" s="26" t="s">
        <v>82</v>
      </c>
      <c r="B27" s="27">
        <f>COUNTIF(Clean_Data!$I$2:$I$1001,A27)</f>
        <v>296</v>
      </c>
      <c r="C27" s="28">
        <f>ROUND(AVERAGEIF(Clean_Data!$I$2:$I$1001,A27,Clean_Data!$M$2:$M$1001),0)</f>
        <v>60463</v>
      </c>
      <c r="F27" s="26" t="s">
        <v>129</v>
      </c>
      <c r="G27" s="27">
        <f>COUNTIF(Clean_Data!$T$2:$T$1001,F27)</f>
        <v>96</v>
      </c>
      <c r="H27" s="29">
        <f>ROUND(AVERAGEIF(Clean_Data!$T$2:$T$1001,F27,Clean_Data!$P$2:$P$1001),2)</f>
        <v>3.76</v>
      </c>
      <c r="I27" s="31">
        <f t="shared" si="0"/>
        <v>7</v>
      </c>
    </row>
    <row r="28" spans="1:10" ht="15" customHeight="1" x14ac:dyDescent="0.3">
      <c r="A28" s="26" t="s">
        <v>39</v>
      </c>
      <c r="B28" s="27">
        <f>COUNTIF(Clean_Data!$I$2:$I$1001,A28)</f>
        <v>315</v>
      </c>
      <c r="C28" s="28">
        <f>ROUND(AVERAGEIF(Clean_Data!$I$2:$I$1001,A28,Clean_Data!$M$2:$M$1001),0)</f>
        <v>37745</v>
      </c>
      <c r="F28" s="26" t="s">
        <v>68</v>
      </c>
      <c r="G28" s="27">
        <f>COUNTIF(Clean_Data!$T$2:$T$1001,F28)</f>
        <v>106</v>
      </c>
      <c r="H28" s="29">
        <f>ROUND(AVERAGEIF(Clean_Data!$T$2:$T$1001,F28,Clean_Data!$P$2:$P$1001),2)</f>
        <v>3.58</v>
      </c>
      <c r="I28" s="31">
        <f t="shared" si="0"/>
        <v>2</v>
      </c>
    </row>
    <row r="29" spans="1:10" ht="15" customHeight="1" x14ac:dyDescent="0.3">
      <c r="F29" s="26" t="s">
        <v>43</v>
      </c>
      <c r="G29" s="27">
        <f>COUNTIF(Clean_Data!$T$2:$T$1001,F29)</f>
        <v>108</v>
      </c>
      <c r="H29" s="29">
        <f>ROUND(AVERAGEIF(Clean_Data!$T$2:$T$1001,F29,Clean_Data!$P$2:$P$1001),2)</f>
        <v>3.47</v>
      </c>
      <c r="I29" s="31">
        <f t="shared" si="0"/>
        <v>1</v>
      </c>
    </row>
    <row r="30" spans="1:10" ht="15" customHeight="1" x14ac:dyDescent="0.3">
      <c r="A30" s="24" t="s">
        <v>1716</v>
      </c>
      <c r="F30" s="26" t="s">
        <v>94</v>
      </c>
      <c r="G30" s="27">
        <f>COUNTIF(Clean_Data!$T$2:$T$1001,F30)</f>
        <v>104</v>
      </c>
      <c r="H30" s="29">
        <f>ROUND(AVERAGEIF(Clean_Data!$T$2:$T$1001,F30,Clean_Data!$P$2:$P$1001),2)</f>
        <v>3.5</v>
      </c>
      <c r="I30" s="31">
        <f t="shared" si="0"/>
        <v>4</v>
      </c>
    </row>
    <row r="31" spans="1:10" ht="15" customHeight="1" x14ac:dyDescent="0.3">
      <c r="A31" s="25" t="s">
        <v>1717</v>
      </c>
      <c r="B31" s="25" t="s">
        <v>1690</v>
      </c>
      <c r="C31" s="25" t="s">
        <v>1718</v>
      </c>
      <c r="F31" s="26" t="s">
        <v>62</v>
      </c>
      <c r="G31" s="27">
        <f>COUNTIF(Clean_Data!$T$2:$T$1001,F31)</f>
        <v>106</v>
      </c>
      <c r="H31" s="29">
        <f>ROUND(AVERAGEIF(Clean_Data!$T$2:$T$1001,F31,Clean_Data!$P$2:$P$1001),2)</f>
        <v>3.52</v>
      </c>
      <c r="I31" s="31">
        <f t="shared" si="0"/>
        <v>2</v>
      </c>
    </row>
    <row r="32" spans="1:10" ht="15" customHeight="1" x14ac:dyDescent="0.3">
      <c r="A32" s="26" t="s">
        <v>52</v>
      </c>
      <c r="B32" s="27">
        <f>COUNTIF(Clean_Data!$L$2:$L$1001,A32)</f>
        <v>822</v>
      </c>
      <c r="C32" s="32">
        <f>B32/$B$3</f>
        <v>2.795918367346939</v>
      </c>
    </row>
    <row r="33" spans="1:4" ht="15" customHeight="1" x14ac:dyDescent="0.3">
      <c r="A33" s="26" t="s">
        <v>41</v>
      </c>
      <c r="B33" s="27">
        <f>COUNTIF(Clean_Data!$L$2:$L$1001,A33)</f>
        <v>102</v>
      </c>
      <c r="C33" s="32">
        <f>B33/$B$3</f>
        <v>0.34693877551020408</v>
      </c>
    </row>
    <row r="34" spans="1:4" ht="15" customHeight="1" x14ac:dyDescent="0.3">
      <c r="A34" s="26" t="s">
        <v>120</v>
      </c>
      <c r="B34" s="27">
        <f>COUNTIF(Clean_Data!$L$2:$L$1001,A34)</f>
        <v>76</v>
      </c>
      <c r="C34" s="32">
        <f>B34/$B$3</f>
        <v>0.25850340136054423</v>
      </c>
    </row>
    <row r="36" spans="1:4" ht="15" customHeight="1" x14ac:dyDescent="0.3">
      <c r="A36" s="24" t="s">
        <v>1719</v>
      </c>
    </row>
    <row r="37" spans="1:4" ht="15" customHeight="1" x14ac:dyDescent="0.3">
      <c r="A37" s="25" t="s">
        <v>14</v>
      </c>
      <c r="B37" s="25" t="s">
        <v>1690</v>
      </c>
      <c r="C37" s="25" t="s">
        <v>1693</v>
      </c>
      <c r="D37" s="25" t="s">
        <v>1691</v>
      </c>
    </row>
    <row r="38" spans="1:4" ht="15" customHeight="1" x14ac:dyDescent="0.3">
      <c r="A38" s="26" t="s">
        <v>35</v>
      </c>
      <c r="B38" s="27">
        <f>COUNTIF(Clean_Data!$D$2:$D$1001,A38)</f>
        <v>579</v>
      </c>
      <c r="C38" s="28">
        <f>ROUND(AVERAGEIF(Clean_Data!$D$2:$D$1001,A38,Clean_Data!$M$2:$M$1001),0)</f>
        <v>78784</v>
      </c>
      <c r="D38" s="29">
        <f>ROUND(AVERAGEIF(Clean_Data!$D$2:$D$1001,A38,Clean_Data!$P$2:$P$1001),2)</f>
        <v>3.59</v>
      </c>
    </row>
    <row r="39" spans="1:4" ht="15" customHeight="1" x14ac:dyDescent="0.3">
      <c r="A39" s="26" t="s">
        <v>48</v>
      </c>
      <c r="B39" s="27">
        <f>COUNTIF(Clean_Data!$D$2:$D$1001,A39)</f>
        <v>421</v>
      </c>
      <c r="C39" s="28">
        <f>ROUND(AVERAGEIF(Clean_Data!$D$2:$D$1001,A39,Clean_Data!$M$2:$M$1001),0)</f>
        <v>80369</v>
      </c>
      <c r="D39" s="29">
        <f>ROUND(AVERAGEIF(Clean_Data!$D$2:$D$1001,A39,Clean_Data!$P$2:$P$1001),2)</f>
        <v>3.57</v>
      </c>
    </row>
    <row r="41" spans="1:4" ht="15" customHeight="1" x14ac:dyDescent="0.3">
      <c r="A41" s="24" t="s">
        <v>1720</v>
      </c>
    </row>
    <row r="42" spans="1:4" ht="15" customHeight="1" x14ac:dyDescent="0.3">
      <c r="A42" s="25" t="s">
        <v>18</v>
      </c>
      <c r="B42" s="25" t="s">
        <v>1721</v>
      </c>
      <c r="C42" s="25" t="s">
        <v>1690</v>
      </c>
      <c r="D42" s="25" t="s">
        <v>1680</v>
      </c>
    </row>
    <row r="43" spans="1:4" ht="15" customHeight="1" x14ac:dyDescent="0.3">
      <c r="A43" s="26" t="s">
        <v>66</v>
      </c>
      <c r="B43" s="27">
        <f>COUNTIFS(Clean_Data!$H$2:$H$1001,A43,Clean_Data!$Q$2:$Q$1001,"Yes")</f>
        <v>56</v>
      </c>
      <c r="C43" s="27">
        <f>COUNTIF(Clean_Data!$H$2:$H$1001,A43)</f>
        <v>294</v>
      </c>
      <c r="D43" s="32">
        <f>B43/C43</f>
        <v>0.19047619047619047</v>
      </c>
    </row>
    <row r="44" spans="1:4" ht="15" customHeight="1" x14ac:dyDescent="0.3">
      <c r="A44" s="26" t="s">
        <v>74</v>
      </c>
      <c r="B44" s="27">
        <f>COUNTIFS(Clean_Data!$H$2:$H$1001,A44,Clean_Data!$Q$2:$Q$1001,"Yes")</f>
        <v>32</v>
      </c>
      <c r="C44" s="27">
        <f>COUNTIF(Clean_Data!$H$2:$H$1001,A44)</f>
        <v>148</v>
      </c>
      <c r="D44" s="32">
        <f>B44/C44</f>
        <v>0.21621621621621623</v>
      </c>
    </row>
    <row r="45" spans="1:4" ht="15" customHeight="1" x14ac:dyDescent="0.3">
      <c r="A45" s="26" t="s">
        <v>59</v>
      </c>
      <c r="B45" s="27">
        <f>COUNTIFS(Clean_Data!$H$2:$H$1001,A45,Clean_Data!$Q$2:$Q$1001,"Yes")</f>
        <v>24</v>
      </c>
      <c r="C45" s="27">
        <f>COUNTIF(Clean_Data!$H$2:$H$1001,A45)</f>
        <v>133</v>
      </c>
      <c r="D45" s="32">
        <f>B45/C45</f>
        <v>0.18045112781954886</v>
      </c>
    </row>
    <row r="46" spans="1:4" ht="15" customHeight="1" x14ac:dyDescent="0.3">
      <c r="A46" s="26" t="s">
        <v>118</v>
      </c>
      <c r="B46" s="27">
        <f>COUNTIFS(Clean_Data!$H$2:$H$1001,A46,Clean_Data!$Q$2:$Q$1001,"Yes")</f>
        <v>22</v>
      </c>
      <c r="C46" s="27">
        <f>COUNTIF(Clean_Data!$H$2:$H$1001,A46)</f>
        <v>153</v>
      </c>
      <c r="D46" s="32">
        <f>B46/C46</f>
        <v>0.1437908496732026</v>
      </c>
    </row>
    <row r="47" spans="1:4" ht="15" customHeight="1" x14ac:dyDescent="0.3">
      <c r="A47" s="26" t="s">
        <v>38</v>
      </c>
      <c r="B47" s="27">
        <f>COUNTIFS(Clean_Data!$H$2:$H$1001,A47,Clean_Data!$Q$2:$Q$1001,"Yes")</f>
        <v>42</v>
      </c>
      <c r="C47" s="27">
        <f>COUNTIF(Clean_Data!$H$2:$H$1001,A47)</f>
        <v>272</v>
      </c>
      <c r="D47" s="32">
        <f>B47/C47</f>
        <v>0.15441176470588236</v>
      </c>
    </row>
    <row r="49" spans="1:3" ht="15" customHeight="1" x14ac:dyDescent="0.3">
      <c r="A49" s="24" t="s">
        <v>1722</v>
      </c>
    </row>
    <row r="50" spans="1:3" ht="15" customHeight="1" x14ac:dyDescent="0.3">
      <c r="A50" s="25" t="s">
        <v>31</v>
      </c>
      <c r="B50" s="25" t="s">
        <v>1690</v>
      </c>
      <c r="C50" s="25" t="s">
        <v>1693</v>
      </c>
    </row>
    <row r="51" spans="1:3" ht="15" customHeight="1" x14ac:dyDescent="0.3">
      <c r="A51" s="26" t="s">
        <v>138</v>
      </c>
      <c r="B51" s="27">
        <f>COUNTIF(Clean_Data!$U$2:$U$1001,A51)</f>
        <v>48</v>
      </c>
      <c r="C51" s="28">
        <f>ROUND(AVERAGEIF(Clean_Data!$U$2:$U$1001,A51,Clean_Data!$M$2:$M$1001),0)</f>
        <v>83010</v>
      </c>
    </row>
    <row r="52" spans="1:3" ht="15" customHeight="1" x14ac:dyDescent="0.3">
      <c r="A52" s="26" t="s">
        <v>63</v>
      </c>
      <c r="B52" s="27">
        <f>COUNTIF(Clean_Data!$U$2:$U$1001,A52)</f>
        <v>353</v>
      </c>
      <c r="C52" s="28">
        <f>ROUND(AVERAGEIF(Clean_Data!$U$2:$U$1001,A52,Clean_Data!$M$2:$M$1001),0)</f>
        <v>81572</v>
      </c>
    </row>
    <row r="53" spans="1:3" ht="15" customHeight="1" x14ac:dyDescent="0.3">
      <c r="A53" s="26" t="s">
        <v>44</v>
      </c>
      <c r="B53" s="27">
        <f>COUNTIF(Clean_Data!$U$2:$U$1001,A53)</f>
        <v>466</v>
      </c>
      <c r="C53" s="28">
        <f>ROUND(AVERAGEIF(Clean_Data!$U$2:$U$1001,A53,Clean_Data!$M$2:$M$1001),0)</f>
        <v>77792</v>
      </c>
    </row>
    <row r="54" spans="1:3" ht="15" customHeight="1" x14ac:dyDescent="0.3">
      <c r="A54" s="26" t="s">
        <v>54</v>
      </c>
      <c r="B54" s="27">
        <f>COUNTIF(Clean_Data!$U$2:$U$1001,A54)</f>
        <v>133</v>
      </c>
      <c r="C54" s="28">
        <f>ROUND(AVERAGEIF(Clean_Data!$U$2:$U$1001,A54,Clean_Data!$M$2:$M$1001),0)</f>
        <v>78353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0"/>
  <sheetViews>
    <sheetView showGridLines="0" topLeftCell="A84" zoomScaleNormal="100" workbookViewId="0"/>
  </sheetViews>
  <sheetFormatPr defaultColWidth="8.6640625" defaultRowHeight="14.4" x14ac:dyDescent="0.3"/>
  <cols>
    <col min="1" max="1" width="54" customWidth="1"/>
    <col min="2" max="2" width="28" customWidth="1"/>
    <col min="3" max="3" width="20" customWidth="1"/>
  </cols>
  <sheetData>
    <row r="1" spans="1:3" ht="15" customHeight="1" x14ac:dyDescent="0.3">
      <c r="A1" s="24" t="s">
        <v>1723</v>
      </c>
    </row>
    <row r="2" spans="1:3" ht="15" customHeight="1" x14ac:dyDescent="0.3">
      <c r="A2" s="25" t="s">
        <v>1724</v>
      </c>
      <c r="B2" s="25" t="s">
        <v>1725</v>
      </c>
      <c r="C2" s="25" t="s">
        <v>1726</v>
      </c>
    </row>
    <row r="3" spans="1:3" ht="15" customHeight="1" x14ac:dyDescent="0.3">
      <c r="A3" s="26" t="s">
        <v>1727</v>
      </c>
      <c r="B3" s="27">
        <f>COUNTIF(Clean_Data!$Y$2:$Y$1001,A3)</f>
        <v>67</v>
      </c>
      <c r="C3" s="28">
        <f>ROUND(AVERAGEIF(Clean_Data!$Y$2:$Y$1001,A3,Clean_Data!$M$2:$M$1001),0)</f>
        <v>81103</v>
      </c>
    </row>
    <row r="4" spans="1:3" ht="15" customHeight="1" x14ac:dyDescent="0.3">
      <c r="A4" s="26" t="s">
        <v>1728</v>
      </c>
      <c r="B4" s="27">
        <f>COUNTIF(Clean_Data!$Y$2:$Y$1001,A4)</f>
        <v>100</v>
      </c>
      <c r="C4" s="28">
        <f>ROUND(AVERAGEIF(Clean_Data!$Y$2:$Y$1001,A4,Clean_Data!$M$2:$M$1001),0)</f>
        <v>77918</v>
      </c>
    </row>
    <row r="5" spans="1:3" ht="15" customHeight="1" x14ac:dyDescent="0.3">
      <c r="A5" s="26" t="s">
        <v>1729</v>
      </c>
      <c r="B5" s="27">
        <f>COUNTIF(Clean_Data!$Y$2:$Y$1001,A5)</f>
        <v>94</v>
      </c>
      <c r="C5" s="28">
        <f>ROUND(AVERAGEIF(Clean_Data!$Y$2:$Y$1001,A5,Clean_Data!$M$2:$M$1001),0)</f>
        <v>75282</v>
      </c>
    </row>
    <row r="6" spans="1:3" ht="15" customHeight="1" x14ac:dyDescent="0.3">
      <c r="A6" s="26" t="s">
        <v>1730</v>
      </c>
      <c r="B6" s="27">
        <f>COUNTIF(Clean_Data!$Y$2:$Y$1001,A6)</f>
        <v>89</v>
      </c>
      <c r="C6" s="28">
        <f>ROUND(AVERAGEIF(Clean_Data!$Y$2:$Y$1001,A6,Clean_Data!$M$2:$M$1001),0)</f>
        <v>77413</v>
      </c>
    </row>
    <row r="7" spans="1:3" ht="15" customHeight="1" x14ac:dyDescent="0.3">
      <c r="A7" s="26" t="s">
        <v>1731</v>
      </c>
      <c r="B7" s="27">
        <f>COUNTIF(Clean_Data!$Y$2:$Y$1001,A7)</f>
        <v>85</v>
      </c>
      <c r="C7" s="28">
        <f>ROUND(AVERAGEIF(Clean_Data!$Y$2:$Y$1001,A7,Clean_Data!$M$2:$M$1001),0)</f>
        <v>80093</v>
      </c>
    </row>
    <row r="8" spans="1:3" ht="15" customHeight="1" x14ac:dyDescent="0.3">
      <c r="A8" s="26" t="s">
        <v>1732</v>
      </c>
      <c r="B8" s="27">
        <f>COUNTIF(Clean_Data!$Y$2:$Y$1001,A8)</f>
        <v>79</v>
      </c>
      <c r="C8" s="28">
        <f>ROUND(AVERAGEIF(Clean_Data!$Y$2:$Y$1001,A8,Clean_Data!$M$2:$M$1001),0)</f>
        <v>78181</v>
      </c>
    </row>
    <row r="9" spans="1:3" ht="15" customHeight="1" x14ac:dyDescent="0.3">
      <c r="A9" s="26" t="s">
        <v>1733</v>
      </c>
      <c r="B9" s="27">
        <f>COUNTIF(Clean_Data!$Y$2:$Y$1001,A9)</f>
        <v>80</v>
      </c>
      <c r="C9" s="28">
        <f>ROUND(AVERAGEIF(Clean_Data!$Y$2:$Y$1001,A9,Clean_Data!$M$2:$M$1001),0)</f>
        <v>78719</v>
      </c>
    </row>
    <row r="10" spans="1:3" ht="15" customHeight="1" x14ac:dyDescent="0.3">
      <c r="A10" s="26" t="s">
        <v>1734</v>
      </c>
      <c r="B10" s="27">
        <f>COUNTIF(Clean_Data!$Y$2:$Y$1001,A10)</f>
        <v>79</v>
      </c>
      <c r="C10" s="28">
        <f>ROUND(AVERAGEIF(Clean_Data!$Y$2:$Y$1001,A10,Clean_Data!$M$2:$M$1001),0)</f>
        <v>81220</v>
      </c>
    </row>
    <row r="11" spans="1:3" ht="15" customHeight="1" x14ac:dyDescent="0.3">
      <c r="A11" s="26" t="s">
        <v>1735</v>
      </c>
      <c r="B11" s="27">
        <f>COUNTIF(Clean_Data!$Y$2:$Y$1001,A11)</f>
        <v>67</v>
      </c>
      <c r="C11" s="28">
        <f>ROUND(AVERAGEIF(Clean_Data!$Y$2:$Y$1001,A11,Clean_Data!$M$2:$M$1001),0)</f>
        <v>82306</v>
      </c>
    </row>
    <row r="12" spans="1:3" ht="15" customHeight="1" x14ac:dyDescent="0.3">
      <c r="A12" s="26" t="s">
        <v>1736</v>
      </c>
      <c r="B12" s="27">
        <f>COUNTIF(Clean_Data!$Y$2:$Y$1001,A12)</f>
        <v>92</v>
      </c>
      <c r="C12" s="28">
        <f>ROUND(AVERAGEIF(Clean_Data!$Y$2:$Y$1001,A12,Clean_Data!$M$2:$M$1001),0)</f>
        <v>85943</v>
      </c>
    </row>
    <row r="13" spans="1:3" ht="15" customHeight="1" x14ac:dyDescent="0.3">
      <c r="A13" s="26" t="s">
        <v>1737</v>
      </c>
      <c r="B13" s="27">
        <f>COUNTIF(Clean_Data!$Y$2:$Y$1001,A13)</f>
        <v>86</v>
      </c>
      <c r="C13" s="28">
        <f>ROUND(AVERAGEIF(Clean_Data!$Y$2:$Y$1001,A13,Clean_Data!$M$2:$M$1001),0)</f>
        <v>83859</v>
      </c>
    </row>
    <row r="14" spans="1:3" ht="15" customHeight="1" x14ac:dyDescent="0.3">
      <c r="A14" s="26" t="s">
        <v>1738</v>
      </c>
      <c r="B14" s="27">
        <f>COUNTIF(Clean_Data!$Y$2:$Y$1001,A14)</f>
        <v>82</v>
      </c>
      <c r="C14" s="28">
        <f>ROUND(AVERAGEIF(Clean_Data!$Y$2:$Y$1001,A14,Clean_Data!$M$2:$M$1001),0)</f>
        <v>72295</v>
      </c>
    </row>
    <row r="16" spans="1:3" ht="15" customHeight="1" x14ac:dyDescent="0.3">
      <c r="A16" s="24" t="s">
        <v>1739</v>
      </c>
    </row>
    <row r="17" spans="1:3" ht="15" customHeight="1" x14ac:dyDescent="0.3">
      <c r="A17" s="25" t="s">
        <v>18</v>
      </c>
      <c r="B17" s="25" t="s">
        <v>1740</v>
      </c>
      <c r="C17" s="25" t="s">
        <v>1690</v>
      </c>
    </row>
    <row r="18" spans="1:3" ht="15" customHeight="1" x14ac:dyDescent="0.3">
      <c r="A18" s="26" t="s">
        <v>66</v>
      </c>
      <c r="B18" s="26" t="s">
        <v>170</v>
      </c>
      <c r="C18" s="27">
        <f>COUNTIFS(Clean_Data!$H$2:$H$1001,A18,Clean_Data!$J$2:$J$1001,B18)</f>
        <v>53</v>
      </c>
    </row>
    <row r="19" spans="1:3" ht="15" customHeight="1" x14ac:dyDescent="0.3">
      <c r="A19" s="26" t="s">
        <v>66</v>
      </c>
      <c r="B19" s="26" t="s">
        <v>149</v>
      </c>
      <c r="C19" s="27">
        <f>COUNTIFS(Clean_Data!$H$2:$H$1001,A19,Clean_Data!$J$2:$J$1001,B19)</f>
        <v>54</v>
      </c>
    </row>
    <row r="20" spans="1:3" ht="15" customHeight="1" x14ac:dyDescent="0.3">
      <c r="A20" s="26" t="s">
        <v>66</v>
      </c>
      <c r="B20" s="26" t="s">
        <v>93</v>
      </c>
      <c r="C20" s="27">
        <f>COUNTIFS(Clean_Data!$H$2:$H$1001,A20,Clean_Data!$J$2:$J$1001,B20)</f>
        <v>64</v>
      </c>
    </row>
    <row r="21" spans="1:3" ht="15" customHeight="1" x14ac:dyDescent="0.3">
      <c r="A21" s="26" t="s">
        <v>66</v>
      </c>
      <c r="B21" s="26" t="s">
        <v>161</v>
      </c>
      <c r="C21" s="27">
        <f>COUNTIFS(Clean_Data!$H$2:$H$1001,A21,Clean_Data!$J$2:$J$1001,B21)</f>
        <v>64</v>
      </c>
    </row>
    <row r="22" spans="1:3" ht="15" customHeight="1" x14ac:dyDescent="0.3">
      <c r="A22" s="26" t="s">
        <v>66</v>
      </c>
      <c r="B22" s="26" t="s">
        <v>67</v>
      </c>
      <c r="C22" s="27">
        <f>COUNTIFS(Clean_Data!$H$2:$H$1001,A22,Clean_Data!$J$2:$J$1001,B22)</f>
        <v>59</v>
      </c>
    </row>
    <row r="23" spans="1:3" ht="15" customHeight="1" x14ac:dyDescent="0.3">
      <c r="A23" s="26" t="s">
        <v>74</v>
      </c>
      <c r="B23" s="26" t="s">
        <v>367</v>
      </c>
      <c r="C23" s="27">
        <f>COUNTIFS(Clean_Data!$H$2:$H$1001,A23,Clean_Data!$J$2:$J$1001,B23)</f>
        <v>27</v>
      </c>
    </row>
    <row r="24" spans="1:3" ht="15" customHeight="1" x14ac:dyDescent="0.3">
      <c r="A24" s="26" t="s">
        <v>74</v>
      </c>
      <c r="B24" s="26" t="s">
        <v>76</v>
      </c>
      <c r="C24" s="27">
        <f>COUNTIFS(Clean_Data!$H$2:$H$1001,A24,Clean_Data!$J$2:$J$1001,B24)</f>
        <v>27</v>
      </c>
    </row>
    <row r="25" spans="1:3" ht="15" customHeight="1" x14ac:dyDescent="0.3">
      <c r="A25" s="26" t="s">
        <v>74</v>
      </c>
      <c r="B25" s="26" t="s">
        <v>83</v>
      </c>
      <c r="C25" s="27">
        <f>COUNTIFS(Clean_Data!$H$2:$H$1001,A25,Clean_Data!$J$2:$J$1001,B25)</f>
        <v>33</v>
      </c>
    </row>
    <row r="26" spans="1:3" ht="15" customHeight="1" x14ac:dyDescent="0.3">
      <c r="A26" s="26" t="s">
        <v>74</v>
      </c>
      <c r="B26" s="26" t="s">
        <v>115</v>
      </c>
      <c r="C26" s="27">
        <f>COUNTIFS(Clean_Data!$H$2:$H$1001,A26,Clean_Data!$J$2:$J$1001,B26)</f>
        <v>25</v>
      </c>
    </row>
    <row r="27" spans="1:3" ht="15" customHeight="1" x14ac:dyDescent="0.3">
      <c r="A27" s="26" t="s">
        <v>74</v>
      </c>
      <c r="B27" s="26" t="s">
        <v>152</v>
      </c>
      <c r="C27" s="27">
        <f>COUNTIFS(Clean_Data!$H$2:$H$1001,A27,Clean_Data!$J$2:$J$1001,B27)</f>
        <v>36</v>
      </c>
    </row>
    <row r="28" spans="1:3" ht="15" customHeight="1" x14ac:dyDescent="0.3">
      <c r="A28" s="26" t="s">
        <v>59</v>
      </c>
      <c r="B28" s="26" t="s">
        <v>88</v>
      </c>
      <c r="C28" s="27">
        <f>COUNTIFS(Clean_Data!$H$2:$H$1001,A28,Clean_Data!$J$2:$J$1001,B28)</f>
        <v>24</v>
      </c>
    </row>
    <row r="29" spans="1:3" ht="15" customHeight="1" x14ac:dyDescent="0.3">
      <c r="A29" s="26" t="s">
        <v>59</v>
      </c>
      <c r="B29" s="26" t="s">
        <v>104</v>
      </c>
      <c r="C29" s="27">
        <f>COUNTIFS(Clean_Data!$H$2:$H$1001,A29,Clean_Data!$J$2:$J$1001,B29)</f>
        <v>35</v>
      </c>
    </row>
    <row r="30" spans="1:3" ht="15" customHeight="1" x14ac:dyDescent="0.3">
      <c r="A30" s="26" t="s">
        <v>59</v>
      </c>
      <c r="B30" s="26" t="s">
        <v>61</v>
      </c>
      <c r="C30" s="27">
        <f>COUNTIFS(Clean_Data!$H$2:$H$1001,A30,Clean_Data!$J$2:$J$1001,B30)</f>
        <v>24</v>
      </c>
    </row>
    <row r="31" spans="1:3" ht="15" customHeight="1" x14ac:dyDescent="0.3">
      <c r="A31" s="26" t="s">
        <v>59</v>
      </c>
      <c r="B31" s="26" t="s">
        <v>125</v>
      </c>
      <c r="C31" s="27">
        <f>COUNTIFS(Clean_Data!$H$2:$H$1001,A31,Clean_Data!$J$2:$J$1001,B31)</f>
        <v>23</v>
      </c>
    </row>
    <row r="32" spans="1:3" ht="15" customHeight="1" x14ac:dyDescent="0.3">
      <c r="A32" s="26" t="s">
        <v>59</v>
      </c>
      <c r="B32" s="26" t="s">
        <v>141</v>
      </c>
      <c r="C32" s="27">
        <f>COUNTIFS(Clean_Data!$H$2:$H$1001,A32,Clean_Data!$J$2:$J$1001,B32)</f>
        <v>27</v>
      </c>
    </row>
    <row r="33" spans="1:3" ht="15" customHeight="1" x14ac:dyDescent="0.3">
      <c r="A33" s="26" t="s">
        <v>118</v>
      </c>
      <c r="B33" s="26" t="s">
        <v>137</v>
      </c>
      <c r="C33" s="27">
        <f>COUNTIFS(Clean_Data!$H$2:$H$1001,A33,Clean_Data!$J$2:$J$1001,B33)</f>
        <v>41</v>
      </c>
    </row>
    <row r="34" spans="1:3" ht="15" customHeight="1" x14ac:dyDescent="0.3">
      <c r="A34" s="26" t="s">
        <v>118</v>
      </c>
      <c r="B34" s="26" t="s">
        <v>250</v>
      </c>
      <c r="C34" s="27">
        <f>COUNTIFS(Clean_Data!$H$2:$H$1001,A34,Clean_Data!$J$2:$J$1001,B34)</f>
        <v>26</v>
      </c>
    </row>
    <row r="35" spans="1:3" ht="15" customHeight="1" x14ac:dyDescent="0.3">
      <c r="A35" s="26" t="s">
        <v>118</v>
      </c>
      <c r="B35" s="26" t="s">
        <v>219</v>
      </c>
      <c r="C35" s="27">
        <f>COUNTIFS(Clean_Data!$H$2:$H$1001,A35,Clean_Data!$J$2:$J$1001,B35)</f>
        <v>33</v>
      </c>
    </row>
    <row r="36" spans="1:3" ht="15" customHeight="1" x14ac:dyDescent="0.3">
      <c r="A36" s="26" t="s">
        <v>118</v>
      </c>
      <c r="B36" s="26" t="s">
        <v>182</v>
      </c>
      <c r="C36" s="27">
        <f>COUNTIFS(Clean_Data!$H$2:$H$1001,A36,Clean_Data!$J$2:$J$1001,B36)</f>
        <v>26</v>
      </c>
    </row>
    <row r="37" spans="1:3" ht="15" customHeight="1" x14ac:dyDescent="0.3">
      <c r="A37" s="26" t="s">
        <v>118</v>
      </c>
      <c r="B37" s="26" t="s">
        <v>119</v>
      </c>
      <c r="C37" s="27">
        <f>COUNTIFS(Clean_Data!$H$2:$H$1001,A37,Clean_Data!$J$2:$J$1001,B37)</f>
        <v>27</v>
      </c>
    </row>
    <row r="38" spans="1:3" ht="15" customHeight="1" x14ac:dyDescent="0.3">
      <c r="A38" s="26" t="s">
        <v>38</v>
      </c>
      <c r="B38" s="26" t="s">
        <v>134</v>
      </c>
      <c r="C38" s="27">
        <f>COUNTIFS(Clean_Data!$H$2:$H$1001,A38,Clean_Data!$J$2:$J$1001,B38)</f>
        <v>56</v>
      </c>
    </row>
    <row r="39" spans="1:3" ht="15" customHeight="1" x14ac:dyDescent="0.3">
      <c r="A39" s="26" t="s">
        <v>38</v>
      </c>
      <c r="B39" s="26" t="s">
        <v>40</v>
      </c>
      <c r="C39" s="27">
        <f>COUNTIFS(Clean_Data!$H$2:$H$1001,A39,Clean_Data!$J$2:$J$1001,B39)</f>
        <v>58</v>
      </c>
    </row>
    <row r="40" spans="1:3" ht="15" customHeight="1" x14ac:dyDescent="0.3">
      <c r="A40" s="26" t="s">
        <v>38</v>
      </c>
      <c r="B40" s="26" t="s">
        <v>190</v>
      </c>
      <c r="C40" s="27">
        <f>COUNTIFS(Clean_Data!$H$2:$H$1001,A40,Clean_Data!$J$2:$J$1001,B40)</f>
        <v>53</v>
      </c>
    </row>
    <row r="41" spans="1:3" ht="15" customHeight="1" x14ac:dyDescent="0.3">
      <c r="A41" s="26" t="s">
        <v>38</v>
      </c>
      <c r="B41" s="26" t="s">
        <v>110</v>
      </c>
      <c r="C41" s="27">
        <f>COUNTIFS(Clean_Data!$H$2:$H$1001,A41,Clean_Data!$J$2:$J$1001,B41)</f>
        <v>53</v>
      </c>
    </row>
    <row r="42" spans="1:3" ht="15" customHeight="1" x14ac:dyDescent="0.3">
      <c r="A42" s="26" t="s">
        <v>38</v>
      </c>
      <c r="B42" s="26" t="s">
        <v>99</v>
      </c>
      <c r="C42" s="27">
        <f>COUNTIFS(Clean_Data!$H$2:$H$1001,A42,Clean_Data!$J$2:$J$1001,B42)</f>
        <v>52</v>
      </c>
    </row>
    <row r="44" spans="1:3" ht="15" customHeight="1" x14ac:dyDescent="0.3">
      <c r="A44" s="24" t="s">
        <v>1741</v>
      </c>
    </row>
    <row r="45" spans="1:3" ht="15" customHeight="1" x14ac:dyDescent="0.3">
      <c r="A45" s="25" t="s">
        <v>18</v>
      </c>
      <c r="B45" s="25" t="s">
        <v>1742</v>
      </c>
      <c r="C45" s="25" t="s">
        <v>1690</v>
      </c>
    </row>
    <row r="46" spans="1:3" ht="15" customHeight="1" x14ac:dyDescent="0.3">
      <c r="A46" s="26" t="s">
        <v>66</v>
      </c>
      <c r="B46" s="26" t="str">
        <f>INDEX($B$18:$B$42,MATCH(1,INDEX(($A$18:$A$42=A46)*($C$18:$C$42=C46),0),0))</f>
        <v>Senior Software Engineer</v>
      </c>
      <c r="C46" s="27">
        <f>SUMPRODUCT(MAX(($A$18:$A$42=A46)*$C$18:$C$42))</f>
        <v>64</v>
      </c>
    </row>
    <row r="47" spans="1:3" ht="15" customHeight="1" x14ac:dyDescent="0.3">
      <c r="A47" s="26" t="s">
        <v>74</v>
      </c>
      <c r="B47" s="26" t="str">
        <f>INDEX($B$18:$B$42,MATCH(1,INDEX(($A$18:$A$42=A47)*($C$18:$C$42=C47),0),0))</f>
        <v>Financial Analyst</v>
      </c>
      <c r="C47" s="27">
        <f>SUMPRODUCT(MAX(($A$18:$A$42=A47)*$C$18:$C$42))</f>
        <v>36</v>
      </c>
    </row>
    <row r="48" spans="1:3" ht="15" customHeight="1" x14ac:dyDescent="0.3">
      <c r="A48" s="26" t="s">
        <v>59</v>
      </c>
      <c r="B48" s="26" t="str">
        <f>INDEX($B$18:$B$42,MATCH(1,INDEX(($A$18:$A$42=A48)*($C$18:$C$42=C48),0),0))</f>
        <v>HR Executive</v>
      </c>
      <c r="C48" s="27">
        <f>SUMPRODUCT(MAX(($A$18:$A$42=A48)*$C$18:$C$42))</f>
        <v>35</v>
      </c>
    </row>
    <row r="49" spans="1:3" ht="15" customHeight="1" x14ac:dyDescent="0.3">
      <c r="A49" s="26" t="s">
        <v>118</v>
      </c>
      <c r="B49" s="26" t="str">
        <f>INDEX($B$18:$B$42,MATCH(1,INDEX(($A$18:$A$42=A49)*($C$18:$C$42=C49),0),0))</f>
        <v>Logistics Coordinator</v>
      </c>
      <c r="C49" s="27">
        <f>SUMPRODUCT(MAX(($A$18:$A$42=A49)*$C$18:$C$42))</f>
        <v>41</v>
      </c>
    </row>
    <row r="50" spans="1:3" ht="15" customHeight="1" x14ac:dyDescent="0.3">
      <c r="A50" s="26" t="s">
        <v>38</v>
      </c>
      <c r="B50" s="26" t="str">
        <f>INDEX($B$18:$B$42,MATCH(1,INDEX(($A$18:$A$42=A50)*($C$18:$C$42=C50),0),0))</f>
        <v>Key Account Manager</v>
      </c>
      <c r="C50" s="27">
        <f>SUMPRODUCT(MAX(($A$18:$A$42=A50)*$C$18:$C$42))</f>
        <v>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showGridLines="0" zoomScale="77" zoomScaleNormal="100" workbookViewId="0"/>
  </sheetViews>
  <sheetFormatPr defaultColWidth="8.6640625" defaultRowHeight="14.4" x14ac:dyDescent="0.3"/>
  <sheetData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B15"/>
  <sheetViews>
    <sheetView showGridLines="0" zoomScaleNormal="100" workbookViewId="0"/>
  </sheetViews>
  <sheetFormatPr defaultColWidth="8.6640625" defaultRowHeight="14.4" x14ac:dyDescent="0.3"/>
  <cols>
    <col min="1" max="1" width="4" customWidth="1"/>
    <col min="2" max="2" width="100" customWidth="1"/>
  </cols>
  <sheetData>
    <row r="1" spans="2:2" ht="19.5" customHeight="1" x14ac:dyDescent="0.4">
      <c r="B1" s="23" t="s">
        <v>1743</v>
      </c>
    </row>
    <row r="3" spans="2:2" ht="45.75" customHeight="1" x14ac:dyDescent="0.3">
      <c r="B3" s="33" t="s">
        <v>1744</v>
      </c>
    </row>
    <row r="5" spans="2:2" ht="45.75" customHeight="1" x14ac:dyDescent="0.3">
      <c r="B5" s="33" t="s">
        <v>1745</v>
      </c>
    </row>
    <row r="7" spans="2:2" ht="45.75" customHeight="1" x14ac:dyDescent="0.3">
      <c r="B7" s="33" t="s">
        <v>1746</v>
      </c>
    </row>
    <row r="9" spans="2:2" ht="45.75" customHeight="1" x14ac:dyDescent="0.3">
      <c r="B9" s="33" t="s">
        <v>1747</v>
      </c>
    </row>
    <row r="11" spans="2:2" ht="45.75" customHeight="1" x14ac:dyDescent="0.3">
      <c r="B11" s="33" t="s">
        <v>1748</v>
      </c>
    </row>
    <row r="13" spans="2:2" ht="45.75" customHeight="1" x14ac:dyDescent="0.3">
      <c r="B13" s="33" t="s">
        <v>1749</v>
      </c>
    </row>
    <row r="15" spans="2:2" ht="45.75" customHeight="1" x14ac:dyDescent="0.3">
      <c r="B15" s="33" t="s">
        <v>1750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8"/>
  <sheetViews>
    <sheetView zoomScaleNormal="100" workbookViewId="0"/>
  </sheetViews>
  <sheetFormatPr defaultColWidth="8.6640625" defaultRowHeight="14.4" x14ac:dyDescent="0.3"/>
  <cols>
    <col min="1" max="1" width="90" customWidth="1"/>
  </cols>
  <sheetData>
    <row r="1" spans="1:1" ht="30" customHeight="1" x14ac:dyDescent="0.3">
      <c r="A1" s="34" t="s">
        <v>1751</v>
      </c>
    </row>
    <row r="2" spans="1:1" ht="9.75" customHeight="1" x14ac:dyDescent="0.3">
      <c r="A2" s="34"/>
    </row>
    <row r="3" spans="1:1" ht="30" customHeight="1" x14ac:dyDescent="0.3">
      <c r="A3" s="33" t="s">
        <v>1752</v>
      </c>
    </row>
    <row r="4" spans="1:1" ht="30" customHeight="1" x14ac:dyDescent="0.3">
      <c r="A4" s="33" t="s">
        <v>1753</v>
      </c>
    </row>
    <row r="5" spans="1:1" ht="30" customHeight="1" x14ac:dyDescent="0.3">
      <c r="A5" s="33" t="s">
        <v>1754</v>
      </c>
    </row>
    <row r="6" spans="1:1" ht="30" customHeight="1" x14ac:dyDescent="0.3">
      <c r="A6" s="33" t="s">
        <v>1755</v>
      </c>
    </row>
    <row r="7" spans="1:1" ht="30" customHeight="1" x14ac:dyDescent="0.3">
      <c r="A7" s="33" t="s">
        <v>1756</v>
      </c>
    </row>
    <row r="8" spans="1:1" ht="30" customHeight="1" x14ac:dyDescent="0.3">
      <c r="A8" s="33" t="s">
        <v>1757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18"/>
  <sheetViews>
    <sheetView showGridLines="0" topLeftCell="A11" zoomScaleNormal="100" workbookViewId="0"/>
  </sheetViews>
  <sheetFormatPr defaultColWidth="8.6640625" defaultRowHeight="14.4" x14ac:dyDescent="0.3"/>
  <cols>
    <col min="1" max="1" width="4" customWidth="1"/>
    <col min="2" max="2" width="100" customWidth="1"/>
  </cols>
  <sheetData>
    <row r="1" spans="2:2" ht="33.75" customHeight="1" x14ac:dyDescent="0.3">
      <c r="B1" s="35" t="s">
        <v>1758</v>
      </c>
    </row>
    <row r="2" spans="2:2" ht="7.5" customHeight="1" x14ac:dyDescent="0.3">
      <c r="B2" s="33"/>
    </row>
    <row r="3" spans="2:2" ht="33.75" customHeight="1" x14ac:dyDescent="0.3">
      <c r="B3" s="36" t="s">
        <v>1759</v>
      </c>
    </row>
    <row r="4" spans="2:2" ht="33.75" customHeight="1" x14ac:dyDescent="0.3">
      <c r="B4" s="33" t="s">
        <v>1760</v>
      </c>
    </row>
    <row r="5" spans="2:2" ht="7.5" customHeight="1" x14ac:dyDescent="0.3">
      <c r="B5" s="33"/>
    </row>
    <row r="6" spans="2:2" ht="33.75" customHeight="1" x14ac:dyDescent="0.3">
      <c r="B6" s="36" t="s">
        <v>1761</v>
      </c>
    </row>
    <row r="7" spans="2:2" ht="33.75" customHeight="1" x14ac:dyDescent="0.3">
      <c r="B7" s="33" t="s">
        <v>1762</v>
      </c>
    </row>
    <row r="8" spans="2:2" ht="33.75" customHeight="1" x14ac:dyDescent="0.3">
      <c r="B8" s="33" t="s">
        <v>1763</v>
      </c>
    </row>
    <row r="9" spans="2:2" ht="33.75" customHeight="1" x14ac:dyDescent="0.3">
      <c r="B9" s="33" t="s">
        <v>1764</v>
      </c>
    </row>
    <row r="10" spans="2:2" ht="33.75" customHeight="1" x14ac:dyDescent="0.3">
      <c r="B10" s="33" t="s">
        <v>1765</v>
      </c>
    </row>
    <row r="11" spans="2:2" ht="33.75" customHeight="1" x14ac:dyDescent="0.3">
      <c r="B11" s="33" t="s">
        <v>1766</v>
      </c>
    </row>
    <row r="12" spans="2:2" ht="33.75" customHeight="1" x14ac:dyDescent="0.3">
      <c r="B12" s="33" t="s">
        <v>1767</v>
      </c>
    </row>
    <row r="13" spans="2:2" ht="33.75" customHeight="1" x14ac:dyDescent="0.3">
      <c r="B13" s="33" t="s">
        <v>1768</v>
      </c>
    </row>
    <row r="14" spans="2:2" ht="33.75" customHeight="1" x14ac:dyDescent="0.3">
      <c r="B14" s="33" t="s">
        <v>1769</v>
      </c>
    </row>
    <row r="15" spans="2:2" ht="33.75" customHeight="1" x14ac:dyDescent="0.3">
      <c r="B15" s="33" t="s">
        <v>1770</v>
      </c>
    </row>
    <row r="16" spans="2:2" ht="7.5" customHeight="1" x14ac:dyDescent="0.3">
      <c r="B16" s="33"/>
    </row>
    <row r="17" spans="2:2" ht="33.75" customHeight="1" x14ac:dyDescent="0.3">
      <c r="B17" s="36" t="s">
        <v>1771</v>
      </c>
    </row>
    <row r="18" spans="2:2" ht="33.75" customHeight="1" x14ac:dyDescent="0.3">
      <c r="B18" s="33" t="s">
        <v>1772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Raw_Data</vt:lpstr>
      <vt:lpstr>Clean_Data</vt:lpstr>
      <vt:lpstr>KPI</vt:lpstr>
      <vt:lpstr>Pivot</vt:lpstr>
      <vt:lpstr>Calculation</vt:lpstr>
      <vt:lpstr>Charts</vt:lpstr>
      <vt:lpstr>Insights</vt:lpstr>
      <vt:lpstr>Dashboard_design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tyagilokendra114@outlook.com</cp:lastModifiedBy>
  <cp:revision>2</cp:revision>
  <dcterms:created xsi:type="dcterms:W3CDTF">2026-07-19T13:46:20Z</dcterms:created>
  <dcterms:modified xsi:type="dcterms:W3CDTF">2026-07-19T14:17:54Z</dcterms:modified>
  <dc:language>en-US</dc:language>
</cp:coreProperties>
</file>